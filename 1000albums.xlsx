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5A5F8032-A081-C340-B850-4E023942161D}" xr6:coauthVersionLast="47" xr6:coauthVersionMax="47" xr10:uidLastSave="{00000000-0000-0000-0000-000000000000}"/>
  <bookViews>
    <workbookView xWindow="28800" yWindow="600" windowWidth="38400" windowHeight="21000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5" i="4" l="1"/>
  <c r="K264" i="4"/>
  <c r="B260" i="4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<sst xmlns="http://schemas.openxmlformats.org/spreadsheetml/2006/main" count="2150" uniqueCount="1725">
  <si>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</si>
  <si>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</si>
  <si>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</si>
  <si>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</si>
  <si>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</si>
  <si>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</si>
  <si>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</si>
  <si>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</si>
  <si>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</si>
  <si>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</si>
  <si>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</si>
  <si>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</si>
  <si>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</si>
  <si>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</si>
  <si>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</si>
  <si>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</si>
  <si>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</si>
  <si>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</si>
  <si>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</si>
  <si>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</si>
  <si>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</si>
  <si>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</si>
  <si>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</si>
  <si>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</si>
  <si>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</si>
  <si>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</si>
  <si>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</si>
  <si>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</si>
  <si>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</si>
  <si>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</si>
  <si>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</si>
  <si>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</si>
  <si>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</si>
  <si>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</si>
  <si>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</si>
  <si>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</si>
  <si>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</si>
  <si>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</si>
  <si>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</si>
  <si>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</si>
  <si>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</si>
  <si>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</si>
  <si>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</si>
  <si>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</si>
  <si>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</si>
  <si>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</si>
  <si>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</si>
  <si>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</si>
  <si>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</si>
  <si>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</si>
  <si>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</si>
  <si>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</si>
  <si>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</si>
  <si>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</si>
  <si>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</si>
  <si>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</si>
  <si>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</si>
  <si>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</si>
  <si>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</si>
  <si>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</si>
  <si>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</si>
  <si>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</si>
  <si>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</si>
  <si>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</si>
  <si>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</si>
  <si>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</si>
  <si>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</si>
  <si>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</si>
  <si>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</si>
  <si>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</si>
  <si>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</si>
  <si>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</si>
  <si>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</si>
  <si>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</si>
  <si>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</si>
  <si>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</si>
  <si>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</si>
  <si>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</si>
  <si>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</si>
  <si>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</si>
  <si>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</si>
  <si>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</si>
  <si>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</si>
  <si>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</si>
  <si>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</si>
  <si>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</si>
  <si>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</si>
  <si>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</si>
  <si>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</si>
  <si>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</si>
  <si>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</si>
  <si>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</si>
  <si>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</si>
  <si>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</si>
  <si>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</si>
  <si>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</si>
  <si>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</si>
  <si>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</si>
  <si>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</si>
  <si>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</si>
  <si>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</si>
  <si>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</si>
  <si>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</si>
  <si>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</si>
  <si>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</si>
  <si>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</si>
  <si>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</si>
  <si>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</si>
  <si>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</si>
  <si>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</si>
  <si>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</si>
  <si>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</si>
  <si>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</si>
  <si>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</si>
  <si>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</si>
  <si>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</si>
  <si>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</si>
  <si>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</si>
  <si>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</si>
  <si>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</si>
  <si>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</si>
  <si>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</si>
  <si>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</si>
  <si>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</si>
  <si>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</si>
  <si>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</si>
  <si>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</si>
  <si>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</si>
  <si>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</si>
  <si>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</si>
  <si>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</si>
  <si>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</si>
  <si>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</si>
  <si>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</si>
  <si>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</si>
  <si>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</si>
  <si>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</si>
  <si>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</si>
  <si>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</si>
  <si>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</si>
  <si>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</si>
  <si>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</si>
  <si>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</si>
  <si>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</si>
  <si>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</si>
  <si>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</si>
  <si>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</si>
  <si>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</si>
  <si>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</si>
  <si>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</si>
  <si>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</si>
  <si>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</si>
  <si>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</si>
  <si>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</si>
  <si>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</si>
  <si>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</si>
  <si>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</si>
  <si>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</si>
  <si>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</si>
  <si>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</si>
  <si>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</si>
  <si>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</si>
  <si>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</si>
  <si>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</si>
  <si>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</si>
  <si>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</si>
  <si>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</si>
  <si>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</si>
  <si>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</si>
  <si>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</si>
  <si>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</si>
  <si>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</si>
  <si>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</si>
  <si>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</si>
  <si>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</si>
  <si>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</si>
  <si>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</si>
  <si>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</si>
  <si>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</si>
  <si>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</si>
  <si>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</si>
  <si>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</si>
  <si>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</si>
  <si>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</si>
  <si>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</si>
  <si>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</si>
  <si>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</si>
  <si>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</si>
  <si>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</si>
  <si>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</si>
  <si>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</si>
  <si>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</si>
  <si>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</si>
  <si>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</si>
  <si>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</si>
  <si>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</si>
  <si>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</si>
  <si>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</si>
  <si>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</si>
  <si>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</si>
  <si>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</si>
  <si>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</si>
  <si>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</si>
  <si>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</si>
  <si>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</si>
  <si>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</si>
  <si>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</si>
  <si>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</si>
  <si>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</si>
  <si>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</si>
  <si>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</si>
  <si>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</si>
  <si>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</si>
  <si>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</si>
  <si>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</si>
  <si>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</si>
  <si>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</si>
  <si>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</si>
  <si>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</si>
  <si>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</si>
  <si>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</si>
  <si>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</si>
  <si>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</si>
  <si>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</si>
  <si>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</si>
  <si>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</si>
  <si>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</si>
  <si>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</si>
  <si>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</si>
  <si>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</si>
  <si>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</si>
  <si>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</si>
  <si>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</si>
  <si>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</si>
  <si>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</si>
  <si>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</si>
  <si>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</si>
  <si>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</si>
  <si>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</si>
  <si>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</si>
  <si>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</si>
  <si>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</si>
  <si>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</si>
  <si>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</si>
  <si>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</si>
  <si>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</si>
  <si>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</si>
  <si>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</si>
  <si>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</si>
  <si>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</si>
  <si>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</si>
  <si>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</si>
  <si>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</si>
  <si>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</si>
  <si>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</si>
  <si>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</si>
  <si>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</si>
  <si>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</si>
  <si>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</si>
  <si>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</si>
  <si>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</si>
  <si>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</si>
  <si>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</si>
  <si>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</si>
  <si>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</si>
  <si>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</si>
  <si>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</si>
  <si>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</si>
  <si>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</si>
  <si>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</si>
  <si>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</si>
  <si>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</si>
  <si>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</si>
  <si>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</si>
  <si>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</si>
  <si>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</si>
  <si>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</si>
  <si>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</si>
  <si>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</si>
  <si>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</si>
  <si>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</si>
  <si>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</si>
  <si>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</si>
  <si>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</si>
  <si>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</si>
  <si>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</si>
  <si>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</si>
  <si>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</si>
  <si>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</si>
  <si>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</si>
  <si>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</si>
  <si>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</si>
  <si>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</si>
  <si>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</si>
  <si>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</si>
  <si>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</si>
  <si>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</si>
  <si>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</si>
  <si>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</si>
  <si>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</si>
  <si>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</si>
  <si>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</si>
  <si>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</si>
  <si>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</si>
  <si>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</si>
  <si>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</si>
  <si>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</si>
  <si>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</si>
  <si>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</si>
  <si>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</si>
  <si>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</si>
  <si>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</si>
  <si>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</si>
  <si>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</si>
  <si>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</si>
  <si>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</si>
  <si>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</si>
  <si>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</si>
  <si>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</si>
  <si>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</si>
  <si>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</si>
  <si>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</si>
  <si>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</si>
  <si>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</si>
  <si>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</si>
  <si>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</si>
  <si>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</si>
  <si>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</si>
  <si>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</si>
  <si>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</si>
  <si>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</si>
  <si>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</si>
  <si>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</si>
  <si>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</si>
  <si>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</si>
  <si>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</si>
  <si>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</si>
  <si>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</si>
  <si>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</si>
  <si>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</si>
  <si>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</si>
  <si>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</si>
  <si>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</si>
  <si>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</si>
  <si>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</si>
  <si>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</si>
  <si>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</si>
  <si>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</si>
  <si>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</si>
  <si>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</si>
  <si>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</si>
  <si>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</si>
  <si>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</si>
  <si>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</si>
  <si>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</si>
  <si>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</si>
  <si>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</si>
  <si>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</si>
  <si>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</si>
  <si>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</si>
  <si>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</si>
  <si>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</si>
  <si>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</si>
  <si>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</si>
  <si>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</si>
  <si>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</si>
  <si>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</si>
  <si>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</si>
  <si>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</si>
  <si>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</si>
  <si>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</si>
  <si>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</si>
  <si>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</si>
  <si>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</si>
  <si>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</si>
  <si>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</si>
  <si>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</si>
  <si>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</si>
  <si>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</si>
  <si>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</si>
  <si>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</si>
  <si>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</si>
  <si>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</si>
  <si>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</si>
  <si>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</si>
  <si>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</si>
  <si>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</si>
  <si>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</si>
  <si>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</si>
  <si>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</si>
  <si>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</si>
  <si>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</si>
  <si>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</si>
  <si>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</si>
  <si>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</si>
  <si>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</si>
  <si>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</si>
  <si>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</si>
  <si>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</si>
  <si>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</si>
  <si>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</si>
  <si>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</si>
  <si>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</si>
  <si>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</si>
  <si>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</si>
  <si>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</si>
  <si>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</si>
  <si>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</si>
  <si>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</si>
  <si>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</si>
  <si>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</si>
  <si>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</si>
  <si>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</si>
  <si>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</si>
  <si>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</si>
  <si>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</si>
  <si>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</si>
  <si>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</si>
  <si>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</si>
  <si>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</si>
  <si>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</si>
  <si>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</si>
  <si>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</si>
  <si>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</si>
  <si>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</si>
  <si>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</si>
  <si>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</si>
  <si>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</si>
  <si>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</si>
  <si>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</si>
  <si>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</si>
  <si>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</si>
  <si>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</si>
  <si>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</si>
  <si>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</si>
  <si>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</si>
  <si>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</si>
  <si>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</si>
  <si>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</si>
  <si>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</si>
  <si>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</si>
  <si>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</si>
  <si>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</si>
  <si>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</si>
  <si>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</si>
  <si>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</si>
  <si>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</si>
  <si>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</si>
  <si>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</si>
  <si>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</si>
  <si>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</si>
  <si>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</si>
  <si>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</si>
  <si>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</si>
  <si>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</si>
  <si>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</si>
  <si>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</si>
  <si>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</si>
  <si>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</si>
  <si>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</si>
  <si>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</si>
  <si>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</si>
  <si>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</si>
  <si>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</si>
  <si>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</si>
  <si>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</si>
  <si>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</si>
  <si>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</si>
  <si>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</si>
  <si>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</si>
  <si>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</si>
  <si>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</si>
  <si>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</si>
  <si>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</si>
  <si>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</si>
  <si>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</si>
  <si>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</si>
  <si>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</si>
  <si>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</si>
  <si>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</si>
  <si>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</si>
  <si>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</si>
  <si>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</si>
  <si>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</si>
  <si>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</si>
  <si>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</si>
  <si>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</si>
  <si>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</si>
  <si>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</si>
  <si>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</si>
  <si>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</si>
  <si>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</si>
  <si>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</si>
  <si>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</si>
  <si>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</si>
  <si>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</si>
  <si>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</si>
  <si>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</si>
  <si>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</si>
  <si>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</si>
  <si>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</si>
  <si>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</si>
  <si>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</si>
  <si>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</si>
  <si>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</si>
  <si>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</si>
  <si>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</si>
  <si>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</si>
  <si>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</si>
  <si>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</si>
  <si>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</si>
  <si>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</si>
  <si>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</si>
  <si>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</si>
  <si>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</si>
  <si>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</si>
  <si>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</si>
  <si>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</si>
  <si>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</si>
  <si>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</si>
  <si>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</si>
  <si>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</si>
  <si>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</si>
  <si>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</si>
  <si>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</si>
  <si>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</si>
  <si>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</si>
  <si>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</si>
  <si>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</si>
  <si>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</si>
  <si>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</si>
  <si>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</si>
  <si>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</si>
  <si>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</si>
  <si>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</si>
  <si>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</si>
  <si>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</si>
  <si>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</si>
  <si>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</si>
  <si>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</si>
  <si>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</si>
  <si>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</si>
  <si>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</si>
  <si>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</si>
  <si>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</si>
  <si>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</si>
  <si>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</si>
  <si>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</si>
  <si>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</si>
  <si>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</si>
  <si>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</si>
  <si>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</si>
  <si>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</si>
  <si>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</si>
  <si>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</si>
  <si>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</si>
  <si>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</si>
  <si>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</si>
  <si>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</si>
  <si>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</si>
  <si>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</si>
  <si>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</si>
  <si>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</si>
  <si>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</si>
  <si>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</si>
  <si>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</si>
  <si>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</si>
  <si>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</si>
  <si>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</si>
  <si>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</si>
  <si>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</si>
  <si>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</si>
  <si>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</si>
  <si>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</si>
  <si>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</si>
  <si>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</si>
  <si>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</si>
  <si>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</si>
  <si>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</si>
  <si>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</si>
  <si>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</si>
  <si>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</si>
  <si>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</si>
  <si>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</si>
  <si>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</si>
  <si>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</si>
  <si>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</si>
  <si>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</si>
  <si>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</si>
  <si>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</si>
  <si>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</si>
  <si>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</si>
  <si>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</si>
  <si>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</si>
  <si>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</si>
  <si>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</si>
  <si>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</si>
  <si>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</si>
  <si>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</si>
  <si>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</si>
  <si>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</si>
  <si>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</si>
  <si>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</si>
  <si>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</si>
  <si>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</si>
  <si>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</si>
  <si>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</si>
  <si>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</si>
  <si>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</si>
  <si>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</si>
  <si>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</si>
  <si>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</si>
  <si>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</si>
  <si>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</si>
  <si>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</si>
  <si>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</si>
  <si>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</si>
  <si>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</si>
  <si>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</si>
  <si>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</si>
  <si>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</si>
  <si>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</si>
  <si>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</si>
  <si>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</si>
  <si>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</si>
  <si>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</si>
  <si>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</si>
  <si>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</si>
  <si>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</si>
  <si>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</si>
  <si>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</si>
  <si>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</si>
  <si>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</si>
  <si>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</si>
  <si>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</si>
  <si>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</si>
  <si>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</si>
  <si>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</si>
  <si>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</si>
  <si>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</si>
  <si>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</si>
  <si>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</si>
  <si>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</si>
  <si>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</si>
  <si>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</si>
  <si>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</si>
  <si>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</si>
  <si>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</si>
  <si>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</si>
  <si>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</si>
  <si>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</si>
  <si>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</si>
  <si>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</si>
  <si>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</si>
  <si>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</si>
  <si>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</si>
  <si>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</si>
  <si>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</si>
  <si>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</si>
  <si>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</si>
  <si>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</si>
  <si>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</si>
  <si>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</si>
  <si>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</si>
  <si>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</si>
  <si>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</si>
  <si>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</si>
  <si>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</si>
  <si>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</si>
  <si>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</si>
  <si>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</si>
  <si>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</si>
  <si>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</si>
  <si>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</si>
  <si>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</si>
  <si>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</si>
  <si>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</si>
  <si>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</si>
  <si>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</si>
  <si>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</si>
  <si>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</si>
  <si>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</si>
  <si>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</si>
  <si>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</si>
  <si>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</si>
  <si>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</si>
  <si>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</si>
  <si>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</si>
  <si>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</si>
  <si>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</si>
  <si>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</si>
  <si>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</si>
  <si>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</si>
  <si>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</si>
  <si>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</si>
  <si>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</si>
  <si>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</si>
  <si>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</si>
  <si>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</si>
  <si>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</si>
  <si>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</si>
  <si>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</si>
  <si>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</si>
  <si>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</si>
  <si>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</si>
  <si>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</si>
  <si>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</si>
  <si>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</si>
  <si>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</si>
  <si>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</si>
  <si>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</si>
  <si>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</si>
  <si>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</si>
  <si>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</si>
  <si>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</si>
  <si>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</si>
  <si>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</si>
  <si>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</si>
  <si>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</si>
  <si>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</si>
  <si>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</si>
  <si>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</si>
  <si>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</si>
  <si>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</si>
  <si>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</si>
  <si>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</si>
  <si>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</si>
  <si>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</si>
  <si>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</si>
  <si>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</si>
  <si>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</si>
  <si>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</si>
  <si>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</si>
  <si>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</si>
  <si>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</si>
  <si>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</si>
  <si>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</si>
  <si>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</si>
  <si>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</si>
  <si>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</si>
  <si>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</si>
  <si>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</si>
  <si>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</si>
  <si>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</si>
  <si>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</si>
  <si>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</si>
  <si>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</si>
  <si>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</si>
  <si>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</si>
  <si>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</si>
  <si>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</si>
  <si>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</si>
  <si>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</si>
  <si>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</si>
  <si>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</si>
  <si>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</si>
  <si>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</si>
  <si>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</si>
  <si>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</si>
  <si>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</si>
  <si>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</si>
  <si>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</si>
  <si>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</si>
  <si>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</si>
  <si>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</si>
  <si>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</si>
  <si>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</si>
  <si>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</si>
  <si>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</si>
  <si>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</si>
  <si>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</si>
  <si>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</si>
  <si>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</si>
  <si>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</si>
  <si>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</si>
  <si>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</si>
  <si>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</si>
  <si>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</si>
  <si>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</si>
  <si>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</si>
  <si>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</si>
  <si>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</si>
  <si>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</si>
  <si>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</si>
  <si>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</si>
  <si>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</si>
  <si>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</si>
  <si>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</si>
  <si>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</si>
  <si>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</si>
  <si>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</si>
  <si>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</si>
  <si>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</si>
  <si>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</si>
  <si>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</si>
  <si>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</si>
  <si>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</si>
  <si>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</si>
  <si>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</si>
  <si>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</si>
  <si>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</si>
  <si>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</si>
  <si>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</si>
  <si>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</si>
  <si>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</si>
  <si>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</si>
  <si>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</si>
  <si>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</si>
  <si>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</si>
  <si>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</si>
  <si>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</si>
  <si>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</si>
  <si>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</si>
  <si>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</si>
  <si>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</si>
  <si>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</si>
  <si>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</si>
  <si>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</si>
  <si>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</si>
  <si>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</si>
  <si>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</si>
  <si>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</si>
  <si>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</si>
  <si>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</si>
  <si>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</si>
  <si>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</si>
  <si>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</si>
  <si>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</si>
  <si>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</si>
  <si>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</si>
  <si>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</si>
  <si>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</si>
  <si>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</si>
  <si>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</si>
  <si>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</si>
  <si>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</si>
  <si>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</si>
  <si>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</si>
  <si>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</si>
  <si>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</si>
  <si>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</si>
  <si>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</si>
  <si>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</si>
  <si>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</si>
  <si>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</si>
  <si>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</si>
  <si>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</si>
  <si>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</si>
  <si>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</si>
  <si>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</si>
  <si>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</si>
  <si>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</si>
  <si>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</si>
  <si>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</si>
  <si>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</si>
  <si>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</si>
  <si>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</si>
  <si>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</si>
  <si>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</si>
  <si>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</si>
  <si>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</si>
  <si>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</si>
  <si>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</si>
  <si>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</si>
  <si>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</si>
  <si>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</si>
  <si>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</si>
  <si>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</si>
  <si>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</si>
  <si>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</si>
  <si>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</si>
  <si>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</si>
  <si>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</si>
  <si>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</si>
  <si>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</si>
  <si>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</si>
  <si>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</si>
  <si>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</si>
  <si>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</si>
  <si>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</si>
  <si>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</si>
  <si>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</si>
  <si>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</si>
  <si>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</si>
  <si>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</si>
  <si>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</si>
  <si>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</si>
  <si>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</si>
  <si>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</si>
  <si>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</si>
  <si>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</si>
  <si>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</si>
  <si>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</si>
  <si>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</si>
  <si>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</si>
  <si>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</si>
  <si>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</si>
  <si>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</si>
  <si>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</si>
  <si>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</si>
  <si>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</si>
  <si>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</si>
  <si>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</si>
  <si>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</si>
  <si>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</si>
  <si>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</si>
  <si>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</si>
  <si>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</si>
  <si>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</si>
  <si>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</si>
  <si>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</si>
  <si>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</si>
  <si>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</si>
  <si>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</si>
  <si>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</si>
  <si>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</si>
  <si>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</si>
  <si>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</si>
  <si>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</si>
  <si>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</si>
  <si>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</si>
  <si>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</si>
  <si>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</si>
  <si>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</si>
  <si>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</si>
  <si>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</si>
  <si>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</si>
  <si>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</si>
  <si>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</si>
  <si>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</si>
  <si>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</si>
  <si>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</si>
  <si>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</si>
  <si>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</si>
  <si>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</si>
  <si>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</si>
  <si>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</si>
  <si>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</si>
  <si>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</si>
  <si>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</si>
  <si>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</si>
  <si>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</si>
  <si>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</si>
  <si>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</si>
  <si>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</si>
  <si>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</si>
  <si>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</si>
  <si>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</si>
  <si>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</si>
  <si>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</si>
  <si>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</si>
  <si>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</si>
  <si>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</si>
  <si>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</si>
  <si>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</si>
  <si>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</si>
  <si>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</si>
  <si>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</si>
  <si>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</si>
  <si>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</si>
  <si>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</si>
  <si>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</si>
  <si>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</si>
  <si>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</si>
  <si>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</si>
  <si>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</si>
  <si>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</si>
  <si>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</si>
  <si>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</si>
  <si>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</si>
  <si>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</si>
  <si>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</si>
  <si>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</si>
  <si>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</si>
  <si>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</si>
  <si>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</si>
  <si>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</si>
  <si>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</si>
  <si>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</si>
  <si>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</si>
  <si>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</si>
  <si>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</si>
  <si>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</si>
  <si>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</si>
  <si>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</si>
  <si>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</si>
  <si>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</si>
  <si>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</si>
  <si>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</si>
  <si>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</si>
  <si>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</si>
  <si>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</si>
  <si>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</si>
  <si>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</si>
  <si>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</si>
  <si>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</si>
  <si>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</si>
  <si>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</si>
  <si>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</si>
  <si>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</si>
  <si>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</si>
  <si>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</si>
  <si>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</si>
  <si>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</si>
  <si>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</si>
  <si>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</si>
  <si>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</si>
  <si>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</si>
  <si>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</si>
  <si>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</si>
  <si>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</si>
  <si>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</si>
  <si>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</si>
  <si>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</si>
  <si>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</si>
  <si>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</si>
  <si>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</si>
  <si>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</si>
  <si>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</si>
  <si>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</si>
  <si>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</si>
  <si>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</si>
  <si>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</si>
  <si>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</si>
  <si>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</si>
  <si>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</si>
  <si>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</si>
  <si>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</si>
  <si>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</si>
  <si>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</si>
  <si>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</si>
  <si>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</si>
  <si>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</si>
  <si>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</si>
  <si>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</si>
  <si>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</si>
  <si>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</si>
  <si>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</si>
  <si>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</si>
  <si>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</si>
  <si>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</si>
  <si>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</si>
  <si>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</si>
  <si>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</si>
  <si>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</si>
  <si>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</si>
  <si>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</si>
  <si>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</si>
  <si>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</si>
  <si>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</si>
  <si>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</si>
  <si>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</si>
  <si>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</si>
  <si>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</si>
  <si>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</si>
  <si>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</si>
  <si>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</si>
  <si>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</si>
  <si>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</si>
  <si>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</si>
  <si>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</si>
  <si>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</si>
  <si>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</si>
  <si>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</si>
  <si>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</si>
  <si>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</si>
  <si>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</si>
  <si>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</si>
  <si>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</si>
  <si>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</si>
  <si>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</si>
  <si>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</si>
  <si>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</si>
  <si>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</si>
  <si>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</si>
  <si>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</si>
  <si>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</si>
  <si>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</si>
  <si>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</si>
  <si>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</si>
  <si>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</si>
  <si>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</si>
  <si>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</si>
  <si>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</si>
  <si>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</si>
  <si>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</si>
  <si>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</si>
  <si>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</si>
  <si>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</si>
  <si>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</si>
  <si>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</si>
  <si>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</si>
  <si>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</si>
  <si>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</si>
  <si>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</si>
  <si>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</si>
  <si>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</si>
  <si>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</si>
  <si>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</si>
  <si>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</si>
  <si>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</si>
  <si>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</si>
  <si>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</si>
  <si>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</si>
  <si>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</si>
  <si>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</si>
  <si>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</si>
  <si>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</si>
  <si>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</si>
  <si>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</si>
  <si>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</si>
  <si>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</si>
  <si>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</si>
  <si>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</si>
  <si>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</si>
  <si>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</si>
  <si>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</si>
  <si>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</si>
  <si>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</si>
  <si>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</si>
  <si>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</si>
  <si>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</si>
  <si>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</si>
  <si>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</si>
  <si>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</si>
  <si>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</si>
  <si>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</si>
  <si>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</si>
  <si>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</si>
  <si>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</si>
  <si>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</si>
  <si>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</si>
  <si>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</si>
  <si>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</si>
  <si>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</si>
  <si>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</si>
  <si>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</si>
  <si>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</si>
  <si>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</si>
  <si>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</si>
  <si>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</si>
  <si>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</si>
  <si>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</si>
  <si>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</si>
  <si>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</si>
  <si>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</si>
  <si>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</si>
  <si>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</si>
  <si>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</si>
  <si>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</si>
  <si>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</si>
  <si>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</si>
  <si>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</si>
  <si>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</si>
  <si>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</si>
  <si>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</si>
  <si>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</si>
  <si>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</si>
  <si>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</si>
  <si>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</si>
  <si>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</si>
  <si>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</si>
  <si>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</si>
  <si>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</si>
  <si>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</si>
  <si>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</si>
  <si>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</si>
  <si>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</si>
  <si>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</si>
  <si>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</si>
  <si>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</si>
  <si>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</si>
  <si>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</si>
  <si>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</si>
  <si>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</si>
  <si>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</si>
  <si>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</si>
  <si>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</si>
  <si>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</si>
  <si>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</si>
  <si>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</si>
  <si>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</si>
  <si>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</si>
  <si>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</si>
  <si>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</si>
  <si>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</si>
  <si>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</si>
  <si>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</si>
  <si>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</si>
  <si>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</si>
  <si>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</si>
  <si>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</si>
  <si>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</si>
  <si>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</si>
  <si>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</si>
  <si>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</si>
  <si>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</si>
  <si>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</si>
  <si>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</si>
  <si>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</si>
  <si>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</si>
  <si>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</si>
  <si>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</si>
  <si>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</si>
  <si>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</si>
  <si>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</si>
  <si>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</si>
  <si>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</si>
  <si>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</si>
  <si>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</si>
  <si>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</si>
  <si>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</si>
  <si>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</si>
  <si>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</si>
  <si>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</si>
  <si>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</si>
  <si>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</si>
  <si>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</si>
  <si>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</si>
  <si>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</si>
  <si>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</si>
  <si>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</si>
  <si>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</si>
  <si>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</si>
  <si>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</si>
  <si>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</si>
  <si>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</si>
  <si>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</si>
  <si>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</si>
  <si>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</si>
  <si>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</si>
  <si>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</si>
  <si>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</si>
  <si>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</si>
  <si>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</si>
  <si>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</si>
  <si>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</si>
  <si>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</si>
  <si>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</si>
  <si>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</si>
  <si>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</si>
  <si>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</si>
  <si>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</si>
  <si>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</si>
  <si>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</si>
  <si>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</si>
  <si>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</si>
  <si>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</si>
  <si>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</si>
  <si>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</si>
  <si>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</si>
  <si>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</si>
  <si>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</si>
  <si>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</si>
  <si>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</si>
  <si>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</si>
  <si>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</si>
  <si>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</si>
  <si>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</si>
  <si>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</si>
  <si>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</si>
  <si>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</si>
  <si>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</si>
  <si>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</si>
  <si>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</si>
  <si>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</si>
  <si>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</si>
  <si>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</si>
  <si>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</si>
  <si>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</si>
  <si>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</si>
  <si>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</si>
  <si>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</si>
  <si>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</si>
  <si>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</si>
  <si>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</si>
  <si>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</si>
  <si>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</si>
  <si>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</si>
  <si>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</si>
  <si>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</si>
  <si>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</si>
  <si>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</si>
  <si>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</si>
  <si>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</si>
  <si>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</si>
  <si>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</si>
  <si>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</si>
  <si>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</si>
  <si>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</si>
  <si>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</si>
  <si>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</si>
  <si>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</si>
  <si>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</si>
  <si>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</si>
  <si>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</si>
  <si>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</si>
  <si>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</si>
  <si>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</si>
  <si>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</si>
  <si>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</si>
  <si>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</si>
  <si>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</si>
  <si>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</si>
  <si>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</si>
  <si>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</si>
  <si>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</si>
  <si>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</si>
  <si>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</si>
  <si>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</si>
  <si>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</si>
  <si>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</si>
  <si>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</si>
  <si>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</si>
  <si>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</si>
  <si>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</si>
  <si>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</si>
  <si>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</si>
  <si>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</si>
  <si>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</si>
  <si>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</si>
  <si>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</si>
  <si>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</si>
  <si>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</si>
  <si>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</si>
  <si>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</si>
  <si>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</si>
  <si>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</si>
  <si>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</si>
  <si>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</si>
  <si>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</si>
  <si>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</si>
  <si>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</si>
  <si>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</si>
  <si>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</si>
  <si>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</si>
  <si>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</si>
  <si>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</si>
  <si>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</si>
  <si>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</si>
  <si>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</si>
  <si>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</si>
  <si>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</si>
  <si>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</si>
  <si>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</si>
  <si>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</si>
  <si>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</si>
  <si>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</si>
  <si>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</si>
  <si>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</si>
  <si>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</si>
  <si>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</si>
  <si>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</si>
  <si>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</si>
  <si>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</si>
  <si>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</si>
  <si>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</si>
  <si>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</si>
  <si>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</si>
  <si>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</si>
  <si>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</si>
  <si>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</si>
  <si>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</si>
  <si>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</si>
  <si>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</si>
  <si>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</si>
  <si>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</si>
  <si>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</si>
  <si>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</si>
  <si>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</si>
  <si>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</si>
  <si>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</si>
  <si>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</si>
  <si>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</si>
  <si>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</si>
  <si>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</si>
  <si>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</si>
  <si>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</si>
  <si>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</si>
  <si>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</si>
  <si>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</si>
  <si>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</si>
  <si>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</si>
  <si>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</si>
  <si>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</si>
  <si>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</si>
  <si>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</si>
  <si>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</si>
  <si>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</si>
  <si>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</si>
  <si>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</si>
  <si>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</si>
  <si>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</si>
  <si>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</si>
  <si>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</si>
  <si>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</si>
  <si>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</si>
  <si>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</si>
  <si>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</si>
  <si>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</si>
  <si>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</si>
  <si>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</si>
  <si>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</si>
  <si>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</si>
  <si>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</si>
  <si>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</si>
  <si>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</si>
  <si>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</si>
  <si>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</si>
  <si>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</si>
  <si>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</si>
  <si>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</si>
  <si>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</si>
  <si>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</si>
  <si>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</si>
  <si>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</si>
  <si>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</si>
  <si>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</si>
  <si>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</si>
  <si>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</si>
  <si>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</si>
  <si>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</si>
  <si>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</si>
  <si>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</si>
  <si>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</si>
  <si>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</si>
  <si>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</si>
  <si>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</si>
  <si>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</si>
  <si>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</si>
  <si>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</si>
  <si>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</si>
  <si>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</si>
  <si>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</si>
  <si>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</si>
  <si>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</si>
  <si>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</si>
  <si>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</si>
  <si>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</si>
  <si>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</si>
  <si>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</si>
  <si>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</si>
  <si>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</si>
  <si>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</si>
  <si>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</si>
  <si>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</si>
  <si>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</si>
  <si>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</si>
  <si>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</si>
  <si>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</si>
  <si>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</si>
  <si>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</si>
  <si>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</si>
  <si>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</si>
  <si>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</si>
  <si>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</si>
  <si>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</si>
  <si>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</si>
  <si>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</si>
  <si>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</si>
  <si>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</si>
  <si>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</si>
  <si>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</si>
  <si>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</si>
  <si>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</si>
  <si>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</si>
  <si>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</si>
  <si>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</si>
  <si>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</si>
  <si>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</si>
  <si>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</si>
  <si>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</si>
  <si>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</si>
  <si>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</si>
  <si>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</si>
  <si>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</si>
  <si>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</si>
  <si>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</si>
  <si>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</si>
  <si>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</si>
  <si>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</si>
  <si>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</si>
  <si>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</si>
  <si>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</si>
  <si>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</si>
  <si>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</si>
  <si>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</si>
  <si>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</si>
  <si>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</si>
  <si>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</si>
  <si>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</si>
  <si>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</si>
  <si>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</si>
  <si>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</si>
  <si>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</si>
  <si>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</si>
  <si>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</si>
  <si>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</si>
  <si>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</si>
  <si>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</si>
  <si>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</si>
  <si>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</si>
  <si>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</si>
  <si>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</si>
  <si>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</si>
  <si>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</si>
  <si>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</si>
  <si>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</si>
  <si>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</si>
  <si>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</si>
  <si>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</si>
  <si>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</si>
  <si>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</si>
  <si>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</si>
  <si>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</si>
  <si>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</si>
  <si>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</si>
  <si>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</si>
  <si>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</si>
  <si>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</si>
  <si>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</si>
  <si>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</si>
  <si>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</si>
  <si>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3 (8.98)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</si>
  <si>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</si>
  <si>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</si>
  <si>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</si>
  <si>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</si>
  <si>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</si>
  <si>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</si>
  <si>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</si>
  <si>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</si>
  <si>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</si>
  <si>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</si>
  <si>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</si>
  <si>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</si>
  <si>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</si>
  <si>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</si>
  <si>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</si>
  <si>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</si>
  <si>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</si>
  <si>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</si>
  <si>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</si>
  <si>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</si>
  <si>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</si>
  <si>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</si>
  <si>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</si>
  <si>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</si>
  <si>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</si>
  <si>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</si>
  <si>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</si>
  <si>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</si>
  <si>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</si>
  <si>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</si>
  <si>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</si>
  <si>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</si>
  <si>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</si>
  <si>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</si>
  <si>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</si>
  <si>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</si>
  <si>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</si>
  <si>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</si>
  <si>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</si>
  <si>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</si>
  <si>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</si>
  <si>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</si>
  <si>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</si>
  <si>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</si>
  <si>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</si>
  <si>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</si>
  <si>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</si>
  <si>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</si>
  <si>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</si>
  <si>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</si>
  <si>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</si>
  <si>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</si>
  <si>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</si>
  <si>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</si>
  <si>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</si>
  <si>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</si>
  <si>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</si>
  <si>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</si>
  <si>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</si>
  <si>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</si>
  <si>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</si>
  <si>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</si>
  <si>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</si>
  <si>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</si>
  <si>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</si>
  <si>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</si>
  <si>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</si>
  <si>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</si>
  <si>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</si>
  <si>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</si>
  <si>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</si>
  <si>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</si>
  <si>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</si>
  <si>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</si>
  <si>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</si>
  <si>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</si>
  <si>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</si>
  <si>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</si>
  <si>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</si>
  <si>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</si>
  <si>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</si>
  <si>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</si>
  <si>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</si>
  <si>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</si>
  <si>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</si>
  <si>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</si>
  <si>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</si>
  <si>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</si>
  <si>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</si>
  <si>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</si>
  <si>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</si>
  <si>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</si>
  <si>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</si>
  <si>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</si>
  <si>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</si>
  <si>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</si>
  <si>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</si>
  <si>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6 (8.8)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</si>
  <si>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</si>
  <si>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</si>
  <si>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</si>
  <si>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</si>
  <si>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</si>
  <si>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</si>
  <si>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</si>
  <si>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</si>
  <si>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</si>
  <si>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</si>
  <si>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</si>
  <si>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</si>
  <si>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</si>
  <si>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</si>
  <si>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</si>
  <si>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</si>
  <si>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4 (8.86)</t>
  </si>
  <si>
    <t>4 (8.64)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</si>
  <si>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</si>
  <si>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</si>
  <si>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</si>
  <si>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</si>
  <si>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</si>
  <si>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</si>
  <si>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</si>
  <si>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</si>
  <si>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</si>
  <si>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</si>
  <si>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</si>
  <si>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</si>
  <si>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</si>
  <si>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</si>
  <si>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0.1 ← simétrica</t>
  </si>
  <si>
    <t>groove metal, progressive metal</t>
  </si>
  <si>
    <t>progressive metal, death metal, groove metal</t>
  </si>
  <si>
    <t>progressive metal (19)</t>
  </si>
  <si>
    <t>19 (8.78)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</si>
  <si>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</si>
  <si>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</si>
  <si>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</si>
  <si>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</si>
  <si>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</si>
  <si>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</si>
  <si>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</si>
  <si>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</si>
  <si>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</si>
  <si>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</si>
  <si>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</si>
  <si>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</si>
  <si>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</si>
  <si>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</si>
  <si>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</si>
  <si>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</si>
  <si>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</si>
  <si>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</si>
  <si>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</si>
  <si>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</si>
  <si>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</si>
  <si>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</si>
  <si>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</si>
  <si>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12 (9.1)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</si>
  <si>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</si>
  <si>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</si>
  <si>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</si>
  <si>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</si>
  <si>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</si>
  <si>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</si>
  <si>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</si>
  <si>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</si>
  <si>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</si>
  <si>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</si>
  <si>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</si>
  <si>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</si>
  <si>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</si>
  <si>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</si>
  <si>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</si>
  <si>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</si>
  <si>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</si>
  <si>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</si>
  <si>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</si>
  <si>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</si>
  <si>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</si>
  <si>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</si>
  <si>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</si>
  <si>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</si>
  <si>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</si>
  <si>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</si>
  <si>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</si>
  <si>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</si>
  <si>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, post britpop, art rock, art pop, pop rock</t>
  </si>
  <si>
    <t>8 (×233)</t>
  </si>
  <si>
    <t>-0.61 ← muy agrupadas</t>
  </si>
  <si>
    <t>18 (1.65%)</t>
  </si>
  <si>
    <t>163 (14.91%)</t>
  </si>
  <si>
    <t>437 (39.98%)</t>
  </si>
  <si>
    <t>264 (24.15%)</t>
  </si>
  <si>
    <t>211 (19.3%)</t>
  </si>
  <si>
    <t>3rd EYE SCORE *</t>
  </si>
  <si>
    <t>roots rock, blues rock, classic rock</t>
  </si>
  <si>
    <t>104 de 105</t>
  </si>
  <si>
    <t>6 (9.01)</t>
  </si>
  <si>
    <t>4 (8.74)</t>
  </si>
  <si>
    <t>post britpop, pop rock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</si>
</sst>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7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</fonts>
  <fills count="17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09B3EA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1EB8DC"/>
        <bgColor indexed="64"/>
      </patternFill>
    </fill>
    <fill>
      <patternFill patternType="solid">
        <fgColor rgb="FF21B9DA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3BC0C8"/>
        <bgColor indexed="64"/>
      </patternFill>
    </fill>
    <fill>
      <patternFill patternType="solid">
        <fgColor rgb="FF3EC1C6"/>
        <bgColor indexed="64"/>
      </patternFill>
    </fill>
    <fill>
      <patternFill patternType="solid">
        <fgColor rgb="FF46C3C1"/>
        <bgColor indexed="64"/>
      </patternFill>
    </fill>
    <fill>
      <patternFill patternType="solid">
        <fgColor rgb="FF48C4BF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94D88C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A0DB84"/>
        <bgColor indexed="64"/>
      </patternFill>
    </fill>
    <fill>
      <patternFill patternType="solid">
        <fgColor rgb="FFA2DC82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B0E079"/>
        <bgColor indexed="64"/>
      </patternFill>
    </fill>
    <fill>
      <patternFill patternType="solid">
        <fgColor rgb="FFBFE46E"/>
        <bgColor indexed="64"/>
      </patternFill>
    </fill>
    <fill>
      <patternFill patternType="solid">
        <fgColor rgb="FFC5E56A"/>
        <bgColor indexed="64"/>
      </patternFill>
    </fill>
    <fill>
      <patternFill patternType="solid">
        <fgColor rgb="FFC8E668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1ED57"/>
        <bgColor indexed="64"/>
      </patternFill>
    </fill>
    <fill>
      <patternFill patternType="solid">
        <fgColor rgb="FFF3F24B"/>
        <bgColor indexed="64"/>
      </patternFill>
    </fill>
    <fill>
      <patternFill patternType="solid">
        <fgColor rgb="FFFFF243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85D496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6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9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3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27" fillId="42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4" borderId="4" xfId="0" applyFont="1" applyFill="1" applyBorder="1" applyAlignment="1">
      <alignment vertical="center"/>
    </xf>
    <xf numFmtId="0" fontId="40" fillId="46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7" borderId="0" xfId="0" applyFill="1"/>
    <xf numFmtId="0" fontId="0" fillId="36" borderId="0" xfId="0" applyFill="1" applyAlignment="1">
      <alignment horizontal="center"/>
    </xf>
    <xf numFmtId="0" fontId="0" fillId="47" borderId="0" xfId="0" applyFill="1" applyAlignment="1">
      <alignment horizontal="center"/>
    </xf>
    <xf numFmtId="0" fontId="44" fillId="48" borderId="4" xfId="0" applyFont="1" applyFill="1" applyBorder="1" applyAlignment="1">
      <alignment vertical="center"/>
    </xf>
    <xf numFmtId="0" fontId="46" fillId="49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1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5" borderId="0" xfId="0" applyFont="1" applyFill="1" applyAlignment="1">
      <alignment horizontal="center"/>
    </xf>
    <xf numFmtId="0" fontId="53" fillId="56" borderId="1" xfId="0" applyFont="1" applyFill="1" applyBorder="1" applyAlignment="1">
      <alignment vertical="center"/>
    </xf>
    <xf numFmtId="0" fontId="55" fillId="58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2" borderId="0" xfId="0" applyFont="1" applyFill="1" applyAlignment="1">
      <alignment vertical="center"/>
    </xf>
    <xf numFmtId="0" fontId="61" fillId="50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56" borderId="0" xfId="0" applyFont="1" applyFill="1" applyAlignment="1">
      <alignment vertical="center"/>
    </xf>
    <xf numFmtId="0" fontId="65" fillId="64" borderId="0" xfId="0" applyFont="1" applyFill="1" applyAlignment="1">
      <alignment vertical="center"/>
    </xf>
    <xf numFmtId="0" fontId="67" fillId="63" borderId="8" xfId="0" applyFont="1" applyFill="1" applyBorder="1" applyAlignment="1">
      <alignment vertical="center"/>
    </xf>
    <xf numFmtId="0" fontId="69" fillId="61" borderId="0" xfId="0" applyFont="1" applyFill="1" applyAlignment="1">
      <alignment vertical="center"/>
    </xf>
    <xf numFmtId="0" fontId="71" fillId="59" borderId="4" xfId="0" applyFont="1" applyFill="1" applyBorder="1" applyAlignment="1">
      <alignment vertical="center"/>
    </xf>
    <xf numFmtId="0" fontId="53" fillId="57" borderId="4" xfId="0" applyFont="1" applyFill="1" applyBorder="1" applyAlignment="1">
      <alignment vertical="center"/>
    </xf>
    <xf numFmtId="0" fontId="73" fillId="54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3" borderId="1" xfId="0" applyFont="1" applyFill="1" applyBorder="1" applyAlignment="1">
      <alignment vertical="center"/>
    </xf>
    <xf numFmtId="0" fontId="79" fillId="52" borderId="1" xfId="0" applyFont="1" applyFill="1" applyBorder="1" applyAlignment="1">
      <alignment vertical="center"/>
    </xf>
    <xf numFmtId="0" fontId="81" fillId="50" borderId="1" xfId="0" applyFont="1" applyFill="1" applyBorder="1" applyAlignment="1">
      <alignment vertical="center"/>
    </xf>
    <xf numFmtId="0" fontId="83" fillId="45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8" borderId="4" xfId="0" applyFont="1" applyFill="1" applyBorder="1" applyAlignment="1">
      <alignment vertical="center"/>
    </xf>
    <xf numFmtId="0" fontId="115" fillId="65" borderId="0" xfId="0" applyFont="1" applyFill="1" applyAlignment="1">
      <alignment vertical="center"/>
    </xf>
    <xf numFmtId="0" fontId="117" fillId="66" borderId="0" xfId="0" applyFont="1" applyFill="1" applyAlignment="1">
      <alignment vertical="center"/>
    </xf>
    <xf numFmtId="0" fontId="80" fillId="67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7" borderId="0" xfId="0" applyFont="1" applyFill="1" applyAlignment="1">
      <alignment vertical="center"/>
    </xf>
    <xf numFmtId="0" fontId="121" fillId="6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2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0" borderId="4" xfId="0" applyFont="1" applyFill="1" applyBorder="1" applyAlignment="1">
      <alignment vertical="center"/>
    </xf>
    <xf numFmtId="0" fontId="29" fillId="69" borderId="0" xfId="0" applyFont="1" applyFill="1" applyAlignment="1">
      <alignment horizontal="center"/>
    </xf>
    <xf numFmtId="0" fontId="29" fillId="70" borderId="0" xfId="0" applyFont="1" applyFill="1" applyAlignment="1">
      <alignment horizontal="center"/>
    </xf>
    <xf numFmtId="0" fontId="29" fillId="71" borderId="0" xfId="0" applyFont="1" applyFill="1" applyAlignment="1">
      <alignment horizontal="center"/>
    </xf>
    <xf numFmtId="0" fontId="29" fillId="72" borderId="0" xfId="0" applyFont="1" applyFill="1" applyAlignment="1">
      <alignment horizontal="center"/>
    </xf>
    <xf numFmtId="0" fontId="29" fillId="73" borderId="0" xfId="0" applyFont="1" applyFill="1" applyAlignment="1">
      <alignment horizontal="center"/>
    </xf>
    <xf numFmtId="0" fontId="29" fillId="74" borderId="0" xfId="0" applyFont="1" applyFill="1" applyAlignment="1">
      <alignment horizontal="center"/>
    </xf>
    <xf numFmtId="0" fontId="29" fillId="75" borderId="0" xfId="0" applyFont="1" applyFill="1" applyAlignment="1">
      <alignment horizont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83" borderId="0" xfId="0" applyFont="1" applyFill="1" applyAlignment="1">
      <alignment vertical="center"/>
    </xf>
    <xf numFmtId="0" fontId="132" fillId="85" borderId="0" xfId="0" applyFont="1" applyFill="1"/>
    <xf numFmtId="0" fontId="0" fillId="47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86" borderId="0" xfId="0" applyFont="1" applyFill="1" applyAlignment="1">
      <alignment vertic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135" fillId="89" borderId="0" xfId="0" applyFont="1" applyFill="1" applyAlignment="1">
      <alignment vertical="center"/>
    </xf>
    <xf numFmtId="0" fontId="29" fillId="91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92" borderId="0" xfId="0" applyFont="1" applyFill="1" applyAlignment="1">
      <alignment vertic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93" borderId="0" xfId="0" applyFont="1" applyFill="1" applyAlignment="1">
      <alignment vertical="center"/>
    </xf>
    <xf numFmtId="0" fontId="104" fillId="96" borderId="0" xfId="0" applyFont="1" applyFill="1" applyAlignment="1">
      <alignment vertical="center"/>
    </xf>
    <xf numFmtId="0" fontId="143" fillId="51" borderId="1" xfId="0" applyFont="1" applyFill="1" applyBorder="1" applyAlignment="1">
      <alignment vertical="center"/>
    </xf>
    <xf numFmtId="0" fontId="29" fillId="97" borderId="0" xfId="0" applyFont="1" applyFill="1" applyAlignment="1">
      <alignment horizontal="center"/>
    </xf>
    <xf numFmtId="0" fontId="145" fillId="98" borderId="0" xfId="0" applyFont="1" applyFill="1" applyAlignment="1">
      <alignment vertical="center"/>
    </xf>
    <xf numFmtId="0" fontId="147" fillId="45" borderId="0" xfId="0" applyFont="1" applyFill="1"/>
    <xf numFmtId="0" fontId="58" fillId="99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149" fillId="103" borderId="0" xfId="0" applyFont="1" applyFill="1" applyAlignment="1">
      <alignment vertical="center"/>
    </xf>
    <xf numFmtId="0" fontId="29" fillId="104" borderId="0" xfId="0" applyFont="1" applyFill="1" applyAlignment="1">
      <alignment horizontal="center"/>
    </xf>
    <xf numFmtId="0" fontId="151" fillId="105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06" borderId="0" xfId="0" applyFont="1" applyFill="1" applyAlignment="1">
      <alignment horizontal="center"/>
    </xf>
    <xf numFmtId="0" fontId="155" fillId="100" borderId="0" xfId="0" applyFont="1" applyFill="1" applyAlignment="1">
      <alignment vertical="center"/>
    </xf>
    <xf numFmtId="0" fontId="29" fillId="108" borderId="0" xfId="0" applyFont="1" applyFill="1" applyAlignment="1">
      <alignment horizontal="center"/>
    </xf>
    <xf numFmtId="0" fontId="159" fillId="48" borderId="0" xfId="0" applyFont="1" applyFill="1" applyAlignment="1">
      <alignment vertical="center"/>
    </xf>
    <xf numFmtId="0" fontId="163" fillId="110" borderId="0" xfId="0" applyFont="1" applyFill="1" applyAlignment="1">
      <alignment vertical="center"/>
    </xf>
    <xf numFmtId="0" fontId="29" fillId="111" borderId="0" xfId="0" applyFont="1" applyFill="1" applyAlignment="1">
      <alignment horizontal="center"/>
    </xf>
    <xf numFmtId="0" fontId="67" fillId="113" borderId="0" xfId="0" applyFont="1" applyFill="1" applyAlignment="1">
      <alignment vertical="center"/>
    </xf>
    <xf numFmtId="0" fontId="45" fillId="112" borderId="0" xfId="0" applyFont="1" applyFill="1" applyAlignment="1">
      <alignment vertical="center"/>
    </xf>
    <xf numFmtId="0" fontId="157" fillId="107" borderId="0" xfId="0" applyFont="1" applyFill="1" applyAlignment="1">
      <alignment vertical="center"/>
    </xf>
    <xf numFmtId="0" fontId="161" fillId="109" borderId="2" xfId="0" applyFont="1" applyFill="1" applyBorder="1" applyAlignment="1">
      <alignment vertical="center"/>
    </xf>
    <xf numFmtId="10" fontId="0" fillId="47" borderId="0" xfId="0" applyNumberFormat="1" applyFill="1" applyAlignment="1">
      <alignment horizontal="right"/>
    </xf>
    <xf numFmtId="0" fontId="165" fillId="114" borderId="4" xfId="0" applyFont="1" applyFill="1" applyBorder="1" applyAlignment="1">
      <alignment vertical="center"/>
    </xf>
    <xf numFmtId="0" fontId="106" fillId="115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83" borderId="1" xfId="0" applyFont="1" applyFill="1" applyBorder="1" applyAlignment="1">
      <alignment vertical="center"/>
    </xf>
    <xf numFmtId="0" fontId="167" fillId="116" borderId="1" xfId="0" applyFont="1" applyFill="1" applyBorder="1" applyAlignment="1">
      <alignment vertical="center"/>
    </xf>
    <xf numFmtId="0" fontId="168" fillId="90" borderId="0" xfId="0" applyFont="1" applyFill="1" applyAlignment="1">
      <alignment vertical="center"/>
    </xf>
    <xf numFmtId="0" fontId="35" fillId="117" borderId="1" xfId="0" applyFont="1" applyFill="1" applyBorder="1"/>
    <xf numFmtId="0" fontId="170" fillId="118" borderId="4" xfId="0" applyFont="1" applyFill="1" applyBorder="1" applyAlignment="1">
      <alignment vertical="center"/>
    </xf>
    <xf numFmtId="0" fontId="29" fillId="119" borderId="0" xfId="0" applyFont="1" applyFill="1" applyAlignment="1">
      <alignment horizontal="center"/>
    </xf>
    <xf numFmtId="0" fontId="167" fillId="120" borderId="1" xfId="0" applyFont="1" applyFill="1" applyBorder="1" applyAlignment="1">
      <alignment vertic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29" fillId="126" borderId="0" xfId="0" applyFont="1" applyFill="1" applyAlignment="1">
      <alignment horizontal="center"/>
    </xf>
    <xf numFmtId="0" fontId="29" fillId="127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  <xf numFmtId="0" fontId="172" fillId="173" borderId="1" xfId="0" applyFont="1" applyFill="1" applyBorder="1" applyAlignment="1">
      <alignment vertical="center"/>
    </xf>
    <xf numFmtId="0" fontId="174" fillId="174" borderId="4" xfId="0" applyFont="1" applyFill="1" applyBorder="1" applyAlignment="1">
      <alignment vertical="center"/>
    </xf>
    <xf numFmtId="0" fontId="176" fillId="4" borderId="4" xfId="0" applyFont="1" applyFill="1" applyBorder="1" applyAlignment="1">
      <alignment vertical="center"/>
    </xf>
    <xf numFmtId="0" fontId="131" fillId="84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167" fillId="175" borderId="1" xfId="0" applyFont="1" applyFill="1" applyBorder="1" applyAlignment="1">
      <alignment vertical="center"/>
    </xf>
    <xf numFmtId="0" fontId="29" fillId="176" borderId="0" xfId="0" applyFont="1" applyFill="1" applyAlignment="1">
      <alignment horizontal="center"/>
    </xf>
    <xf numFmtId="0" fontId="29" fillId="177" borderId="0" xfId="0" applyFont="1" applyFill="1" applyAlignment="1">
      <alignment horizontal="center"/>
    </xf>
  </cellXfs>
  <cellStyles count="1">
    <cellStyle name="Normal" xfId="0" builtinId="0"/>
  </cellStyles>
  <dxfs count="713"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</dxfs>
  <tableStyles count="0" defaultTableStyle="TableStyleMedium2" defaultPivotStyle="PivotStyleLight16"/>
  <colors>
    <mruColors>
      <color rgb="FFF6F9D8"/>
      <color rgb="FFF8D006"/>
      <color rgb="FFF8AD06"/>
      <color rgb="FFFFA800"/>
      <color rgb="FFB5E4FF"/>
      <color rgb="FFF9B622"/>
      <color rgb="FFAAD6EF"/>
      <color rgb="FFDFEFE5"/>
      <color rgb="FF3E2A22"/>
      <color rgb="FFC3C2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0.2)</a:t>
          </a:r>
        </a:p>
        <a:p>
          <a:r>
            <a:rPr lang="es-ES_tradnl" sz="1100"/>
            <a:t>+ ((C - B) * 0.15)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K1" zoomScaleNormal="100" workbookViewId="0">
      <pane ySplit="1" topLeftCell="A106" activePane="bottomLeft" state="frozen"/>
      <selection pane="bottomLeft" activeCell="U78" sqref="U78:V78"/>
    </sheetView>
  </sheetViews>
  <sheetFormatPr baseColWidth="10" defaultColWidth="11.1640625" defaultRowHeight="16" x14ac:dyDescent="0.2"/>
  <cols>
    <col min="1" max="1" width="35.1640625" customWidth="1"/>
    <col min="2" max="2" width="11.33203125" customWidth="1"/>
    <col min="3" max="3" width="3.83203125" customWidth="1"/>
    <col min="4" max="4" width="35.1640625" customWidth="1"/>
    <col min="6" max="6" width="3.83203125" customWidth="1"/>
    <col min="7" max="7" width="35" customWidth="1"/>
    <col min="9" max="9" width="3.83203125" customWidth="1"/>
    <col min="10" max="10" width="34.83203125" customWidth="1"/>
    <col min="12" max="12" width="3.83203125" customWidth="1"/>
    <col min="13" max="13" width="35.1640625" customWidth="1"/>
    <col min="14" max="14" width="12" customWidth="1"/>
    <col min="15" max="15" width="3.83203125" customWidth="1"/>
    <col min="16" max="17" width="3.6640625" customWidth="1"/>
    <col min="18" max="18" width="4.1640625" bestFit="1" customWidth="1"/>
    <col min="19" max="19" width="25.6640625" bestFit="1" customWidth="1"/>
    <col min="20" max="20" width="37.1640625" bestFit="1" customWidth="1"/>
    <col min="21" max="21" width="7.5" bestFit="1" customWidth="1"/>
    <col min="22" max="22" width="14.6640625" style="16" bestFit="1" customWidth="1"/>
    <col min="23" max="23" width="8.1640625" style="16" bestFit="1" customWidth="1"/>
    <col min="24" max="24" width="11.1640625" style="16" bestFit="1" customWidth="1"/>
    <col min="25" max="25" width="9.5" style="16" bestFit="1" customWidth="1"/>
    <col min="26" max="26" width="14.33203125" style="16" bestFit="1" customWidth="1"/>
    <col min="27" max="27" width="10" bestFit="1" customWidth="1"/>
    <col min="28" max="28" width="46.33203125" bestFit="1" customWidth="1"/>
    <col min="29" max="29" width="7.6640625" customWidth="1"/>
    <col min="30" max="30" width="27.1640625" hidden="1" customWidth="1"/>
    <col min="31" max="31" width="27.1640625" bestFit="1" customWidth="1"/>
    <col min="32" max="32" width="34.33203125" bestFit="1" customWidth="1"/>
    <col min="34" max="34" width="14" bestFit="1" customWidth="1"/>
    <col min="35" max="35" width="39.5" customWidth="1"/>
    <col min="36" max="36" width="6.1640625" bestFit="1" customWidth="1"/>
    <col min="37" max="37" width="11" bestFit="1" customWidth="1"/>
    <col min="38" max="38" width="9.6640625" bestFit="1" customWidth="1"/>
    <col min="39" max="39" width="14.6640625" bestFit="1" customWidth="1"/>
    <col min="40" max="40" width="10.5" bestFit="1" customWidth="1"/>
  </cols>
  <sheetData>
    <row r="1" spans="1:47" ht="16" customHeight="1" thickBot="1" x14ac:dyDescent="0.3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69" t="s">
        <v>1385</v>
      </c>
      <c r="S1" s="269"/>
      <c r="T1" s="269"/>
      <c r="U1" s="269"/>
      <c r="V1" s="269"/>
      <c r="W1" s="269"/>
      <c r="X1" s="269"/>
      <c r="Y1" s="269"/>
      <c r="Z1" s="269"/>
      <c r="AA1" s="269"/>
      <c r="AB1" s="269"/>
      <c r="AE1" s="269" t="s">
        <v>1058</v>
      </c>
      <c r="AF1" s="269"/>
    </row>
    <row r="2" spans="1:47" ht="16" customHeight="1" thickBot="1" x14ac:dyDescent="0.25">
      <c r="A2" s="125" t="s">
        <v>917</v>
      </c>
      <c r="B2" s="3">
        <f>ROUND(SUM(B3:B14)/COUNT(B3:B14), 2)</f>
        <v>9.89</v>
      </c>
      <c r="C2" s="4"/>
      <c r="D2" s="126" t="s">
        <v>918</v>
      </c>
      <c r="E2" s="14">
        <f>ROUND(SUM(E3:E12)/COUNT(E3:E12), 2)</f>
        <v>9.6999999999999993</v>
      </c>
      <c r="F2" s="4"/>
      <c r="G2" s="170" t="s">
        <v>1223</v>
      </c>
      <c r="H2" s="3">
        <f>ROUND(SUM(H3:H15)/COUNT(H3:H15), 2)</f>
        <v>8.65</v>
      </c>
      <c r="I2" s="4"/>
      <c r="J2" s="70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337</v>
      </c>
      <c r="V2" s="56" t="s">
        <v>1719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61" t="s">
        <v>1059</v>
      </c>
      <c r="AF2" s="161"/>
      <c r="AK2" t="s">
        <v>428</v>
      </c>
    </row>
    <row r="3" spans="1:47" ht="16" customHeight="1" x14ac:dyDescent="0.2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67">
        <v>1</v>
      </c>
      <c r="S3" s="57" t="s">
        <v>1022</v>
      </c>
      <c r="T3" s="57" t="s">
        <v>1020</v>
      </c>
      <c r="U3" s="76">
        <v>10.5</v>
      </c>
      <c r="V3" s="141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5" t="s">
        <v>1060</v>
      </c>
      <c r="AF3" s="162">
        <v>105</v>
      </c>
      <c r="AQ3" s="46"/>
      <c r="AR3" s="43"/>
      <c r="AS3" s="2" t="s">
        <v>252</v>
      </c>
      <c r="AT3" t="s">
        <v>281</v>
      </c>
    </row>
    <row r="4" spans="1:47" ht="16" customHeight="1" x14ac:dyDescent="0.2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68">
        <v>2</v>
      </c>
      <c r="S4" s="75" t="s">
        <v>342</v>
      </c>
      <c r="T4" s="75" t="s">
        <v>7</v>
      </c>
      <c r="U4" s="77">
        <v>9.89</v>
      </c>
      <c r="V4" s="141">
        <v>10.47</v>
      </c>
      <c r="W4" s="75">
        <v>10</v>
      </c>
      <c r="X4" s="75">
        <v>0.61</v>
      </c>
      <c r="Y4" s="75">
        <v>5</v>
      </c>
      <c r="Z4" s="75">
        <v>12</v>
      </c>
      <c r="AA4" s="75">
        <v>3</v>
      </c>
      <c r="AB4" s="75" t="s">
        <v>775</v>
      </c>
      <c r="AE4" s="57" t="s">
        <v>1061</v>
      </c>
      <c r="AF4" s="163">
        <v>71</v>
      </c>
      <c r="AQ4" s="44"/>
      <c r="AR4" s="43">
        <v>10</v>
      </c>
      <c r="AS4" s="2" t="s">
        <v>248</v>
      </c>
      <c r="AT4" t="s">
        <v>254</v>
      </c>
    </row>
    <row r="5" spans="1:47" ht="16" customHeight="1" x14ac:dyDescent="0.2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69">
        <v>3</v>
      </c>
      <c r="S5" s="57" t="s">
        <v>348</v>
      </c>
      <c r="T5" s="57" t="s">
        <v>1053</v>
      </c>
      <c r="U5" s="76">
        <v>10</v>
      </c>
      <c r="V5" s="141">
        <v>10.35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778</v>
      </c>
      <c r="AE5" s="75" t="s">
        <v>1062</v>
      </c>
      <c r="AF5" s="162">
        <v>1147</v>
      </c>
      <c r="AQ5" s="48"/>
      <c r="AR5" s="43" t="s">
        <v>244</v>
      </c>
      <c r="AS5" s="2" t="s">
        <v>249</v>
      </c>
      <c r="AT5" t="s">
        <v>255</v>
      </c>
    </row>
    <row r="6" spans="1:47" ht="16" customHeight="1" x14ac:dyDescent="0.2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6">
        <v>4</v>
      </c>
      <c r="S6" s="75" t="s">
        <v>343</v>
      </c>
      <c r="T6" s="75" t="s">
        <v>344</v>
      </c>
      <c r="U6" s="77">
        <v>9.6999999999999993</v>
      </c>
      <c r="V6" s="141">
        <v>10.29</v>
      </c>
      <c r="W6" s="75">
        <v>10</v>
      </c>
      <c r="X6" s="75">
        <v>0.87</v>
      </c>
      <c r="Y6" s="75">
        <v>6</v>
      </c>
      <c r="Z6" s="75">
        <v>10</v>
      </c>
      <c r="AA6" s="75">
        <v>0</v>
      </c>
      <c r="AB6" s="75" t="s">
        <v>776</v>
      </c>
      <c r="AE6" s="57" t="s">
        <v>1063</v>
      </c>
      <c r="AF6" s="163">
        <v>1093</v>
      </c>
      <c r="AQ6" s="47"/>
      <c r="AR6" s="43" t="s">
        <v>245</v>
      </c>
      <c r="AS6" s="2" t="s">
        <v>250</v>
      </c>
      <c r="AT6" t="s">
        <v>256</v>
      </c>
    </row>
    <row r="7" spans="1:47" ht="16" customHeight="1" x14ac:dyDescent="0.2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6">
        <v>5</v>
      </c>
      <c r="S7" s="57" t="s">
        <v>695</v>
      </c>
      <c r="T7" s="57" t="s">
        <v>696</v>
      </c>
      <c r="U7" s="76">
        <v>9.8800000000000008</v>
      </c>
      <c r="V7" s="141">
        <v>10.16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796</v>
      </c>
      <c r="AE7" s="75" t="s">
        <v>341</v>
      </c>
      <c r="AF7" s="162">
        <v>54</v>
      </c>
      <c r="AQ7" s="45"/>
      <c r="AR7" s="43" t="s">
        <v>246</v>
      </c>
      <c r="AS7" s="2" t="s">
        <v>251</v>
      </c>
      <c r="AT7" t="s">
        <v>257</v>
      </c>
    </row>
    <row r="8" spans="1:47" ht="16" customHeight="1" x14ac:dyDescent="0.2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6">
        <v>6</v>
      </c>
      <c r="S8" s="75" t="s">
        <v>342</v>
      </c>
      <c r="T8" s="75" t="s">
        <v>578</v>
      </c>
      <c r="U8" s="77">
        <v>9.61</v>
      </c>
      <c r="V8" s="215">
        <v>9.91</v>
      </c>
      <c r="W8" s="75">
        <v>10</v>
      </c>
      <c r="X8" s="75">
        <v>0.74</v>
      </c>
      <c r="Y8" s="75">
        <v>5</v>
      </c>
      <c r="Z8" s="75">
        <v>11</v>
      </c>
      <c r="AA8" s="75">
        <v>2</v>
      </c>
      <c r="AB8" s="75" t="s">
        <v>775</v>
      </c>
      <c r="AE8" s="57" t="s">
        <v>1064</v>
      </c>
      <c r="AF8" s="163">
        <v>10.92</v>
      </c>
      <c r="AQ8" s="55"/>
      <c r="AR8" s="43" t="s">
        <v>328</v>
      </c>
      <c r="AS8" s="2" t="s">
        <v>329</v>
      </c>
      <c r="AT8" t="s">
        <v>330</v>
      </c>
    </row>
    <row r="9" spans="1:47" ht="16" customHeight="1" x14ac:dyDescent="0.2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6">
        <v>7</v>
      </c>
      <c r="S9" s="57" t="s">
        <v>342</v>
      </c>
      <c r="T9" s="57" t="s">
        <v>158</v>
      </c>
      <c r="U9" s="76">
        <v>9.61</v>
      </c>
      <c r="V9" s="216">
        <v>9.89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775</v>
      </c>
      <c r="AE9" s="75" t="s">
        <v>1065</v>
      </c>
      <c r="AF9" s="202">
        <v>4.7100000000000003E-2</v>
      </c>
      <c r="AQ9" s="49"/>
      <c r="AS9" s="2" t="s">
        <v>258</v>
      </c>
      <c r="AT9" t="s">
        <v>259</v>
      </c>
    </row>
    <row r="10" spans="1:47" ht="16" customHeight="1" x14ac:dyDescent="0.2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6">
        <v>8</v>
      </c>
      <c r="S10" s="75" t="s">
        <v>343</v>
      </c>
      <c r="T10" s="75" t="s">
        <v>345</v>
      </c>
      <c r="U10" s="77">
        <v>9.5500000000000007</v>
      </c>
      <c r="V10" s="217">
        <v>9.77</v>
      </c>
      <c r="W10" s="75">
        <v>9.5</v>
      </c>
      <c r="X10" s="75">
        <v>0.57999999999999996</v>
      </c>
      <c r="Y10" s="75">
        <v>3</v>
      </c>
      <c r="Z10" s="75">
        <v>12</v>
      </c>
      <c r="AA10" s="75">
        <v>1</v>
      </c>
      <c r="AB10" s="75" t="s">
        <v>776</v>
      </c>
    </row>
    <row r="11" spans="1:47" ht="16" customHeight="1" x14ac:dyDescent="0.2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6">
        <v>9</v>
      </c>
      <c r="S11" s="57" t="s">
        <v>348</v>
      </c>
      <c r="T11" s="57" t="s">
        <v>349</v>
      </c>
      <c r="U11" s="76">
        <v>9.44</v>
      </c>
      <c r="V11" s="218">
        <v>9.65</v>
      </c>
      <c r="W11" s="57">
        <v>9.5</v>
      </c>
      <c r="X11" s="57">
        <v>0.93</v>
      </c>
      <c r="Y11" s="57">
        <v>4</v>
      </c>
      <c r="Z11" s="57">
        <v>10</v>
      </c>
      <c r="AA11" s="57">
        <v>1</v>
      </c>
      <c r="AB11" s="57" t="s">
        <v>779</v>
      </c>
      <c r="AE11" s="161" t="s">
        <v>1066</v>
      </c>
      <c r="AF11" s="161"/>
      <c r="AI11" s="86"/>
      <c r="AQ11" s="17" t="s">
        <v>163</v>
      </c>
      <c r="AR11" s="17"/>
      <c r="AU11" s="18" cm="1">
        <f t="array" ref="AU11">ROUND(CORREL(V3:V75,Z3:Z75-AA3:AA75),3)</f>
        <v>-0.40600000000000003</v>
      </c>
    </row>
    <row r="12" spans="1:47" ht="16" customHeight="1" thickBot="1" x14ac:dyDescent="0.25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7.5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6">
        <v>10</v>
      </c>
      <c r="S12" s="75" t="s">
        <v>342</v>
      </c>
      <c r="T12" s="75" t="s">
        <v>1291</v>
      </c>
      <c r="U12" s="77">
        <v>9.36</v>
      </c>
      <c r="V12" s="219">
        <v>9.61</v>
      </c>
      <c r="W12" s="75">
        <v>10</v>
      </c>
      <c r="X12" s="75">
        <v>1.1200000000000001</v>
      </c>
      <c r="Y12" s="75">
        <v>4</v>
      </c>
      <c r="Z12" s="75">
        <v>10</v>
      </c>
      <c r="AA12" s="75">
        <v>3</v>
      </c>
      <c r="AB12" s="75" t="s">
        <v>1304</v>
      </c>
      <c r="AE12" s="57" t="s">
        <v>1067</v>
      </c>
      <c r="AF12" s="163">
        <v>8.66</v>
      </c>
      <c r="AQ12" s="17" t="s">
        <v>164</v>
      </c>
      <c r="AR12" s="17"/>
      <c r="AS12" s="1"/>
      <c r="AT12" s="17"/>
      <c r="AU12" s="17"/>
    </row>
    <row r="13" spans="1:47" ht="16" customHeight="1" thickBot="1" x14ac:dyDescent="0.25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6">
        <v>11</v>
      </c>
      <c r="S13" s="57" t="s">
        <v>348</v>
      </c>
      <c r="T13" s="57" t="s">
        <v>792</v>
      </c>
      <c r="U13" s="76">
        <v>9.4</v>
      </c>
      <c r="V13" s="220">
        <v>9.49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5" t="s">
        <v>1068</v>
      </c>
      <c r="AF13" s="162">
        <v>8.5</v>
      </c>
      <c r="AQ13" t="s">
        <v>1057</v>
      </c>
      <c r="AR13" s="17"/>
      <c r="AS13" s="1"/>
      <c r="AT13" s="17"/>
      <c r="AU13" s="17"/>
    </row>
    <row r="14" spans="1:47" ht="16" customHeight="1" thickBot="1" x14ac:dyDescent="0.25">
      <c r="A14" s="6" t="s">
        <v>11</v>
      </c>
      <c r="B14" s="52"/>
      <c r="C14" s="4"/>
      <c r="D14" s="121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3" t="s">
        <v>915</v>
      </c>
      <c r="K14" s="3">
        <f>ROUND(SUM(K15:K23)/COUNT(K15:K23), 2)</f>
        <v>8.83</v>
      </c>
      <c r="L14" s="4"/>
      <c r="M14" s="124" t="s">
        <v>916</v>
      </c>
      <c r="N14" s="3">
        <f>ROUND(SUM(N15:N26)/COUNT(N15:N26), 2)</f>
        <v>8.67</v>
      </c>
      <c r="O14" s="22"/>
      <c r="R14" s="66">
        <v>12</v>
      </c>
      <c r="S14" s="75" t="s">
        <v>346</v>
      </c>
      <c r="T14" s="75" t="s">
        <v>280</v>
      </c>
      <c r="U14" s="77">
        <v>9.3800000000000008</v>
      </c>
      <c r="V14" s="221">
        <v>9.4600000000000009</v>
      </c>
      <c r="W14" s="75">
        <v>9.5</v>
      </c>
      <c r="X14" s="75">
        <v>0.78</v>
      </c>
      <c r="Y14" s="75">
        <v>3</v>
      </c>
      <c r="Z14" s="75">
        <v>8</v>
      </c>
      <c r="AA14" s="75">
        <v>0</v>
      </c>
      <c r="AB14" s="75" t="s">
        <v>777</v>
      </c>
      <c r="AE14" s="57" t="s">
        <v>1069</v>
      </c>
      <c r="AF14" s="163" t="s">
        <v>1712</v>
      </c>
    </row>
    <row r="15" spans="1:47" ht="16" customHeight="1" thickBot="1" x14ac:dyDescent="0.25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6">
        <v>13</v>
      </c>
      <c r="S15" s="57" t="s">
        <v>347</v>
      </c>
      <c r="T15" s="57" t="s">
        <v>1226</v>
      </c>
      <c r="U15" s="76">
        <v>9.4</v>
      </c>
      <c r="V15" s="222">
        <v>9.42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778</v>
      </c>
      <c r="AQ15" t="s">
        <v>391</v>
      </c>
    </row>
    <row r="16" spans="1:47" ht="16" customHeight="1" thickBot="1" x14ac:dyDescent="0.25">
      <c r="A16" s="122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6">
        <v>14</v>
      </c>
      <c r="S16" s="75" t="s">
        <v>351</v>
      </c>
      <c r="T16" s="75" t="s">
        <v>56</v>
      </c>
      <c r="U16" s="77">
        <v>9.25</v>
      </c>
      <c r="V16" s="223">
        <v>9.31</v>
      </c>
      <c r="W16" s="75">
        <v>9.25</v>
      </c>
      <c r="X16" s="75">
        <v>0.83</v>
      </c>
      <c r="Y16" s="75">
        <v>3</v>
      </c>
      <c r="Z16" s="75">
        <v>8</v>
      </c>
      <c r="AA16" s="75">
        <v>0</v>
      </c>
      <c r="AB16" s="75" t="s">
        <v>801</v>
      </c>
      <c r="AE16" s="161" t="s">
        <v>1070</v>
      </c>
      <c r="AF16" s="161"/>
    </row>
    <row r="17" spans="1:43" ht="16" customHeight="1" thickBot="1" x14ac:dyDescent="0.25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171" t="s">
        <v>1224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6">
        <v>15</v>
      </c>
      <c r="S17" s="57" t="s">
        <v>347</v>
      </c>
      <c r="T17" s="57" t="s">
        <v>1031</v>
      </c>
      <c r="U17" s="76">
        <v>9.3000000000000007</v>
      </c>
      <c r="V17" s="223">
        <v>9.31</v>
      </c>
      <c r="W17" s="57">
        <v>9</v>
      </c>
      <c r="X17" s="57">
        <v>0.87</v>
      </c>
      <c r="Y17" s="57">
        <v>2</v>
      </c>
      <c r="Z17" s="57">
        <v>5</v>
      </c>
      <c r="AA17" s="57">
        <v>0</v>
      </c>
      <c r="AB17" s="57" t="s">
        <v>778</v>
      </c>
      <c r="AE17" s="75" t="s">
        <v>1071</v>
      </c>
      <c r="AF17" s="162">
        <v>0.99</v>
      </c>
    </row>
    <row r="18" spans="1:43" ht="16" customHeight="1" x14ac:dyDescent="0.2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6">
        <v>16</v>
      </c>
      <c r="S18" s="75" t="s">
        <v>352</v>
      </c>
      <c r="T18" s="75" t="s">
        <v>190</v>
      </c>
      <c r="U18" s="77">
        <v>9.2100000000000009</v>
      </c>
      <c r="V18" s="224">
        <v>9.27</v>
      </c>
      <c r="W18" s="75">
        <v>9.25</v>
      </c>
      <c r="X18" s="75">
        <v>0.85</v>
      </c>
      <c r="Y18" s="75">
        <v>5</v>
      </c>
      <c r="Z18" s="75">
        <v>13</v>
      </c>
      <c r="AA18" s="75">
        <v>1</v>
      </c>
      <c r="AB18" s="75" t="s">
        <v>781</v>
      </c>
      <c r="AE18" s="57" t="s">
        <v>1072</v>
      </c>
      <c r="AF18" s="164">
        <v>0.11409999999999999</v>
      </c>
    </row>
    <row r="19" spans="1:43" ht="16" customHeight="1" x14ac:dyDescent="0.2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6">
        <v>17</v>
      </c>
      <c r="S19" s="57" t="s">
        <v>350</v>
      </c>
      <c r="T19" s="57" t="s">
        <v>132</v>
      </c>
      <c r="U19" s="76">
        <v>9.2100000000000009</v>
      </c>
      <c r="V19" s="146">
        <v>9.23</v>
      </c>
      <c r="W19" s="57">
        <v>9</v>
      </c>
      <c r="X19" s="57">
        <v>0.8</v>
      </c>
      <c r="Y19" s="57">
        <v>2</v>
      </c>
      <c r="Z19" s="57">
        <v>7</v>
      </c>
      <c r="AA19" s="57">
        <v>0</v>
      </c>
      <c r="AB19" s="57" t="s">
        <v>802</v>
      </c>
      <c r="AE19" s="75" t="s">
        <v>1073</v>
      </c>
      <c r="AF19" s="162" t="s">
        <v>1074</v>
      </c>
    </row>
    <row r="20" spans="1:43" ht="16" customHeight="1" x14ac:dyDescent="0.2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6">
        <v>18</v>
      </c>
      <c r="S20" s="75" t="s">
        <v>499</v>
      </c>
      <c r="T20" s="75" t="s">
        <v>517</v>
      </c>
      <c r="U20" s="77">
        <v>9.17</v>
      </c>
      <c r="V20" s="166">
        <v>9.19</v>
      </c>
      <c r="W20" s="75">
        <v>9</v>
      </c>
      <c r="X20" s="75">
        <v>0.69</v>
      </c>
      <c r="Y20" s="75">
        <v>1</v>
      </c>
      <c r="Z20" s="75">
        <v>6</v>
      </c>
      <c r="AA20" s="75">
        <v>0</v>
      </c>
      <c r="AB20" s="75" t="s">
        <v>780</v>
      </c>
      <c r="AE20" s="57" t="s">
        <v>1075</v>
      </c>
      <c r="AF20" s="163" t="s">
        <v>1076</v>
      </c>
    </row>
    <row r="21" spans="1:43" ht="16" customHeight="1" x14ac:dyDescent="0.2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6">
        <v>19</v>
      </c>
      <c r="S21" s="57" t="s">
        <v>463</v>
      </c>
      <c r="T21" s="57" t="s">
        <v>36</v>
      </c>
      <c r="U21" s="76">
        <v>9.15</v>
      </c>
      <c r="V21" s="225">
        <v>9.18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" customHeight="1" x14ac:dyDescent="0.2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6">
        <v>20</v>
      </c>
      <c r="S22" s="75" t="s">
        <v>351</v>
      </c>
      <c r="T22" s="75" t="s">
        <v>715</v>
      </c>
      <c r="U22" s="77">
        <v>9.1300000000000008</v>
      </c>
      <c r="V22" s="226">
        <v>9.15</v>
      </c>
      <c r="W22" s="75">
        <v>9</v>
      </c>
      <c r="X22" s="75">
        <v>0.93</v>
      </c>
      <c r="Y22" s="75">
        <v>3</v>
      </c>
      <c r="Z22" s="75">
        <v>8</v>
      </c>
      <c r="AA22" s="75">
        <v>0</v>
      </c>
      <c r="AB22" s="75" t="s">
        <v>801</v>
      </c>
      <c r="AE22" s="161" t="s">
        <v>1077</v>
      </c>
      <c r="AF22" s="161"/>
      <c r="AQ22" t="s">
        <v>284</v>
      </c>
    </row>
    <row r="23" spans="1:43" ht="16" customHeight="1" thickBot="1" x14ac:dyDescent="0.25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6">
        <v>21</v>
      </c>
      <c r="S23" s="57" t="s">
        <v>353</v>
      </c>
      <c r="T23" s="57" t="s">
        <v>159</v>
      </c>
      <c r="U23" s="76">
        <v>9.08</v>
      </c>
      <c r="V23" s="167">
        <v>9.1</v>
      </c>
      <c r="W23" s="57">
        <v>9</v>
      </c>
      <c r="X23" s="57">
        <v>0.84</v>
      </c>
      <c r="Y23" s="57">
        <v>3</v>
      </c>
      <c r="Z23" s="57">
        <v>13</v>
      </c>
      <c r="AA23" s="57">
        <v>1</v>
      </c>
      <c r="AB23" s="57" t="s">
        <v>782</v>
      </c>
      <c r="AE23" s="75" t="s">
        <v>1078</v>
      </c>
      <c r="AF23" s="162" t="s">
        <v>1654</v>
      </c>
      <c r="AQ23" t="s">
        <v>285</v>
      </c>
    </row>
    <row r="24" spans="1:43" ht="16" customHeight="1" thickBot="1" x14ac:dyDescent="0.25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6">
        <v>22</v>
      </c>
      <c r="S24" s="75" t="s">
        <v>343</v>
      </c>
      <c r="T24" s="75" t="s">
        <v>297</v>
      </c>
      <c r="U24" s="77">
        <v>9.0500000000000007</v>
      </c>
      <c r="V24" s="227">
        <v>9.06</v>
      </c>
      <c r="W24" s="75">
        <v>9</v>
      </c>
      <c r="X24" s="75">
        <v>1.04</v>
      </c>
      <c r="Y24" s="75">
        <v>4</v>
      </c>
      <c r="Z24" s="75">
        <v>11</v>
      </c>
      <c r="AA24" s="75">
        <v>1</v>
      </c>
      <c r="AB24" s="75" t="s">
        <v>882</v>
      </c>
      <c r="AE24" s="57" t="s">
        <v>1079</v>
      </c>
      <c r="AF24" s="163" t="s">
        <v>1713</v>
      </c>
    </row>
    <row r="25" spans="1:43" ht="16" customHeight="1" thickBot="1" x14ac:dyDescent="0.25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20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6">
        <v>23</v>
      </c>
      <c r="S25" s="57" t="s">
        <v>934</v>
      </c>
      <c r="T25" s="57" t="s">
        <v>925</v>
      </c>
      <c r="U25" s="76">
        <v>9.06</v>
      </c>
      <c r="V25" s="58">
        <v>9.0500000000000007</v>
      </c>
      <c r="W25" s="57">
        <v>8.75</v>
      </c>
      <c r="X25" s="57">
        <v>0.92</v>
      </c>
      <c r="Y25" s="57">
        <v>3</v>
      </c>
      <c r="Z25" s="57">
        <v>9</v>
      </c>
      <c r="AA25" s="57">
        <v>1</v>
      </c>
      <c r="AB25" s="57" t="s">
        <v>935</v>
      </c>
    </row>
    <row r="26" spans="1:43" ht="16" customHeight="1" thickBot="1" x14ac:dyDescent="0.25">
      <c r="A26" s="172" t="s">
        <v>1225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6">
        <v>24</v>
      </c>
      <c r="S26" s="75" t="s">
        <v>354</v>
      </c>
      <c r="T26" s="75" t="s">
        <v>270</v>
      </c>
      <c r="U26" s="77">
        <v>9</v>
      </c>
      <c r="V26" s="228">
        <v>9.0299999999999994</v>
      </c>
      <c r="W26" s="75">
        <v>9</v>
      </c>
      <c r="X26" s="75">
        <v>0.82</v>
      </c>
      <c r="Y26" s="75">
        <v>2</v>
      </c>
      <c r="Z26" s="75">
        <v>9</v>
      </c>
      <c r="AA26" s="75">
        <v>0</v>
      </c>
      <c r="AB26" s="75" t="s">
        <v>801</v>
      </c>
      <c r="AE26" s="161" t="s">
        <v>1080</v>
      </c>
      <c r="AF26" s="161"/>
      <c r="AQ26" t="s">
        <v>295</v>
      </c>
    </row>
    <row r="27" spans="1:43" ht="16" customHeight="1" thickBot="1" x14ac:dyDescent="0.25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6">
        <v>25</v>
      </c>
      <c r="S27" s="57" t="s">
        <v>351</v>
      </c>
      <c r="T27" s="57" t="s">
        <v>1169</v>
      </c>
      <c r="U27" s="76">
        <v>9</v>
      </c>
      <c r="V27" s="229">
        <v>9.02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5" t="s">
        <v>1081</v>
      </c>
      <c r="AF27" s="162" t="s">
        <v>1082</v>
      </c>
    </row>
    <row r="28" spans="1:43" ht="16" customHeight="1" thickBot="1" x14ac:dyDescent="0.25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6">
        <v>26</v>
      </c>
      <c r="S28" s="75" t="s">
        <v>499</v>
      </c>
      <c r="T28" s="75" t="s">
        <v>670</v>
      </c>
      <c r="U28" s="77">
        <v>8.94</v>
      </c>
      <c r="V28" s="230">
        <v>8.9700000000000006</v>
      </c>
      <c r="W28" s="75">
        <v>9</v>
      </c>
      <c r="X28" s="75">
        <v>0.86</v>
      </c>
      <c r="Y28" s="75">
        <v>2</v>
      </c>
      <c r="Z28" s="75">
        <v>9</v>
      </c>
      <c r="AA28" s="75">
        <v>0</v>
      </c>
      <c r="AB28" s="75" t="s">
        <v>780</v>
      </c>
      <c r="AE28" s="57" t="s">
        <v>1083</v>
      </c>
      <c r="AF28" s="163" t="s">
        <v>1714</v>
      </c>
      <c r="AQ28" s="15"/>
    </row>
    <row r="29" spans="1:43" ht="16" customHeight="1" thickBot="1" x14ac:dyDescent="0.25">
      <c r="A29" s="6" t="s">
        <v>449</v>
      </c>
      <c r="B29" s="51">
        <v>10.5</v>
      </c>
      <c r="C29" s="11"/>
      <c r="D29" s="117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6">
        <v>27</v>
      </c>
      <c r="S29" s="57" t="s">
        <v>343</v>
      </c>
      <c r="T29" s="57" t="s">
        <v>451</v>
      </c>
      <c r="U29" s="76">
        <v>8.9600000000000009</v>
      </c>
      <c r="V29" s="231">
        <v>8.9600000000000009</v>
      </c>
      <c r="W29" s="57">
        <v>8.75</v>
      </c>
      <c r="X29" s="57">
        <v>0.83</v>
      </c>
      <c r="Y29" s="57">
        <v>3</v>
      </c>
      <c r="Z29" s="57">
        <v>12</v>
      </c>
      <c r="AA29" s="57">
        <v>0</v>
      </c>
      <c r="AB29" s="57" t="s">
        <v>799</v>
      </c>
      <c r="AE29" s="75" t="s">
        <v>1084</v>
      </c>
      <c r="AF29" s="162" t="s">
        <v>1715</v>
      </c>
      <c r="AQ29" s="74" t="s">
        <v>534</v>
      </c>
    </row>
    <row r="30" spans="1:43" ht="16" customHeight="1" thickBot="1" x14ac:dyDescent="0.25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15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6">
        <v>28</v>
      </c>
      <c r="S30" s="75" t="s">
        <v>1619</v>
      </c>
      <c r="T30" s="75" t="s">
        <v>1620</v>
      </c>
      <c r="U30" s="77">
        <v>8.67</v>
      </c>
      <c r="V30" s="87">
        <v>8.94</v>
      </c>
      <c r="W30" s="75">
        <v>8.5</v>
      </c>
      <c r="X30" s="75">
        <v>0.98</v>
      </c>
      <c r="Y30" s="75">
        <v>5</v>
      </c>
      <c r="Z30" s="75">
        <v>26</v>
      </c>
      <c r="AA30" s="75">
        <v>0</v>
      </c>
      <c r="AB30" s="75" t="s">
        <v>1622</v>
      </c>
      <c r="AE30" s="57" t="s">
        <v>1085</v>
      </c>
      <c r="AF30" s="163" t="s">
        <v>1716</v>
      </c>
      <c r="AQ30" s="15"/>
    </row>
    <row r="31" spans="1:43" ht="16" customHeight="1" thickBot="1" x14ac:dyDescent="0.25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6">
        <v>29</v>
      </c>
      <c r="S31" s="57" t="s">
        <v>361</v>
      </c>
      <c r="T31" s="57" t="s">
        <v>1694</v>
      </c>
      <c r="U31" s="76">
        <v>8.94</v>
      </c>
      <c r="V31" s="274">
        <v>8.92</v>
      </c>
      <c r="W31" s="57">
        <v>8.5</v>
      </c>
      <c r="X31" s="57">
        <v>0.76</v>
      </c>
      <c r="Y31" s="57">
        <v>2</v>
      </c>
      <c r="Z31" s="57">
        <v>10</v>
      </c>
      <c r="AA31" s="57">
        <v>1</v>
      </c>
      <c r="AB31" s="57" t="s">
        <v>1724</v>
      </c>
      <c r="AE31" s="75" t="s">
        <v>1086</v>
      </c>
      <c r="AF31" s="162" t="s">
        <v>1717</v>
      </c>
      <c r="AQ31" s="60" t="s">
        <v>371</v>
      </c>
    </row>
    <row r="32" spans="1:43" ht="16" customHeight="1" thickBot="1" x14ac:dyDescent="0.25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6">
        <v>30</v>
      </c>
      <c r="S32" s="75" t="s">
        <v>739</v>
      </c>
      <c r="T32" s="75" t="s">
        <v>1488</v>
      </c>
      <c r="U32" s="77">
        <v>8.8800000000000008</v>
      </c>
      <c r="V32" s="232">
        <v>8.86</v>
      </c>
      <c r="W32" s="75">
        <v>8.5</v>
      </c>
      <c r="X32" s="75">
        <v>0.74</v>
      </c>
      <c r="Y32" s="75">
        <v>2</v>
      </c>
      <c r="Z32" s="75">
        <v>15</v>
      </c>
      <c r="AA32" s="75">
        <v>2</v>
      </c>
      <c r="AB32" s="75" t="s">
        <v>1490</v>
      </c>
      <c r="AE32" s="57" t="s">
        <v>1087</v>
      </c>
      <c r="AF32" s="163" t="s">
        <v>1718</v>
      </c>
      <c r="AQ32" t="s">
        <v>372</v>
      </c>
    </row>
    <row r="33" spans="1:43" ht="16" customHeight="1" thickBot="1" x14ac:dyDescent="0.25">
      <c r="A33" s="116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6">
        <v>31</v>
      </c>
      <c r="S33" s="57" t="s">
        <v>350</v>
      </c>
      <c r="T33" s="57" t="s">
        <v>993</v>
      </c>
      <c r="U33" s="76">
        <v>8.8800000000000008</v>
      </c>
      <c r="V33" s="233">
        <v>8.85</v>
      </c>
      <c r="W33" s="57">
        <v>8.75</v>
      </c>
      <c r="X33" s="57">
        <v>0.89</v>
      </c>
      <c r="Y33" s="57">
        <v>1</v>
      </c>
      <c r="Z33" s="57">
        <v>8</v>
      </c>
      <c r="AA33" s="57">
        <v>0</v>
      </c>
      <c r="AB33" s="57" t="s">
        <v>802</v>
      </c>
      <c r="AQ33" t="s">
        <v>373</v>
      </c>
    </row>
    <row r="34" spans="1:43" ht="16" customHeight="1" x14ac:dyDescent="0.2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6">
        <v>32</v>
      </c>
      <c r="S34" s="75" t="s">
        <v>1222</v>
      </c>
      <c r="T34" s="75" t="s">
        <v>1618</v>
      </c>
      <c r="U34" s="77">
        <v>8.7200000000000006</v>
      </c>
      <c r="V34" s="234">
        <v>8.82</v>
      </c>
      <c r="W34" s="75">
        <v>8.5</v>
      </c>
      <c r="X34" s="75">
        <v>1.03</v>
      </c>
      <c r="Y34" s="75">
        <v>5</v>
      </c>
      <c r="Z34" s="75">
        <v>24</v>
      </c>
      <c r="AA34" s="75">
        <v>1</v>
      </c>
      <c r="AB34" s="75" t="s">
        <v>1622</v>
      </c>
      <c r="AE34" s="161" t="s">
        <v>1088</v>
      </c>
      <c r="AF34" s="161"/>
      <c r="AQ34" t="s">
        <v>374</v>
      </c>
    </row>
    <row r="35" spans="1:43" ht="16" customHeight="1" x14ac:dyDescent="0.2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6">
        <v>33</v>
      </c>
      <c r="S35" s="57" t="s">
        <v>1556</v>
      </c>
      <c r="T35" s="57" t="s">
        <v>1557</v>
      </c>
      <c r="U35" s="76">
        <v>8.93</v>
      </c>
      <c r="V35" s="234">
        <v>8.82</v>
      </c>
      <c r="W35" s="57">
        <v>9</v>
      </c>
      <c r="X35" s="57">
        <v>0.73</v>
      </c>
      <c r="Y35" s="57">
        <v>1</v>
      </c>
      <c r="Z35" s="57">
        <v>7</v>
      </c>
      <c r="AA35" s="57">
        <v>0</v>
      </c>
      <c r="AB35" s="57" t="s">
        <v>1560</v>
      </c>
      <c r="AE35" s="75" t="s">
        <v>1089</v>
      </c>
      <c r="AF35" s="162" t="s">
        <v>1090</v>
      </c>
      <c r="AQ35" t="s">
        <v>375</v>
      </c>
    </row>
    <row r="36" spans="1:43" ht="16" customHeight="1" thickBot="1" x14ac:dyDescent="0.25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6">
        <v>34</v>
      </c>
      <c r="S36" s="75" t="s">
        <v>1667</v>
      </c>
      <c r="T36" s="75" t="s">
        <v>1668</v>
      </c>
      <c r="U36" s="77">
        <v>8.9</v>
      </c>
      <c r="V36" s="234">
        <v>8.82</v>
      </c>
      <c r="W36" s="75">
        <v>9</v>
      </c>
      <c r="X36" s="75">
        <v>0.66</v>
      </c>
      <c r="Y36" s="75">
        <v>1</v>
      </c>
      <c r="Z36" s="75">
        <v>5</v>
      </c>
      <c r="AA36" s="75">
        <v>0</v>
      </c>
      <c r="AB36" s="75" t="s">
        <v>1669</v>
      </c>
      <c r="AE36" s="57" t="s">
        <v>1091</v>
      </c>
      <c r="AF36" s="163" t="s">
        <v>1092</v>
      </c>
      <c r="AQ36" t="s">
        <v>427</v>
      </c>
    </row>
    <row r="37" spans="1:43" ht="16" customHeight="1" thickBot="1" x14ac:dyDescent="0.25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6">
        <v>35</v>
      </c>
      <c r="S37" s="57" t="s">
        <v>355</v>
      </c>
      <c r="T37" s="57" t="s">
        <v>356</v>
      </c>
      <c r="U37" s="76">
        <v>8.89</v>
      </c>
      <c r="V37" s="235">
        <v>8.81</v>
      </c>
      <c r="W37" s="57">
        <v>9</v>
      </c>
      <c r="X37" s="57">
        <v>0.7</v>
      </c>
      <c r="Y37" s="57">
        <v>2</v>
      </c>
      <c r="Z37" s="57">
        <v>9</v>
      </c>
      <c r="AA37" s="57">
        <v>0</v>
      </c>
      <c r="AB37" s="57" t="s">
        <v>783</v>
      </c>
      <c r="AE37" s="75" t="s">
        <v>1093</v>
      </c>
      <c r="AF37" s="162" t="s">
        <v>1458</v>
      </c>
      <c r="AQ37" t="s">
        <v>1303</v>
      </c>
    </row>
    <row r="38" spans="1:43" ht="16" customHeight="1" thickBot="1" x14ac:dyDescent="0.25">
      <c r="A38" s="6" t="s">
        <v>150</v>
      </c>
      <c r="B38" s="51">
        <v>10.5</v>
      </c>
      <c r="C38" s="4"/>
      <c r="D38" s="114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6">
        <v>36</v>
      </c>
      <c r="S38" s="75" t="s">
        <v>357</v>
      </c>
      <c r="T38" s="75" t="s">
        <v>357</v>
      </c>
      <c r="U38" s="77">
        <v>8.83</v>
      </c>
      <c r="V38" s="235">
        <v>8.81</v>
      </c>
      <c r="W38" s="75">
        <v>8.5</v>
      </c>
      <c r="X38" s="75">
        <v>0.82</v>
      </c>
      <c r="Y38" s="75">
        <v>2</v>
      </c>
      <c r="Z38" s="75">
        <v>9</v>
      </c>
      <c r="AA38" s="75">
        <v>0</v>
      </c>
      <c r="AB38" s="75" t="s">
        <v>1254</v>
      </c>
      <c r="AE38" s="57" t="s">
        <v>1094</v>
      </c>
      <c r="AF38" s="163" t="s">
        <v>1410</v>
      </c>
    </row>
    <row r="39" spans="1:43" ht="16" customHeight="1" thickBot="1" x14ac:dyDescent="0.25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6">
        <v>37</v>
      </c>
      <c r="S39" s="57" t="s">
        <v>1429</v>
      </c>
      <c r="T39" s="57" t="s">
        <v>1430</v>
      </c>
      <c r="U39" s="76">
        <v>8.82</v>
      </c>
      <c r="V39" s="235">
        <v>8.81</v>
      </c>
      <c r="W39" s="57">
        <v>8.75</v>
      </c>
      <c r="X39" s="57">
        <v>0.92</v>
      </c>
      <c r="Y39" s="57">
        <v>3</v>
      </c>
      <c r="Z39" s="57">
        <v>16</v>
      </c>
      <c r="AA39" s="57">
        <v>2</v>
      </c>
      <c r="AB39" s="57" t="s">
        <v>1433</v>
      </c>
      <c r="AQ39" t="s">
        <v>810</v>
      </c>
    </row>
    <row r="40" spans="1:43" ht="16" customHeight="1" thickBot="1" x14ac:dyDescent="0.25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18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6">
        <v>38</v>
      </c>
      <c r="S40" s="75" t="s">
        <v>1386</v>
      </c>
      <c r="T40" s="75" t="s">
        <v>1377</v>
      </c>
      <c r="U40" s="77">
        <v>8.86</v>
      </c>
      <c r="V40" s="158">
        <v>8.8000000000000007</v>
      </c>
      <c r="W40" s="75">
        <v>9</v>
      </c>
      <c r="X40" s="75">
        <v>0.53</v>
      </c>
      <c r="Y40" s="75">
        <v>1</v>
      </c>
      <c r="Z40" s="75">
        <v>11</v>
      </c>
      <c r="AA40" s="75">
        <v>0</v>
      </c>
      <c r="AB40" s="75" t="s">
        <v>1391</v>
      </c>
      <c r="AE40" s="161" t="s">
        <v>1095</v>
      </c>
      <c r="AF40" s="161"/>
    </row>
    <row r="41" spans="1:43" ht="16" customHeight="1" x14ac:dyDescent="0.2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6">
        <v>39</v>
      </c>
      <c r="S41" s="57" t="s">
        <v>357</v>
      </c>
      <c r="T41" s="57" t="s">
        <v>95</v>
      </c>
      <c r="U41" s="76">
        <v>8.83</v>
      </c>
      <c r="V41" s="236">
        <v>8.7899999999999991</v>
      </c>
      <c r="W41" s="57">
        <v>8.5</v>
      </c>
      <c r="X41" s="57">
        <v>0.94</v>
      </c>
      <c r="Y41" s="57">
        <v>2</v>
      </c>
      <c r="Z41" s="57">
        <v>9</v>
      </c>
      <c r="AA41" s="57">
        <v>0</v>
      </c>
      <c r="AB41" s="57" t="s">
        <v>784</v>
      </c>
      <c r="AE41" s="75" t="s">
        <v>1096</v>
      </c>
      <c r="AF41" s="162" t="s">
        <v>1721</v>
      </c>
    </row>
    <row r="42" spans="1:43" ht="16" customHeight="1" x14ac:dyDescent="0.2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6">
        <v>40</v>
      </c>
      <c r="S42" s="75" t="s">
        <v>1589</v>
      </c>
      <c r="T42" s="75" t="s">
        <v>1590</v>
      </c>
      <c r="U42" s="77">
        <v>8.82</v>
      </c>
      <c r="V42" s="236">
        <v>8.7899999999999991</v>
      </c>
      <c r="W42" s="75">
        <v>8.5</v>
      </c>
      <c r="X42" s="75">
        <v>0.81</v>
      </c>
      <c r="Y42" s="75">
        <v>2</v>
      </c>
      <c r="Z42" s="75">
        <v>12</v>
      </c>
      <c r="AA42" s="75">
        <v>1</v>
      </c>
      <c r="AB42" s="75" t="s">
        <v>802</v>
      </c>
      <c r="AE42" s="57" t="s">
        <v>1097</v>
      </c>
      <c r="AF42" s="163">
        <v>79</v>
      </c>
      <c r="AQ42" t="s">
        <v>1029</v>
      </c>
    </row>
    <row r="43" spans="1:43" ht="16" customHeight="1" x14ac:dyDescent="0.2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6">
        <v>41</v>
      </c>
      <c r="S43" s="57" t="s">
        <v>1442</v>
      </c>
      <c r="T43" s="57" t="s">
        <v>1435</v>
      </c>
      <c r="U43" s="76">
        <v>8.86</v>
      </c>
      <c r="V43" s="237">
        <v>8.77</v>
      </c>
      <c r="W43" s="57">
        <v>9</v>
      </c>
      <c r="X43" s="57">
        <v>0.69</v>
      </c>
      <c r="Y43" s="57">
        <v>1</v>
      </c>
      <c r="Z43" s="57">
        <v>7</v>
      </c>
      <c r="AA43" s="57">
        <v>0</v>
      </c>
      <c r="AB43" s="57" t="s">
        <v>1444</v>
      </c>
      <c r="AE43" s="75" t="s">
        <v>1098</v>
      </c>
      <c r="AF43" s="162" t="s">
        <v>1657</v>
      </c>
    </row>
    <row r="44" spans="1:43" ht="16" customHeight="1" x14ac:dyDescent="0.2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6">
        <v>42</v>
      </c>
      <c r="S44" s="75" t="s">
        <v>361</v>
      </c>
      <c r="T44" s="75" t="s">
        <v>1018</v>
      </c>
      <c r="U44" s="77">
        <v>8.73</v>
      </c>
      <c r="V44" s="147">
        <v>8.76</v>
      </c>
      <c r="W44" s="75">
        <v>9</v>
      </c>
      <c r="X44" s="75">
        <v>0.96</v>
      </c>
      <c r="Y44" s="75">
        <v>2</v>
      </c>
      <c r="Z44" s="75">
        <v>11</v>
      </c>
      <c r="AA44" s="75">
        <v>0</v>
      </c>
      <c r="AB44" s="75" t="s">
        <v>1024</v>
      </c>
      <c r="AE44" s="57" t="s">
        <v>1099</v>
      </c>
      <c r="AF44" s="163" t="s">
        <v>1100</v>
      </c>
    </row>
    <row r="45" spans="1:43" ht="16" customHeight="1" thickBot="1" x14ac:dyDescent="0.25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6">
        <v>43</v>
      </c>
      <c r="S45" s="57" t="s">
        <v>606</v>
      </c>
      <c r="T45" s="57" t="s">
        <v>607</v>
      </c>
      <c r="U45" s="76">
        <v>8.7799999999999994</v>
      </c>
      <c r="V45" s="238">
        <v>8.74</v>
      </c>
      <c r="W45" s="57">
        <v>8.5</v>
      </c>
      <c r="X45" s="57">
        <v>0.97</v>
      </c>
      <c r="Y45" s="57">
        <v>2</v>
      </c>
      <c r="Z45" s="57">
        <v>9</v>
      </c>
      <c r="AA45" s="57">
        <v>0</v>
      </c>
      <c r="AB45" s="57" t="s">
        <v>845</v>
      </c>
      <c r="AE45" s="75" t="s">
        <v>1101</v>
      </c>
      <c r="AF45" s="162" t="s">
        <v>1102</v>
      </c>
    </row>
    <row r="46" spans="1:43" ht="16" customHeight="1" thickBot="1" x14ac:dyDescent="0.25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6">
        <v>44</v>
      </c>
      <c r="S46" s="75" t="s">
        <v>353</v>
      </c>
      <c r="T46" s="75" t="s">
        <v>649</v>
      </c>
      <c r="U46" s="77">
        <v>8.77</v>
      </c>
      <c r="V46" s="239">
        <v>8.73</v>
      </c>
      <c r="W46" s="75">
        <v>8.5</v>
      </c>
      <c r="X46" s="75">
        <v>0.99</v>
      </c>
      <c r="Y46" s="75">
        <v>3</v>
      </c>
      <c r="Z46" s="75">
        <v>13</v>
      </c>
      <c r="AA46" s="75">
        <v>0</v>
      </c>
      <c r="AB46" s="75" t="s">
        <v>782</v>
      </c>
    </row>
    <row r="47" spans="1:43" ht="16" customHeight="1" thickBot="1" x14ac:dyDescent="0.25">
      <c r="A47" s="113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19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6">
        <v>45</v>
      </c>
      <c r="S47" s="57" t="s">
        <v>347</v>
      </c>
      <c r="T47" s="57" t="s">
        <v>1452</v>
      </c>
      <c r="U47" s="76">
        <v>8.83</v>
      </c>
      <c r="V47" s="239">
        <v>8.73</v>
      </c>
      <c r="W47" s="57">
        <v>8.75</v>
      </c>
      <c r="X47" s="57">
        <v>0.62</v>
      </c>
      <c r="Y47" s="57">
        <v>1</v>
      </c>
      <c r="Z47" s="57">
        <v>6</v>
      </c>
      <c r="AA47" s="57">
        <v>0</v>
      </c>
      <c r="AB47" s="57" t="s">
        <v>1456</v>
      </c>
      <c r="AE47" s="161" t="s">
        <v>1103</v>
      </c>
      <c r="AF47" s="161"/>
    </row>
    <row r="48" spans="1:43" ht="16" customHeight="1" x14ac:dyDescent="0.2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6">
        <v>46</v>
      </c>
      <c r="S48" s="75" t="s">
        <v>842</v>
      </c>
      <c r="T48" s="75" t="s">
        <v>843</v>
      </c>
      <c r="U48" s="77">
        <v>8.82</v>
      </c>
      <c r="V48" s="174">
        <v>8.7200000000000006</v>
      </c>
      <c r="W48" s="75">
        <v>9</v>
      </c>
      <c r="X48" s="75">
        <v>0.86</v>
      </c>
      <c r="Y48" s="75">
        <v>3</v>
      </c>
      <c r="Z48" s="75">
        <v>13</v>
      </c>
      <c r="AA48" s="75">
        <v>2</v>
      </c>
      <c r="AB48" s="75" t="s">
        <v>844</v>
      </c>
      <c r="AE48" s="57" t="s">
        <v>1104</v>
      </c>
      <c r="AF48" s="163" t="s">
        <v>1105</v>
      </c>
    </row>
    <row r="49" spans="1:32" ht="16" customHeight="1" x14ac:dyDescent="0.2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6">
        <v>47</v>
      </c>
      <c r="S49" s="57" t="s">
        <v>739</v>
      </c>
      <c r="T49" s="57" t="s">
        <v>735</v>
      </c>
      <c r="U49" s="76">
        <v>8.67</v>
      </c>
      <c r="V49" s="169">
        <v>8.7100000000000009</v>
      </c>
      <c r="W49" s="57">
        <v>8</v>
      </c>
      <c r="X49" s="57">
        <v>1.04</v>
      </c>
      <c r="Y49" s="57">
        <v>4</v>
      </c>
      <c r="Z49" s="57">
        <v>16</v>
      </c>
      <c r="AA49" s="57">
        <v>1</v>
      </c>
      <c r="AB49" s="57" t="s">
        <v>803</v>
      </c>
      <c r="AE49" s="75" t="s">
        <v>1107</v>
      </c>
      <c r="AF49" s="162" t="s">
        <v>1177</v>
      </c>
    </row>
    <row r="50" spans="1:32" ht="16" customHeight="1" x14ac:dyDescent="0.2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6">
        <v>48</v>
      </c>
      <c r="S50" s="75" t="s">
        <v>863</v>
      </c>
      <c r="T50" s="75" t="s">
        <v>858</v>
      </c>
      <c r="U50" s="77">
        <v>8.7100000000000009</v>
      </c>
      <c r="V50" s="169">
        <v>8.7100000000000009</v>
      </c>
      <c r="W50" s="75">
        <v>8.5</v>
      </c>
      <c r="X50" s="75">
        <v>0.75</v>
      </c>
      <c r="Y50" s="75">
        <v>2</v>
      </c>
      <c r="Z50" s="75">
        <v>14</v>
      </c>
      <c r="AA50" s="75">
        <v>0</v>
      </c>
      <c r="AB50" s="75" t="s">
        <v>864</v>
      </c>
      <c r="AE50" s="57" t="s">
        <v>1106</v>
      </c>
      <c r="AF50" s="163" t="s">
        <v>1453</v>
      </c>
    </row>
    <row r="51" spans="1:32" ht="16" customHeight="1" thickBot="1" x14ac:dyDescent="0.25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6">
        <v>49</v>
      </c>
      <c r="S51" s="57" t="s">
        <v>1545</v>
      </c>
      <c r="T51" s="57" t="s">
        <v>1546</v>
      </c>
      <c r="U51" s="76">
        <v>8.73</v>
      </c>
      <c r="V51" s="169">
        <v>8.7100000000000009</v>
      </c>
      <c r="W51" s="57">
        <v>8.5</v>
      </c>
      <c r="X51" s="57">
        <v>0.75</v>
      </c>
      <c r="Y51" s="57">
        <v>1</v>
      </c>
      <c r="Z51" s="57">
        <v>13</v>
      </c>
      <c r="AA51" s="57">
        <v>0</v>
      </c>
      <c r="AB51" s="57" t="s">
        <v>1547</v>
      </c>
      <c r="AE51" s="75" t="s">
        <v>1113</v>
      </c>
      <c r="AF51" s="162" t="s">
        <v>1178</v>
      </c>
    </row>
    <row r="52" spans="1:32" ht="16" customHeight="1" thickBot="1" x14ac:dyDescent="0.25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6">
        <v>50</v>
      </c>
      <c r="S52" s="75" t="s">
        <v>1329</v>
      </c>
      <c r="T52" s="75" t="s">
        <v>1330</v>
      </c>
      <c r="U52" s="77">
        <v>8.67</v>
      </c>
      <c r="V52" s="175">
        <v>8.6999999999999993</v>
      </c>
      <c r="W52" s="75">
        <v>9</v>
      </c>
      <c r="X52" s="75">
        <v>1.08</v>
      </c>
      <c r="Y52" s="75">
        <v>2</v>
      </c>
      <c r="Z52" s="75">
        <v>9</v>
      </c>
      <c r="AA52" s="75">
        <v>0</v>
      </c>
      <c r="AB52" s="75" t="s">
        <v>1334</v>
      </c>
      <c r="AE52" s="57" t="s">
        <v>1109</v>
      </c>
      <c r="AF52" s="163" t="s">
        <v>1110</v>
      </c>
    </row>
    <row r="53" spans="1:32" ht="16" customHeight="1" thickBot="1" x14ac:dyDescent="0.25">
      <c r="A53" s="8" t="s">
        <v>265</v>
      </c>
      <c r="B53" s="51">
        <v>8</v>
      </c>
      <c r="C53" s="22"/>
      <c r="D53" s="112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6">
        <v>51</v>
      </c>
      <c r="S53" s="57" t="s">
        <v>358</v>
      </c>
      <c r="T53" s="57" t="s">
        <v>282</v>
      </c>
      <c r="U53" s="76">
        <v>8.7799999999999994</v>
      </c>
      <c r="V53" s="240">
        <v>8.69</v>
      </c>
      <c r="W53" s="57">
        <v>9</v>
      </c>
      <c r="X53" s="57">
        <v>0.79</v>
      </c>
      <c r="Y53" s="57">
        <v>2</v>
      </c>
      <c r="Z53" s="57">
        <v>10</v>
      </c>
      <c r="AA53" s="57">
        <v>1</v>
      </c>
      <c r="AB53" s="57" t="s">
        <v>785</v>
      </c>
      <c r="AE53" s="75" t="s">
        <v>1111</v>
      </c>
      <c r="AF53" s="162" t="s">
        <v>1682</v>
      </c>
    </row>
    <row r="54" spans="1:32" ht="16" customHeight="1" thickBot="1" x14ac:dyDescent="0.25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4" t="s">
        <v>414</v>
      </c>
      <c r="K54" s="3">
        <f>ROUND(SUM(K55:K64)/COUNT(K55:K64), 2)</f>
        <v>8.35</v>
      </c>
      <c r="L54" s="4"/>
      <c r="M54" s="111" t="s">
        <v>903</v>
      </c>
      <c r="N54" s="14">
        <f>ROUND(SUM(N55:N65)/COUNT(N55:N65), 2)</f>
        <v>9.0500000000000007</v>
      </c>
      <c r="O54" s="22"/>
      <c r="R54" s="66">
        <v>52</v>
      </c>
      <c r="S54" s="75" t="s">
        <v>1501</v>
      </c>
      <c r="T54" s="75" t="s">
        <v>1502</v>
      </c>
      <c r="U54" s="77">
        <v>8.83</v>
      </c>
      <c r="V54" s="240">
        <v>8.69</v>
      </c>
      <c r="W54" s="75">
        <v>8.5</v>
      </c>
      <c r="X54" s="75">
        <v>0.57999999999999996</v>
      </c>
      <c r="Y54" s="75">
        <v>1</v>
      </c>
      <c r="Z54" s="75">
        <v>9</v>
      </c>
      <c r="AA54" s="75">
        <v>0</v>
      </c>
      <c r="AB54" s="75" t="s">
        <v>1506</v>
      </c>
      <c r="AE54" s="57" t="s">
        <v>798</v>
      </c>
      <c r="AF54" s="163" t="s">
        <v>1489</v>
      </c>
    </row>
    <row r="55" spans="1:32" ht="16" customHeight="1" thickBot="1" x14ac:dyDescent="0.25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6">
        <v>53</v>
      </c>
      <c r="S55" s="57" t="s">
        <v>350</v>
      </c>
      <c r="T55" s="57" t="s">
        <v>923</v>
      </c>
      <c r="U55" s="76">
        <v>8.7100000000000009</v>
      </c>
      <c r="V55" s="241">
        <v>8.67</v>
      </c>
      <c r="W55" s="57">
        <v>8.5</v>
      </c>
      <c r="X55" s="57">
        <v>0.96</v>
      </c>
      <c r="Y55" s="57">
        <v>1</v>
      </c>
      <c r="Z55" s="57">
        <v>7</v>
      </c>
      <c r="AA55" s="57">
        <v>0</v>
      </c>
      <c r="AB55" s="57" t="s">
        <v>802</v>
      </c>
      <c r="AE55" s="75" t="s">
        <v>1112</v>
      </c>
      <c r="AF55" s="162" t="s">
        <v>1393</v>
      </c>
    </row>
    <row r="56" spans="1:32" ht="16" customHeight="1" thickBot="1" x14ac:dyDescent="0.25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6">
        <v>54</v>
      </c>
      <c r="S56" s="75" t="s">
        <v>426</v>
      </c>
      <c r="T56" s="75" t="s">
        <v>424</v>
      </c>
      <c r="U56" s="77">
        <v>8.67</v>
      </c>
      <c r="V56" s="197">
        <v>8.66</v>
      </c>
      <c r="W56" s="75">
        <v>8.5</v>
      </c>
      <c r="X56" s="75">
        <v>0.85</v>
      </c>
      <c r="Y56" s="75">
        <v>2</v>
      </c>
      <c r="Z56" s="75">
        <v>12</v>
      </c>
      <c r="AA56" s="75">
        <v>0</v>
      </c>
      <c r="AB56" s="75" t="s">
        <v>845</v>
      </c>
      <c r="AE56" s="57" t="s">
        <v>1114</v>
      </c>
      <c r="AF56" s="163" t="s">
        <v>1115</v>
      </c>
    </row>
    <row r="57" spans="1:32" ht="16" customHeight="1" thickBot="1" x14ac:dyDescent="0.25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6">
        <v>55</v>
      </c>
      <c r="S57" s="57" t="s">
        <v>413</v>
      </c>
      <c r="T57" s="57" t="s">
        <v>407</v>
      </c>
      <c r="U57" s="76">
        <v>8.6999999999999993</v>
      </c>
      <c r="V57" s="148">
        <v>8.64</v>
      </c>
      <c r="W57" s="57">
        <v>8.5</v>
      </c>
      <c r="X57" s="57">
        <v>1.08</v>
      </c>
      <c r="Y57" s="57">
        <v>2</v>
      </c>
      <c r="Z57" s="57">
        <v>10</v>
      </c>
      <c r="AA57" s="57">
        <v>0</v>
      </c>
      <c r="AB57" s="57" t="s">
        <v>786</v>
      </c>
      <c r="AE57" s="75" t="s">
        <v>1116</v>
      </c>
      <c r="AF57" s="162" t="s">
        <v>1115</v>
      </c>
    </row>
    <row r="58" spans="1:32" ht="16" customHeight="1" thickBot="1" x14ac:dyDescent="0.25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6">
        <v>56</v>
      </c>
      <c r="S58" s="75" t="s">
        <v>1522</v>
      </c>
      <c r="T58" s="75" t="s">
        <v>1528</v>
      </c>
      <c r="U58" s="77">
        <v>8.8000000000000007</v>
      </c>
      <c r="V58" s="148">
        <v>8.64</v>
      </c>
      <c r="W58" s="75">
        <v>8.5</v>
      </c>
      <c r="X58" s="75">
        <v>0.7</v>
      </c>
      <c r="Y58" s="75">
        <v>2</v>
      </c>
      <c r="Z58" s="75">
        <v>15</v>
      </c>
      <c r="AA58" s="75">
        <v>0</v>
      </c>
      <c r="AB58" s="75" t="s">
        <v>1525</v>
      </c>
      <c r="AE58" s="57" t="s">
        <v>1108</v>
      </c>
      <c r="AF58" s="163" t="s">
        <v>1722</v>
      </c>
    </row>
    <row r="59" spans="1:32" ht="16" customHeight="1" thickBot="1" x14ac:dyDescent="0.25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6">
        <v>57</v>
      </c>
      <c r="S59" s="57" t="s">
        <v>1571</v>
      </c>
      <c r="T59" s="57" t="s">
        <v>1572</v>
      </c>
      <c r="U59" s="76">
        <v>8.75</v>
      </c>
      <c r="V59" s="148">
        <v>8.64</v>
      </c>
      <c r="W59" s="57">
        <v>8.75</v>
      </c>
      <c r="X59" s="57">
        <v>0.75</v>
      </c>
      <c r="Y59" s="57">
        <v>2</v>
      </c>
      <c r="Z59" s="57">
        <v>10</v>
      </c>
      <c r="AA59" s="57">
        <v>0</v>
      </c>
      <c r="AB59" s="57" t="s">
        <v>1573</v>
      </c>
      <c r="AE59" s="75" t="s">
        <v>1290</v>
      </c>
      <c r="AF59" s="162" t="s">
        <v>1523</v>
      </c>
    </row>
    <row r="60" spans="1:32" ht="16" customHeight="1" x14ac:dyDescent="0.2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6">
        <v>58</v>
      </c>
      <c r="S60" s="75" t="s">
        <v>343</v>
      </c>
      <c r="T60" s="75" t="s">
        <v>579</v>
      </c>
      <c r="U60" s="77">
        <v>8.68</v>
      </c>
      <c r="V60" s="149">
        <v>8.61</v>
      </c>
      <c r="W60" s="75">
        <v>9</v>
      </c>
      <c r="X60" s="75">
        <v>0.61</v>
      </c>
      <c r="Y60" s="75">
        <v>0</v>
      </c>
      <c r="Z60" s="75">
        <v>11</v>
      </c>
      <c r="AA60" s="75">
        <v>0</v>
      </c>
      <c r="AB60" s="75" t="s">
        <v>776</v>
      </c>
      <c r="AE60" s="57" t="s">
        <v>784</v>
      </c>
      <c r="AF60" s="163" t="s">
        <v>1179</v>
      </c>
    </row>
    <row r="61" spans="1:32" ht="16" customHeight="1" x14ac:dyDescent="0.2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6">
        <v>59</v>
      </c>
      <c r="S61" s="57" t="s">
        <v>762</v>
      </c>
      <c r="T61" s="57" t="s">
        <v>763</v>
      </c>
      <c r="U61" s="76">
        <v>8.77</v>
      </c>
      <c r="V61" s="149">
        <v>8.61</v>
      </c>
      <c r="W61" s="57">
        <v>8.5</v>
      </c>
      <c r="X61" s="57">
        <v>0.86</v>
      </c>
      <c r="Y61" s="57">
        <v>3</v>
      </c>
      <c r="Z61" s="57">
        <v>11</v>
      </c>
      <c r="AA61" s="57">
        <v>0</v>
      </c>
      <c r="AB61" s="57" t="s">
        <v>865</v>
      </c>
      <c r="AE61" s="75" t="s">
        <v>1683</v>
      </c>
      <c r="AF61" s="162" t="s">
        <v>1684</v>
      </c>
    </row>
    <row r="62" spans="1:32" ht="16" customHeight="1" thickBot="1" x14ac:dyDescent="0.25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6">
        <v>60</v>
      </c>
      <c r="S62" s="75" t="s">
        <v>1387</v>
      </c>
      <c r="T62" s="75" t="s">
        <v>1388</v>
      </c>
      <c r="U62" s="77">
        <v>8.77</v>
      </c>
      <c r="V62" s="149">
        <v>8.61</v>
      </c>
      <c r="W62" s="75">
        <v>8.5</v>
      </c>
      <c r="X62" s="75">
        <v>0.75</v>
      </c>
      <c r="Y62" s="75">
        <v>2</v>
      </c>
      <c r="Z62" s="75">
        <v>14</v>
      </c>
      <c r="AA62" s="75">
        <v>1</v>
      </c>
      <c r="AB62" s="75" t="s">
        <v>1392</v>
      </c>
      <c r="AE62" s="57" t="s">
        <v>1118</v>
      </c>
      <c r="AF62" s="163" t="s">
        <v>1119</v>
      </c>
    </row>
    <row r="63" spans="1:32" ht="16" customHeight="1" thickBot="1" x14ac:dyDescent="0.25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6">
        <v>61</v>
      </c>
      <c r="S63" s="57" t="s">
        <v>1284</v>
      </c>
      <c r="T63" s="57" t="s">
        <v>1278</v>
      </c>
      <c r="U63" s="76">
        <v>8.75</v>
      </c>
      <c r="V63" s="242">
        <v>8.58</v>
      </c>
      <c r="W63" s="57">
        <v>8.5</v>
      </c>
      <c r="X63" s="57">
        <v>0.8</v>
      </c>
      <c r="Y63" s="57">
        <v>1</v>
      </c>
      <c r="Z63" s="57">
        <v>7</v>
      </c>
      <c r="AA63" s="57">
        <v>1</v>
      </c>
      <c r="AB63" s="57" t="s">
        <v>1287</v>
      </c>
      <c r="AE63" s="75" t="s">
        <v>1123</v>
      </c>
      <c r="AF63" s="162" t="s">
        <v>1638</v>
      </c>
    </row>
    <row r="64" spans="1:32" ht="16" customHeight="1" thickBot="1" x14ac:dyDescent="0.25">
      <c r="A64" s="8" t="s">
        <v>290</v>
      </c>
      <c r="B64" s="51">
        <v>9</v>
      </c>
      <c r="C64" s="22"/>
      <c r="D64" s="110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6">
        <v>62</v>
      </c>
      <c r="S64" s="75" t="s">
        <v>1681</v>
      </c>
      <c r="T64" s="75" t="s">
        <v>1674</v>
      </c>
      <c r="U64" s="77">
        <v>8.75</v>
      </c>
      <c r="V64" s="242">
        <v>8.58</v>
      </c>
      <c r="W64" s="75">
        <v>8.5</v>
      </c>
      <c r="X64" s="75">
        <v>0.87</v>
      </c>
      <c r="Y64" s="75">
        <v>2</v>
      </c>
      <c r="Z64" s="75">
        <v>10</v>
      </c>
      <c r="AA64" s="75">
        <v>0</v>
      </c>
      <c r="AB64" s="75" t="s">
        <v>1685</v>
      </c>
      <c r="AE64" s="57" t="s">
        <v>1454</v>
      </c>
      <c r="AF64" s="163" t="s">
        <v>1455</v>
      </c>
    </row>
    <row r="65" spans="1:32" ht="16" customHeight="1" thickBot="1" x14ac:dyDescent="0.25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6">
        <v>63</v>
      </c>
      <c r="S65" s="57" t="s">
        <v>621</v>
      </c>
      <c r="T65" s="57" t="s">
        <v>622</v>
      </c>
      <c r="U65" s="76">
        <v>8.73</v>
      </c>
      <c r="V65" s="150">
        <v>8.56</v>
      </c>
      <c r="W65" s="57">
        <v>8.5</v>
      </c>
      <c r="X65" s="57">
        <v>0.89</v>
      </c>
      <c r="Y65" s="57">
        <v>3</v>
      </c>
      <c r="Z65" s="57">
        <v>13</v>
      </c>
      <c r="AA65" s="57">
        <v>2</v>
      </c>
      <c r="AB65" s="57" t="s">
        <v>846</v>
      </c>
      <c r="AE65" s="75" t="s">
        <v>801</v>
      </c>
      <c r="AF65" s="162" t="s">
        <v>1180</v>
      </c>
    </row>
    <row r="66" spans="1:32" ht="16" customHeight="1" thickBot="1" x14ac:dyDescent="0.25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2" t="s">
        <v>401</v>
      </c>
      <c r="K66" s="3">
        <f>ROUND(SUM(K67:K75)/COUNT(K67:K75), 2)</f>
        <v>8</v>
      </c>
      <c r="L66" s="4"/>
      <c r="M66" s="21"/>
      <c r="N66" s="21"/>
      <c r="O66" s="22"/>
      <c r="R66" s="66">
        <v>64</v>
      </c>
      <c r="S66" s="75" t="s">
        <v>351</v>
      </c>
      <c r="T66" s="75" t="s">
        <v>351</v>
      </c>
      <c r="U66" s="77">
        <v>8.4600000000000009</v>
      </c>
      <c r="V66" s="243">
        <v>8.5500000000000007</v>
      </c>
      <c r="W66" s="75">
        <v>8.5</v>
      </c>
      <c r="X66" s="75">
        <v>1.33</v>
      </c>
      <c r="Y66" s="75">
        <v>3</v>
      </c>
      <c r="Z66" s="75">
        <v>12</v>
      </c>
      <c r="AA66" s="75">
        <v>0</v>
      </c>
      <c r="AB66" s="75" t="s">
        <v>1411</v>
      </c>
      <c r="AE66" s="57" t="s">
        <v>1271</v>
      </c>
      <c r="AF66" s="163" t="s">
        <v>1272</v>
      </c>
    </row>
    <row r="67" spans="1:32" ht="16" customHeight="1" thickBot="1" x14ac:dyDescent="0.25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44" t="s">
        <v>1027</v>
      </c>
      <c r="N67" s="3">
        <f>ROUND(SUM(N68:N77)/COUNT(N68:N77), 2)</f>
        <v>8.6999999999999993</v>
      </c>
      <c r="O67" s="22"/>
      <c r="R67" s="66">
        <v>65</v>
      </c>
      <c r="S67" s="57" t="s">
        <v>749</v>
      </c>
      <c r="T67" s="57" t="s">
        <v>750</v>
      </c>
      <c r="U67" s="76">
        <v>8.67</v>
      </c>
      <c r="V67" s="244">
        <v>8.5399999999999991</v>
      </c>
      <c r="W67" s="57">
        <v>8.5</v>
      </c>
      <c r="X67" s="57">
        <v>0.62</v>
      </c>
      <c r="Y67" s="57">
        <v>1</v>
      </c>
      <c r="Z67" s="57">
        <v>9</v>
      </c>
      <c r="AA67" s="57">
        <v>0</v>
      </c>
      <c r="AB67" s="57" t="s">
        <v>804</v>
      </c>
      <c r="AE67" s="75" t="s">
        <v>1273</v>
      </c>
      <c r="AF67" s="162" t="s">
        <v>1272</v>
      </c>
    </row>
    <row r="68" spans="1:32" ht="16" customHeight="1" thickBot="1" x14ac:dyDescent="0.25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6">
        <v>66</v>
      </c>
      <c r="S68" s="75" t="s">
        <v>1269</v>
      </c>
      <c r="T68" s="75" t="s">
        <v>1270</v>
      </c>
      <c r="U68" s="77">
        <v>8.57</v>
      </c>
      <c r="V68" s="244">
        <v>8.5399999999999991</v>
      </c>
      <c r="W68" s="75">
        <v>8.5</v>
      </c>
      <c r="X68" s="75">
        <v>1.01</v>
      </c>
      <c r="Y68" s="75">
        <v>3</v>
      </c>
      <c r="Z68" s="75">
        <v>15</v>
      </c>
      <c r="AA68" s="75">
        <v>0</v>
      </c>
      <c r="AB68" s="75" t="s">
        <v>1274</v>
      </c>
      <c r="AE68" s="57" t="s">
        <v>1459</v>
      </c>
      <c r="AF68" s="163" t="s">
        <v>1272</v>
      </c>
    </row>
    <row r="69" spans="1:32" ht="16" customHeight="1" thickBot="1" x14ac:dyDescent="0.25">
      <c r="A69" s="21"/>
      <c r="B69" s="21"/>
      <c r="C69" s="22"/>
      <c r="D69" s="5" t="s">
        <v>380</v>
      </c>
      <c r="E69" s="51">
        <v>10</v>
      </c>
      <c r="F69" s="22"/>
      <c r="G69" s="109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6">
        <v>67</v>
      </c>
      <c r="S69" s="57" t="s">
        <v>359</v>
      </c>
      <c r="T69" s="57" t="s">
        <v>247</v>
      </c>
      <c r="U69" s="76">
        <v>8.68</v>
      </c>
      <c r="V69" s="151">
        <v>8.5299999999999994</v>
      </c>
      <c r="W69" s="57">
        <v>8.5</v>
      </c>
      <c r="X69" s="57">
        <v>0.81</v>
      </c>
      <c r="Y69" s="57">
        <v>2</v>
      </c>
      <c r="Z69" s="57">
        <v>11</v>
      </c>
      <c r="AA69" s="57">
        <v>0</v>
      </c>
      <c r="AB69" s="57" t="s">
        <v>787</v>
      </c>
      <c r="AE69" s="75" t="s">
        <v>1524</v>
      </c>
      <c r="AF69" s="162" t="s">
        <v>1272</v>
      </c>
    </row>
    <row r="70" spans="1:32" ht="16" customHeight="1" thickBot="1" x14ac:dyDescent="0.25">
      <c r="A70" s="71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6">
        <v>68</v>
      </c>
      <c r="S70" s="75" t="s">
        <v>793</v>
      </c>
      <c r="T70" s="75" t="s">
        <v>794</v>
      </c>
      <c r="U70" s="77">
        <v>8.67</v>
      </c>
      <c r="V70" s="151">
        <v>8.5299999999999994</v>
      </c>
      <c r="W70" s="75">
        <v>8.5</v>
      </c>
      <c r="X70" s="75">
        <v>0.75</v>
      </c>
      <c r="Y70" s="75">
        <v>1</v>
      </c>
      <c r="Z70" s="75">
        <v>6</v>
      </c>
      <c r="AA70" s="75">
        <v>0</v>
      </c>
      <c r="AB70" s="75" t="s">
        <v>797</v>
      </c>
      <c r="AE70" s="57" t="s">
        <v>1443</v>
      </c>
      <c r="AF70" s="163" t="s">
        <v>1121</v>
      </c>
    </row>
    <row r="71" spans="1:32" ht="16" customHeight="1" x14ac:dyDescent="0.2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6">
        <v>69</v>
      </c>
      <c r="S71" s="57" t="s">
        <v>957</v>
      </c>
      <c r="T71" s="57" t="s">
        <v>938</v>
      </c>
      <c r="U71" s="76">
        <v>8.5500000000000007</v>
      </c>
      <c r="V71" s="151">
        <v>8.5299999999999994</v>
      </c>
      <c r="W71" s="57">
        <v>8.5</v>
      </c>
      <c r="X71" s="57">
        <v>0.96</v>
      </c>
      <c r="Y71" s="57">
        <v>3</v>
      </c>
      <c r="Z71" s="57">
        <v>19</v>
      </c>
      <c r="AA71" s="57">
        <v>0</v>
      </c>
      <c r="AB71" s="57" t="s">
        <v>958</v>
      </c>
      <c r="AE71" s="75" t="s">
        <v>1120</v>
      </c>
      <c r="AF71" s="162" t="s">
        <v>1121</v>
      </c>
    </row>
    <row r="72" spans="1:32" ht="16" customHeight="1" x14ac:dyDescent="0.2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6">
        <v>70</v>
      </c>
      <c r="S72" s="75" t="s">
        <v>360</v>
      </c>
      <c r="T72" s="75" t="s">
        <v>161</v>
      </c>
      <c r="U72" s="77">
        <v>8.67</v>
      </c>
      <c r="V72" s="192">
        <v>8.52</v>
      </c>
      <c r="W72" s="75">
        <v>8.5</v>
      </c>
      <c r="X72" s="75">
        <v>0.77</v>
      </c>
      <c r="Y72" s="75">
        <v>2</v>
      </c>
      <c r="Z72" s="75">
        <v>12</v>
      </c>
      <c r="AA72" s="75">
        <v>0</v>
      </c>
      <c r="AB72" s="75" t="s">
        <v>788</v>
      </c>
      <c r="AE72" s="57" t="s">
        <v>1122</v>
      </c>
      <c r="AF72" s="163" t="s">
        <v>1121</v>
      </c>
    </row>
    <row r="73" spans="1:32" ht="16" customHeight="1" x14ac:dyDescent="0.2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6">
        <v>71</v>
      </c>
      <c r="S73" s="57" t="s">
        <v>361</v>
      </c>
      <c r="T73" s="57" t="s">
        <v>160</v>
      </c>
      <c r="U73" s="76">
        <v>8.65</v>
      </c>
      <c r="V73" s="192">
        <v>8.52</v>
      </c>
      <c r="W73" s="57">
        <v>8.5</v>
      </c>
      <c r="X73" s="57">
        <v>0.72</v>
      </c>
      <c r="Y73" s="57">
        <v>2</v>
      </c>
      <c r="Z73" s="57">
        <v>13</v>
      </c>
      <c r="AA73" s="57">
        <v>0</v>
      </c>
      <c r="AB73" s="57" t="s">
        <v>808</v>
      </c>
      <c r="AE73" s="75" t="s">
        <v>1124</v>
      </c>
      <c r="AF73" s="162" t="s">
        <v>1621</v>
      </c>
    </row>
    <row r="74" spans="1:32" ht="16" customHeight="1" x14ac:dyDescent="0.2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6">
        <v>72</v>
      </c>
      <c r="S74" s="75" t="s">
        <v>982</v>
      </c>
      <c r="T74" s="75" t="s">
        <v>980</v>
      </c>
      <c r="U74" s="77">
        <v>8.67</v>
      </c>
      <c r="V74" s="192">
        <v>8.52</v>
      </c>
      <c r="W74" s="75">
        <v>8.5</v>
      </c>
      <c r="X74" s="75">
        <v>0.71</v>
      </c>
      <c r="Y74" s="75">
        <v>1</v>
      </c>
      <c r="Z74" s="75">
        <v>10</v>
      </c>
      <c r="AA74" s="75">
        <v>1</v>
      </c>
      <c r="AB74" s="75" t="s">
        <v>983</v>
      </c>
      <c r="AE74" s="57" t="s">
        <v>1526</v>
      </c>
      <c r="AF74" s="163" t="s">
        <v>1529</v>
      </c>
    </row>
    <row r="75" spans="1:32" ht="16" customHeight="1" thickBot="1" x14ac:dyDescent="0.25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6">
        <v>73</v>
      </c>
      <c r="S75" s="57" t="s">
        <v>499</v>
      </c>
      <c r="T75" s="57" t="s">
        <v>500</v>
      </c>
      <c r="U75" s="76">
        <v>8.67</v>
      </c>
      <c r="V75" s="212">
        <v>8.51</v>
      </c>
      <c r="W75" s="57">
        <v>8.5</v>
      </c>
      <c r="X75" s="57">
        <v>0.92</v>
      </c>
      <c r="Y75" s="57">
        <v>3</v>
      </c>
      <c r="Z75" s="57">
        <v>12</v>
      </c>
      <c r="AA75" s="57">
        <v>0</v>
      </c>
      <c r="AB75" s="57" t="s">
        <v>780</v>
      </c>
      <c r="AE75" s="75" t="s">
        <v>800</v>
      </c>
      <c r="AF75" s="162" t="s">
        <v>1658</v>
      </c>
    </row>
    <row r="76" spans="1:32" ht="16" customHeight="1" thickBot="1" x14ac:dyDescent="0.25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6">
        <v>74</v>
      </c>
      <c r="S76" s="75" t="s">
        <v>362</v>
      </c>
      <c r="T76" s="75" t="s">
        <v>1227</v>
      </c>
      <c r="U76" s="77">
        <v>8.65</v>
      </c>
      <c r="V76" s="181">
        <v>8.49</v>
      </c>
      <c r="W76" s="75">
        <v>8.5</v>
      </c>
      <c r="X76" s="75">
        <v>0.84</v>
      </c>
      <c r="Y76" s="75">
        <v>2</v>
      </c>
      <c r="Z76" s="75">
        <v>13</v>
      </c>
      <c r="AA76" s="75">
        <v>0</v>
      </c>
      <c r="AB76" s="75" t="s">
        <v>1229</v>
      </c>
      <c r="AE76" s="57" t="s">
        <v>1128</v>
      </c>
      <c r="AF76" s="163" t="s">
        <v>1530</v>
      </c>
    </row>
    <row r="77" spans="1:32" ht="16" customHeight="1" thickBot="1" x14ac:dyDescent="0.25">
      <c r="A77" s="9" t="s">
        <v>435</v>
      </c>
      <c r="B77" s="52">
        <v>7</v>
      </c>
      <c r="C77" s="22"/>
      <c r="D77" s="61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27" t="s">
        <v>919</v>
      </c>
      <c r="K77" s="3">
        <f>ROUND(SUM(K78:K88)/COUNT(K78:K88), 2)</f>
        <v>7.77</v>
      </c>
      <c r="L77" s="22"/>
      <c r="M77" s="63" t="s">
        <v>412</v>
      </c>
      <c r="N77" s="52">
        <v>9.5</v>
      </c>
      <c r="O77" s="22"/>
      <c r="R77" s="66">
        <v>75</v>
      </c>
      <c r="S77" s="57" t="s">
        <v>343</v>
      </c>
      <c r="T77" s="57" t="s">
        <v>881</v>
      </c>
      <c r="U77" s="76">
        <v>8.5</v>
      </c>
      <c r="V77" s="181">
        <v>8.49</v>
      </c>
      <c r="W77" s="57">
        <v>8.5</v>
      </c>
      <c r="X77" s="57">
        <v>0.96</v>
      </c>
      <c r="Y77" s="57">
        <v>2</v>
      </c>
      <c r="Z77" s="57">
        <v>14</v>
      </c>
      <c r="AA77" s="57">
        <v>1</v>
      </c>
      <c r="AB77" s="57" t="s">
        <v>776</v>
      </c>
      <c r="AE77" s="75" t="s">
        <v>1394</v>
      </c>
      <c r="AF77" s="162" t="s">
        <v>1395</v>
      </c>
    </row>
    <row r="78" spans="1:32" ht="16" customHeight="1" thickBot="1" x14ac:dyDescent="0.25">
      <c r="A78" s="21"/>
      <c r="B78" s="21"/>
      <c r="C78" s="4"/>
      <c r="D78" s="21"/>
      <c r="E78" s="21"/>
      <c r="F78" s="22"/>
      <c r="G78" s="5" t="s">
        <v>423</v>
      </c>
      <c r="H78" s="65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6">
        <v>76</v>
      </c>
      <c r="S78" s="75" t="s">
        <v>1709</v>
      </c>
      <c r="T78" s="75" t="s">
        <v>1710</v>
      </c>
      <c r="U78" s="77">
        <v>8.6</v>
      </c>
      <c r="V78" s="275">
        <v>8.44</v>
      </c>
      <c r="W78" s="75">
        <v>8.5</v>
      </c>
      <c r="X78" s="75">
        <v>0.83</v>
      </c>
      <c r="Y78" s="75">
        <v>1</v>
      </c>
      <c r="Z78" s="75">
        <v>10</v>
      </c>
      <c r="AA78" s="75">
        <v>0</v>
      </c>
      <c r="AB78" s="75" t="s">
        <v>786</v>
      </c>
      <c r="AE78" s="57" t="s">
        <v>1574</v>
      </c>
      <c r="AF78" s="163" t="s">
        <v>1289</v>
      </c>
    </row>
    <row r="79" spans="1:32" ht="16" customHeight="1" thickBot="1" x14ac:dyDescent="0.25">
      <c r="A79" s="72" t="s">
        <v>498</v>
      </c>
      <c r="B79" s="3">
        <f>ROUND(SUM(B80:B91)/COUNT(B80:B91), 2)</f>
        <v>8.9600000000000009</v>
      </c>
      <c r="C79" s="22"/>
      <c r="D79" s="108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43" t="s">
        <v>1026</v>
      </c>
      <c r="N79" s="3">
        <f>ROUND(SUM(N80:N91)/COUNT(N80:N91), 2)</f>
        <v>8.67</v>
      </c>
      <c r="O79" s="22"/>
      <c r="R79" s="66">
        <v>77</v>
      </c>
      <c r="S79" s="57" t="s">
        <v>1048</v>
      </c>
      <c r="T79" s="57" t="s">
        <v>1049</v>
      </c>
      <c r="U79" s="76">
        <v>8.5500000000000007</v>
      </c>
      <c r="V79" s="194">
        <v>8.42</v>
      </c>
      <c r="W79" s="57">
        <v>8.5</v>
      </c>
      <c r="X79" s="57">
        <v>0.69</v>
      </c>
      <c r="Y79" s="57">
        <v>1</v>
      </c>
      <c r="Z79" s="57">
        <v>12</v>
      </c>
      <c r="AA79" s="57">
        <v>1</v>
      </c>
      <c r="AB79" s="57" t="s">
        <v>800</v>
      </c>
      <c r="AE79" s="75" t="s">
        <v>1288</v>
      </c>
      <c r="AF79" s="162" t="s">
        <v>1289</v>
      </c>
    </row>
    <row r="80" spans="1:32" ht="16" customHeight="1" x14ac:dyDescent="0.2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6">
        <v>78</v>
      </c>
      <c r="S80" s="75" t="s">
        <v>553</v>
      </c>
      <c r="T80" s="75" t="s">
        <v>554</v>
      </c>
      <c r="U80" s="77">
        <v>8.5</v>
      </c>
      <c r="V80" s="245">
        <v>8.3800000000000008</v>
      </c>
      <c r="W80" s="75">
        <v>8.5</v>
      </c>
      <c r="X80" s="75">
        <v>0.59</v>
      </c>
      <c r="Y80" s="75">
        <v>0</v>
      </c>
      <c r="Z80" s="75">
        <v>17</v>
      </c>
      <c r="AA80" s="75">
        <v>4</v>
      </c>
      <c r="AB80" s="75" t="s">
        <v>809</v>
      </c>
      <c r="AE80" s="57" t="s">
        <v>1686</v>
      </c>
      <c r="AF80" s="163" t="s">
        <v>1289</v>
      </c>
    </row>
    <row r="81" spans="1:32" ht="16" customHeight="1" thickBot="1" x14ac:dyDescent="0.25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1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6">
        <v>79</v>
      </c>
      <c r="S81" s="57" t="s">
        <v>350</v>
      </c>
      <c r="T81" s="57" t="s">
        <v>531</v>
      </c>
      <c r="U81" s="76">
        <v>8.5</v>
      </c>
      <c r="V81" s="246">
        <v>8.34</v>
      </c>
      <c r="W81" s="57">
        <v>8.5</v>
      </c>
      <c r="X81" s="57">
        <v>0.94</v>
      </c>
      <c r="Y81" s="57">
        <v>1</v>
      </c>
      <c r="Z81" s="57">
        <v>8</v>
      </c>
      <c r="AA81" s="57">
        <v>0</v>
      </c>
      <c r="AB81" s="57" t="s">
        <v>802</v>
      </c>
      <c r="AE81" s="75" t="s">
        <v>1117</v>
      </c>
      <c r="AF81" s="162" t="s">
        <v>1723</v>
      </c>
    </row>
    <row r="82" spans="1:32" ht="16" customHeight="1" thickBot="1" x14ac:dyDescent="0.25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6">
        <v>80</v>
      </c>
      <c r="S82" s="75" t="s">
        <v>389</v>
      </c>
      <c r="T82" s="75" t="s">
        <v>390</v>
      </c>
      <c r="U82" s="77">
        <v>8.4600000000000009</v>
      </c>
      <c r="V82" s="247">
        <v>8.33</v>
      </c>
      <c r="W82" s="75">
        <v>8.5</v>
      </c>
      <c r="X82" s="75">
        <v>0.84</v>
      </c>
      <c r="Y82" s="75">
        <v>2</v>
      </c>
      <c r="Z82" s="75">
        <v>13</v>
      </c>
      <c r="AA82" s="75">
        <v>0</v>
      </c>
      <c r="AB82" s="75" t="s">
        <v>806</v>
      </c>
      <c r="AE82" s="57" t="s">
        <v>1125</v>
      </c>
      <c r="AF82" s="163" t="s">
        <v>1126</v>
      </c>
    </row>
    <row r="83" spans="1:32" ht="16" customHeight="1" thickBot="1" x14ac:dyDescent="0.25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3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6">
        <v>81</v>
      </c>
      <c r="S83" s="57" t="s">
        <v>1318</v>
      </c>
      <c r="T83" s="57" t="s">
        <v>1308</v>
      </c>
      <c r="U83" s="76">
        <v>8.4499999999999993</v>
      </c>
      <c r="V83" s="153">
        <v>8.32</v>
      </c>
      <c r="W83" s="57">
        <v>8.5</v>
      </c>
      <c r="X83" s="57">
        <v>0.78</v>
      </c>
      <c r="Y83" s="57">
        <v>1</v>
      </c>
      <c r="Z83" s="57">
        <v>11</v>
      </c>
      <c r="AA83" s="57">
        <v>0</v>
      </c>
      <c r="AB83" s="57" t="s">
        <v>1319</v>
      </c>
      <c r="AE83" s="75" t="s">
        <v>1558</v>
      </c>
      <c r="AF83" s="162" t="s">
        <v>1126</v>
      </c>
    </row>
    <row r="84" spans="1:32" ht="16" customHeight="1" x14ac:dyDescent="0.2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6">
        <v>82</v>
      </c>
      <c r="S84" s="75" t="s">
        <v>365</v>
      </c>
      <c r="T84" s="75" t="s">
        <v>366</v>
      </c>
      <c r="U84" s="77">
        <v>8.42</v>
      </c>
      <c r="V84" s="248">
        <v>8.26</v>
      </c>
      <c r="W84" s="75">
        <v>8.5</v>
      </c>
      <c r="X84" s="75">
        <v>0.91</v>
      </c>
      <c r="Y84" s="75">
        <v>1</v>
      </c>
      <c r="Z84" s="75">
        <v>13</v>
      </c>
      <c r="AA84" s="75">
        <v>1</v>
      </c>
      <c r="AB84" s="75" t="s">
        <v>790</v>
      </c>
      <c r="AE84" s="57" t="s">
        <v>1559</v>
      </c>
      <c r="AF84" s="163" t="s">
        <v>1126</v>
      </c>
    </row>
    <row r="85" spans="1:32" ht="16" customHeight="1" x14ac:dyDescent="0.2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6">
        <v>83</v>
      </c>
      <c r="S85" s="57" t="s">
        <v>1589</v>
      </c>
      <c r="T85" s="57" t="s">
        <v>1649</v>
      </c>
      <c r="U85" s="76">
        <v>8.44</v>
      </c>
      <c r="V85" s="152">
        <v>8.24</v>
      </c>
      <c r="W85" s="57">
        <v>8.5</v>
      </c>
      <c r="X85" s="57">
        <v>1.28</v>
      </c>
      <c r="Y85" s="57">
        <v>2</v>
      </c>
      <c r="Z85" s="57">
        <v>10</v>
      </c>
      <c r="AA85" s="57">
        <v>1</v>
      </c>
      <c r="AB85" s="57" t="s">
        <v>1655</v>
      </c>
      <c r="AE85" s="75" t="s">
        <v>1127</v>
      </c>
      <c r="AF85" s="162" t="s">
        <v>1126</v>
      </c>
    </row>
    <row r="86" spans="1:32" ht="16" customHeight="1" x14ac:dyDescent="0.2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6">
        <v>84</v>
      </c>
      <c r="S86" s="75" t="s">
        <v>1195</v>
      </c>
      <c r="T86" s="75" t="s">
        <v>1196</v>
      </c>
      <c r="U86" s="77">
        <v>8.4600000000000009</v>
      </c>
      <c r="V86" s="249">
        <v>8.2100000000000009</v>
      </c>
      <c r="W86" s="75">
        <v>8</v>
      </c>
      <c r="X86" s="75">
        <v>1.1299999999999999</v>
      </c>
      <c r="Y86" s="75">
        <v>3</v>
      </c>
      <c r="Z86" s="75">
        <v>13</v>
      </c>
      <c r="AA86" s="75">
        <v>1</v>
      </c>
      <c r="AB86" s="75" t="s">
        <v>1197</v>
      </c>
      <c r="AE86" s="57" t="s">
        <v>1133</v>
      </c>
      <c r="AF86" s="163" t="s">
        <v>1575</v>
      </c>
    </row>
    <row r="87" spans="1:32" ht="16" customHeight="1" x14ac:dyDescent="0.2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6">
        <v>85</v>
      </c>
      <c r="S87" s="57" t="s">
        <v>363</v>
      </c>
      <c r="T87" s="57" t="s">
        <v>162</v>
      </c>
      <c r="U87" s="76">
        <v>8.3800000000000008</v>
      </c>
      <c r="V87" s="187">
        <v>8.18</v>
      </c>
      <c r="W87" s="57">
        <v>8.25</v>
      </c>
      <c r="X87" s="57">
        <v>1.06</v>
      </c>
      <c r="Y87" s="57">
        <v>2</v>
      </c>
      <c r="Z87" s="57">
        <v>12</v>
      </c>
      <c r="AA87" s="57">
        <v>0</v>
      </c>
      <c r="AB87" s="57" t="s">
        <v>847</v>
      </c>
      <c r="AE87" s="75" t="s">
        <v>799</v>
      </c>
      <c r="AF87" s="162" t="s">
        <v>1504</v>
      </c>
    </row>
    <row r="88" spans="1:32" ht="16" customHeight="1" thickBot="1" x14ac:dyDescent="0.25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6">
        <v>86</v>
      </c>
      <c r="S88" s="75" t="s">
        <v>364</v>
      </c>
      <c r="T88" s="75" t="s">
        <v>317</v>
      </c>
      <c r="U88" s="77">
        <v>8.35</v>
      </c>
      <c r="V88" s="250">
        <v>8.16</v>
      </c>
      <c r="W88" s="75">
        <v>8</v>
      </c>
      <c r="X88" s="75">
        <v>0.78</v>
      </c>
      <c r="Y88" s="75">
        <v>1</v>
      </c>
      <c r="Z88" s="75">
        <v>10</v>
      </c>
      <c r="AA88" s="75">
        <v>0</v>
      </c>
      <c r="AB88" s="75" t="s">
        <v>849</v>
      </c>
      <c r="AE88" s="57" t="s">
        <v>1130</v>
      </c>
      <c r="AF88" s="163" t="s">
        <v>1129</v>
      </c>
    </row>
    <row r="89" spans="1:32" ht="16" customHeight="1" thickBot="1" x14ac:dyDescent="0.25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6">
        <v>87</v>
      </c>
      <c r="S89" s="57" t="s">
        <v>342</v>
      </c>
      <c r="T89" s="57" t="s">
        <v>324</v>
      </c>
      <c r="U89" s="76">
        <v>8.35</v>
      </c>
      <c r="V89" s="251">
        <v>8.1300000000000008</v>
      </c>
      <c r="W89" s="57">
        <v>8.25</v>
      </c>
      <c r="X89" s="57">
        <v>1.32</v>
      </c>
      <c r="Y89" s="57">
        <v>3</v>
      </c>
      <c r="Z89" s="57">
        <v>10</v>
      </c>
      <c r="AA89" s="57">
        <v>0</v>
      </c>
      <c r="AB89" s="57" t="s">
        <v>798</v>
      </c>
      <c r="AE89" s="75" t="s">
        <v>1228</v>
      </c>
      <c r="AF89" s="162" t="s">
        <v>1623</v>
      </c>
    </row>
    <row r="90" spans="1:32" ht="16" customHeight="1" thickBot="1" x14ac:dyDescent="0.25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80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6">
        <v>88</v>
      </c>
      <c r="S90" s="75" t="s">
        <v>369</v>
      </c>
      <c r="T90" s="75" t="s">
        <v>370</v>
      </c>
      <c r="U90" s="77">
        <v>8.33</v>
      </c>
      <c r="V90" s="252">
        <v>8.1199999999999992</v>
      </c>
      <c r="W90" s="75">
        <v>8</v>
      </c>
      <c r="X90" s="75">
        <v>0.94</v>
      </c>
      <c r="Y90" s="75">
        <v>1</v>
      </c>
      <c r="Z90" s="75">
        <v>9</v>
      </c>
      <c r="AA90" s="75">
        <v>0</v>
      </c>
      <c r="AB90" s="75" t="s">
        <v>785</v>
      </c>
      <c r="AE90" s="57" t="s">
        <v>1624</v>
      </c>
      <c r="AF90" s="163" t="s">
        <v>1623</v>
      </c>
    </row>
    <row r="91" spans="1:32" ht="16" customHeight="1" thickBot="1" x14ac:dyDescent="0.25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1" t="s">
        <v>497</v>
      </c>
      <c r="N91" s="52">
        <v>10</v>
      </c>
      <c r="O91" s="22"/>
      <c r="R91" s="66">
        <v>89</v>
      </c>
      <c r="S91" s="57" t="s">
        <v>594</v>
      </c>
      <c r="T91" s="57" t="s">
        <v>595</v>
      </c>
      <c r="U91" s="76">
        <v>8.31</v>
      </c>
      <c r="V91" s="214">
        <v>8.11</v>
      </c>
      <c r="W91" s="57">
        <v>8</v>
      </c>
      <c r="X91" s="57">
        <v>0.89</v>
      </c>
      <c r="Y91" s="57">
        <v>2</v>
      </c>
      <c r="Z91" s="57">
        <v>14</v>
      </c>
      <c r="AA91" s="57">
        <v>1</v>
      </c>
      <c r="AB91" s="57" t="s">
        <v>789</v>
      </c>
      <c r="AE91" s="75" t="s">
        <v>1139</v>
      </c>
      <c r="AF91" s="162" t="s">
        <v>1623</v>
      </c>
    </row>
    <row r="92" spans="1:32" ht="16" customHeight="1" thickBot="1" x14ac:dyDescent="0.25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6">
        <v>90</v>
      </c>
      <c r="S92" s="75" t="s">
        <v>827</v>
      </c>
      <c r="T92" s="75" t="s">
        <v>828</v>
      </c>
      <c r="U92" s="77">
        <v>8.33</v>
      </c>
      <c r="V92" s="253">
        <v>8.09</v>
      </c>
      <c r="W92" s="75">
        <v>8</v>
      </c>
      <c r="X92" s="75">
        <v>1.1599999999999999</v>
      </c>
      <c r="Y92" s="75">
        <v>3</v>
      </c>
      <c r="Z92" s="75">
        <v>15</v>
      </c>
      <c r="AA92" s="75">
        <v>0</v>
      </c>
      <c r="AB92" s="75" t="s">
        <v>848</v>
      </c>
      <c r="AE92" s="57" t="s">
        <v>1131</v>
      </c>
      <c r="AF92" s="163" t="s">
        <v>1132</v>
      </c>
    </row>
    <row r="93" spans="1:32" ht="16" customHeight="1" thickBot="1" x14ac:dyDescent="0.25">
      <c r="A93" s="128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2" t="s">
        <v>1025</v>
      </c>
      <c r="N93" s="3">
        <f>ROUND(SUM(N94:N110)/COUNT(N94:N110), 2)</f>
        <v>8.5</v>
      </c>
      <c r="O93" s="22"/>
      <c r="R93" s="66">
        <v>91</v>
      </c>
      <c r="S93" s="57" t="s">
        <v>343</v>
      </c>
      <c r="T93" s="57" t="s">
        <v>634</v>
      </c>
      <c r="U93" s="76">
        <v>8.0500000000000007</v>
      </c>
      <c r="V93" s="154">
        <v>8.01</v>
      </c>
      <c r="W93" s="57">
        <v>8.25</v>
      </c>
      <c r="X93" s="57">
        <v>1.19</v>
      </c>
      <c r="Y93" s="57">
        <v>1</v>
      </c>
      <c r="Z93" s="57">
        <v>11</v>
      </c>
      <c r="AA93" s="57">
        <v>1</v>
      </c>
      <c r="AB93" s="57" t="s">
        <v>776</v>
      </c>
      <c r="AE93" s="75" t="s">
        <v>1335</v>
      </c>
      <c r="AF93" s="162" t="s">
        <v>1135</v>
      </c>
    </row>
    <row r="94" spans="1:32" ht="16" customHeight="1" x14ac:dyDescent="0.2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6">
        <v>92</v>
      </c>
      <c r="S94" s="75" t="s">
        <v>484</v>
      </c>
      <c r="T94" s="75" t="s">
        <v>485</v>
      </c>
      <c r="U94" s="77">
        <v>8.18</v>
      </c>
      <c r="V94" s="254">
        <v>8</v>
      </c>
      <c r="W94" s="75">
        <v>8</v>
      </c>
      <c r="X94" s="75">
        <v>0.89</v>
      </c>
      <c r="Y94" s="75">
        <v>2</v>
      </c>
      <c r="Z94" s="75">
        <v>19</v>
      </c>
      <c r="AA94" s="75">
        <v>0</v>
      </c>
      <c r="AB94" s="75" t="s">
        <v>805</v>
      </c>
      <c r="AE94" s="57" t="s">
        <v>804</v>
      </c>
      <c r="AF94" s="163" t="s">
        <v>1135</v>
      </c>
    </row>
    <row r="95" spans="1:32" ht="16" customHeight="1" thickBot="1" x14ac:dyDescent="0.25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6">
        <v>93</v>
      </c>
      <c r="S95" s="57" t="s">
        <v>739</v>
      </c>
      <c r="T95" s="57" t="s">
        <v>1339</v>
      </c>
      <c r="U95" s="76">
        <v>8.11</v>
      </c>
      <c r="V95" s="255">
        <v>7.95</v>
      </c>
      <c r="W95" s="57">
        <v>8</v>
      </c>
      <c r="X95" s="57">
        <v>0.71</v>
      </c>
      <c r="Y95" s="57">
        <v>0</v>
      </c>
      <c r="Z95" s="57">
        <v>15</v>
      </c>
      <c r="AA95" s="57">
        <v>1</v>
      </c>
      <c r="AB95" s="57" t="s">
        <v>1355</v>
      </c>
      <c r="AE95" s="75" t="s">
        <v>1137</v>
      </c>
      <c r="AF95" s="162" t="s">
        <v>1135</v>
      </c>
    </row>
    <row r="96" spans="1:32" ht="16" customHeight="1" thickBot="1" x14ac:dyDescent="0.25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6">
        <v>94</v>
      </c>
      <c r="S96" s="75" t="s">
        <v>402</v>
      </c>
      <c r="T96" s="75" t="s">
        <v>395</v>
      </c>
      <c r="U96" s="77">
        <v>8</v>
      </c>
      <c r="V96" s="256">
        <v>7.93</v>
      </c>
      <c r="W96" s="75">
        <v>8.25</v>
      </c>
      <c r="X96" s="75">
        <v>0.56000000000000005</v>
      </c>
      <c r="Y96" s="75">
        <v>0</v>
      </c>
      <c r="Z96" s="75">
        <v>9</v>
      </c>
      <c r="AA96" s="75">
        <v>1</v>
      </c>
      <c r="AB96" s="75" t="s">
        <v>780</v>
      </c>
      <c r="AE96" s="57" t="s">
        <v>1136</v>
      </c>
      <c r="AF96" s="163" t="s">
        <v>1135</v>
      </c>
    </row>
    <row r="97" spans="1:32" ht="16" customHeight="1" thickBot="1" x14ac:dyDescent="0.25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78" t="s">
        <v>565</v>
      </c>
      <c r="H97" s="3">
        <f>ROUND(SUM(H98:H108)/COUNT(H98:H109), 2)</f>
        <v>8.68</v>
      </c>
      <c r="I97" s="4"/>
      <c r="J97" s="21"/>
      <c r="K97" s="21"/>
      <c r="L97" s="4"/>
      <c r="M97" s="8" t="s">
        <v>539</v>
      </c>
      <c r="N97" s="51"/>
      <c r="O97" s="22"/>
      <c r="R97" s="66">
        <v>95</v>
      </c>
      <c r="S97" s="57" t="s">
        <v>1470</v>
      </c>
      <c r="T97" s="57" t="s">
        <v>1471</v>
      </c>
      <c r="U97" s="76">
        <v>8.0500000000000007</v>
      </c>
      <c r="V97" s="155">
        <v>7.9</v>
      </c>
      <c r="W97" s="57">
        <v>8</v>
      </c>
      <c r="X97" s="57">
        <v>0.72</v>
      </c>
      <c r="Y97" s="57">
        <v>0</v>
      </c>
      <c r="Z97" s="57">
        <v>10</v>
      </c>
      <c r="AA97" s="57">
        <v>0</v>
      </c>
      <c r="AB97" s="57" t="s">
        <v>775</v>
      </c>
      <c r="AE97" s="75" t="s">
        <v>1241</v>
      </c>
      <c r="AF97" s="162" t="s">
        <v>1140</v>
      </c>
    </row>
    <row r="98" spans="1:32" ht="16" customHeight="1" thickBot="1" x14ac:dyDescent="0.25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79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6">
        <v>96</v>
      </c>
      <c r="S98" s="75" t="s">
        <v>353</v>
      </c>
      <c r="T98" s="75" t="s">
        <v>713</v>
      </c>
      <c r="U98" s="77">
        <v>8.07</v>
      </c>
      <c r="V98" s="189">
        <v>7.87</v>
      </c>
      <c r="W98" s="75">
        <v>8</v>
      </c>
      <c r="X98" s="75">
        <v>1.07</v>
      </c>
      <c r="Y98" s="75">
        <v>2</v>
      </c>
      <c r="Z98" s="75">
        <v>16</v>
      </c>
      <c r="AA98" s="75">
        <v>2</v>
      </c>
      <c r="AB98" s="75" t="s">
        <v>782</v>
      </c>
      <c r="AE98" s="57" t="s">
        <v>1141</v>
      </c>
      <c r="AF98" s="163" t="s">
        <v>1639</v>
      </c>
    </row>
    <row r="99" spans="1:32" ht="16" customHeight="1" thickBot="1" x14ac:dyDescent="0.25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6">
        <v>97</v>
      </c>
      <c r="S99" s="57" t="s">
        <v>353</v>
      </c>
      <c r="T99" s="57" t="s">
        <v>1625</v>
      </c>
      <c r="U99" s="76">
        <v>8</v>
      </c>
      <c r="V99" s="257">
        <v>7.75</v>
      </c>
      <c r="W99" s="57">
        <v>7.5</v>
      </c>
      <c r="X99" s="57">
        <v>0.88</v>
      </c>
      <c r="Y99" s="57">
        <v>0</v>
      </c>
      <c r="Z99" s="57">
        <v>10</v>
      </c>
      <c r="AA99" s="57">
        <v>1</v>
      </c>
      <c r="AB99" s="57" t="s">
        <v>1636</v>
      </c>
      <c r="AE99" s="75" t="s">
        <v>1142</v>
      </c>
      <c r="AF99" s="162" t="s">
        <v>1336</v>
      </c>
    </row>
    <row r="100" spans="1:32" ht="16" customHeight="1" thickBot="1" x14ac:dyDescent="0.25">
      <c r="A100" s="6" t="s">
        <v>529</v>
      </c>
      <c r="B100" s="51">
        <v>9</v>
      </c>
      <c r="C100" s="22"/>
      <c r="D100" s="107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6">
        <v>98</v>
      </c>
      <c r="S100" s="75" t="s">
        <v>343</v>
      </c>
      <c r="T100" s="75" t="s">
        <v>968</v>
      </c>
      <c r="U100" s="77">
        <v>7.88</v>
      </c>
      <c r="V100" s="258">
        <v>7.68</v>
      </c>
      <c r="W100" s="75">
        <v>7.75</v>
      </c>
      <c r="X100" s="75">
        <v>0.86</v>
      </c>
      <c r="Y100" s="75">
        <v>0</v>
      </c>
      <c r="Z100" s="75">
        <v>8</v>
      </c>
      <c r="AA100" s="75">
        <v>0</v>
      </c>
      <c r="AB100" s="75" t="s">
        <v>969</v>
      </c>
      <c r="AE100" s="57" t="s">
        <v>1134</v>
      </c>
      <c r="AF100" s="163" t="s">
        <v>1285</v>
      </c>
    </row>
    <row r="101" spans="1:32" ht="16" customHeight="1" thickBot="1" x14ac:dyDescent="0.25">
      <c r="A101" s="9" t="s">
        <v>530</v>
      </c>
      <c r="B101" s="52">
        <v>7</v>
      </c>
      <c r="C101" s="4"/>
      <c r="D101" s="7" t="s">
        <v>581</v>
      </c>
      <c r="E101" s="81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6">
        <v>99</v>
      </c>
      <c r="S101" s="57" t="s">
        <v>668</v>
      </c>
      <c r="T101" s="57" t="s">
        <v>669</v>
      </c>
      <c r="U101" s="76">
        <v>7.72</v>
      </c>
      <c r="V101" s="259">
        <v>7.65</v>
      </c>
      <c r="W101" s="57">
        <v>8</v>
      </c>
      <c r="X101" s="57">
        <v>0.57999999999999996</v>
      </c>
      <c r="Y101" s="57">
        <v>0</v>
      </c>
      <c r="Z101" s="57">
        <v>18</v>
      </c>
      <c r="AA101" s="57">
        <v>0</v>
      </c>
      <c r="AB101" s="57" t="s">
        <v>806</v>
      </c>
      <c r="AE101" s="75" t="s">
        <v>1143</v>
      </c>
      <c r="AF101" s="162" t="s">
        <v>1144</v>
      </c>
    </row>
    <row r="102" spans="1:32" ht="16" customHeight="1" thickBot="1" x14ac:dyDescent="0.25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66">
        <v>100</v>
      </c>
      <c r="S102" s="75" t="s">
        <v>354</v>
      </c>
      <c r="T102" s="75" t="s">
        <v>354</v>
      </c>
      <c r="U102" s="77">
        <v>7.77</v>
      </c>
      <c r="V102" s="260">
        <v>7.61</v>
      </c>
      <c r="W102" s="75">
        <v>7.5</v>
      </c>
      <c r="X102" s="75">
        <v>0.62</v>
      </c>
      <c r="Y102" s="75">
        <v>0</v>
      </c>
      <c r="Z102" s="75">
        <v>11</v>
      </c>
      <c r="AA102" s="75">
        <v>0</v>
      </c>
      <c r="AB102" s="75" t="s">
        <v>801</v>
      </c>
      <c r="AE102" s="57" t="s">
        <v>1138</v>
      </c>
      <c r="AF102" s="163" t="s">
        <v>1505</v>
      </c>
    </row>
    <row r="103" spans="1:32" ht="16" customHeight="1" thickBot="1" x14ac:dyDescent="0.25">
      <c r="A103" s="82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66">
        <v>101</v>
      </c>
      <c r="S103" s="57" t="s">
        <v>514</v>
      </c>
      <c r="T103" s="57" t="s">
        <v>515</v>
      </c>
      <c r="U103" s="76">
        <v>7.67</v>
      </c>
      <c r="V103" s="157">
        <v>7.6</v>
      </c>
      <c r="W103" s="57">
        <v>8</v>
      </c>
      <c r="X103" s="57">
        <v>0.59</v>
      </c>
      <c r="Y103" s="57">
        <v>0</v>
      </c>
      <c r="Z103" s="57">
        <v>12</v>
      </c>
      <c r="AA103" s="57">
        <v>0</v>
      </c>
      <c r="AB103" s="57" t="s">
        <v>791</v>
      </c>
      <c r="AE103" s="75" t="s">
        <v>1145</v>
      </c>
      <c r="AF103" s="162" t="s">
        <v>1337</v>
      </c>
    </row>
    <row r="104" spans="1:32" ht="16" customHeight="1" x14ac:dyDescent="0.2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66">
        <v>102</v>
      </c>
      <c r="S104" s="75" t="s">
        <v>1239</v>
      </c>
      <c r="T104" s="75" t="s">
        <v>1240</v>
      </c>
      <c r="U104" s="77">
        <v>7.71</v>
      </c>
      <c r="V104" s="156">
        <v>7.59</v>
      </c>
      <c r="W104" s="75">
        <v>7.5</v>
      </c>
      <c r="X104" s="75">
        <v>0.45</v>
      </c>
      <c r="Y104" s="75">
        <v>0</v>
      </c>
      <c r="Z104" s="75">
        <v>8</v>
      </c>
      <c r="AA104" s="75">
        <v>1</v>
      </c>
      <c r="AB104" s="75" t="s">
        <v>1242</v>
      </c>
      <c r="AE104" s="57" t="s">
        <v>1146</v>
      </c>
      <c r="AF104" s="163" t="s">
        <v>1147</v>
      </c>
    </row>
    <row r="105" spans="1:32" ht="16" customHeight="1" x14ac:dyDescent="0.2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9.5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66">
        <v>103</v>
      </c>
      <c r="S105" s="57" t="s">
        <v>343</v>
      </c>
      <c r="T105" s="57" t="s">
        <v>1007</v>
      </c>
      <c r="U105" s="76">
        <v>7.5</v>
      </c>
      <c r="V105" s="261">
        <v>7.35</v>
      </c>
      <c r="W105" s="57">
        <v>7.5</v>
      </c>
      <c r="X105" s="57">
        <v>0.76</v>
      </c>
      <c r="Y105" s="57">
        <v>0</v>
      </c>
      <c r="Z105" s="57">
        <v>12</v>
      </c>
      <c r="AA105" s="57">
        <v>0</v>
      </c>
      <c r="AB105" s="57" t="s">
        <v>799</v>
      </c>
      <c r="AE105" s="75" t="s">
        <v>1148</v>
      </c>
      <c r="AF105" s="162" t="s">
        <v>1147</v>
      </c>
    </row>
    <row r="106" spans="1:32" ht="16" customHeight="1" x14ac:dyDescent="0.2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66">
        <v>104</v>
      </c>
      <c r="S106" s="75" t="s">
        <v>436</v>
      </c>
      <c r="T106" s="75" t="s">
        <v>437</v>
      </c>
      <c r="U106" s="77">
        <v>7.29</v>
      </c>
      <c r="V106" s="262">
        <v>7.14</v>
      </c>
      <c r="W106" s="75">
        <v>7</v>
      </c>
      <c r="X106" s="75">
        <v>0.52</v>
      </c>
      <c r="Y106" s="75">
        <v>0</v>
      </c>
      <c r="Z106" s="75">
        <v>7</v>
      </c>
      <c r="AA106" s="75">
        <v>0</v>
      </c>
      <c r="AB106" s="75" t="s">
        <v>807</v>
      </c>
      <c r="AE106" s="57" t="s">
        <v>1149</v>
      </c>
      <c r="AF106" s="163" t="s">
        <v>1150</v>
      </c>
    </row>
    <row r="107" spans="1:32" ht="16" customHeight="1" x14ac:dyDescent="0.2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5">
        <v>8.5</v>
      </c>
      <c r="L107" s="4"/>
      <c r="M107" s="8" t="s">
        <v>548</v>
      </c>
      <c r="N107" s="51">
        <v>9</v>
      </c>
      <c r="O107" s="22"/>
      <c r="R107" s="66">
        <v>105</v>
      </c>
      <c r="S107" s="57" t="s">
        <v>689</v>
      </c>
      <c r="T107" s="57" t="s">
        <v>690</v>
      </c>
      <c r="U107" s="76">
        <v>7.06</v>
      </c>
      <c r="V107" s="263">
        <v>6.96</v>
      </c>
      <c r="W107" s="57">
        <v>7</v>
      </c>
      <c r="X107" s="57">
        <v>0.44</v>
      </c>
      <c r="Y107" s="57">
        <v>0</v>
      </c>
      <c r="Z107" s="57">
        <v>10</v>
      </c>
      <c r="AA107" s="57">
        <v>1</v>
      </c>
      <c r="AB107" s="57" t="s">
        <v>800</v>
      </c>
      <c r="AE107" s="75" t="s">
        <v>1151</v>
      </c>
      <c r="AF107" s="162" t="s">
        <v>1152</v>
      </c>
    </row>
    <row r="108" spans="1:32" ht="16" customHeight="1" thickBot="1" x14ac:dyDescent="0.25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V108"/>
      <c r="W108"/>
      <c r="X108"/>
      <c r="Y108"/>
      <c r="Z108"/>
      <c r="AE108" s="57" t="s">
        <v>1411</v>
      </c>
      <c r="AF108" s="163" t="s">
        <v>1432</v>
      </c>
    </row>
    <row r="109" spans="1:32" ht="16" customHeight="1" thickBot="1" x14ac:dyDescent="0.3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269" t="s">
        <v>1389</v>
      </c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E109" s="75" t="s">
        <v>1331</v>
      </c>
      <c r="AF109" s="162" t="s">
        <v>1332</v>
      </c>
    </row>
    <row r="110" spans="1:32" ht="16" customHeight="1" thickBot="1" x14ac:dyDescent="0.25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06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56" t="s">
        <v>368</v>
      </c>
      <c r="S110" s="56" t="s">
        <v>335</v>
      </c>
      <c r="T110" s="56" t="s">
        <v>535</v>
      </c>
      <c r="U110" s="56" t="s">
        <v>532</v>
      </c>
      <c r="V110" s="56" t="s">
        <v>1028</v>
      </c>
      <c r="W110" s="56" t="s">
        <v>533</v>
      </c>
      <c r="X110" s="56" t="s">
        <v>338</v>
      </c>
      <c r="Y110" s="56" t="s">
        <v>339</v>
      </c>
      <c r="Z110" s="56" t="s">
        <v>340</v>
      </c>
      <c r="AA110" s="56" t="s">
        <v>341</v>
      </c>
      <c r="AB110" s="56" t="s">
        <v>936</v>
      </c>
      <c r="AE110" s="57" t="s">
        <v>1333</v>
      </c>
      <c r="AF110" s="163" t="s">
        <v>1332</v>
      </c>
    </row>
    <row r="111" spans="1:32" ht="16" customHeight="1" thickBot="1" x14ac:dyDescent="0.25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05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67">
        <v>1</v>
      </c>
      <c r="S111" s="57" t="s">
        <v>348</v>
      </c>
      <c r="T111" s="76">
        <v>3</v>
      </c>
      <c r="U111" s="76">
        <v>9.61</v>
      </c>
      <c r="V111" s="145">
        <v>9.83</v>
      </c>
      <c r="W111" s="57">
        <v>9.67</v>
      </c>
      <c r="X111" s="57">
        <v>0.76</v>
      </c>
      <c r="Y111" s="57">
        <v>10</v>
      </c>
      <c r="Z111" s="57">
        <v>20</v>
      </c>
      <c r="AA111" s="57">
        <v>1</v>
      </c>
      <c r="AB111" s="57" t="s">
        <v>1056</v>
      </c>
      <c r="AE111" s="75" t="s">
        <v>789</v>
      </c>
      <c r="AF111" s="162" t="s">
        <v>1286</v>
      </c>
    </row>
    <row r="112" spans="1:32" ht="16" customHeight="1" thickBot="1" x14ac:dyDescent="0.25">
      <c r="A112" s="63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4" t="s">
        <v>635</v>
      </c>
      <c r="N112" s="3">
        <f>ROUND(SUM(N113:N125)/COUNT(N113:N125), 2)</f>
        <v>8.77</v>
      </c>
      <c r="O112" s="22"/>
      <c r="R112" s="68">
        <v>2</v>
      </c>
      <c r="S112" s="75" t="s">
        <v>342</v>
      </c>
      <c r="T112" s="77">
        <v>5</v>
      </c>
      <c r="U112" s="77">
        <v>9.36</v>
      </c>
      <c r="V112" s="264">
        <v>9.6</v>
      </c>
      <c r="W112" s="75">
        <v>9.65</v>
      </c>
      <c r="X112" s="75">
        <v>0.91</v>
      </c>
      <c r="Y112" s="75">
        <v>22</v>
      </c>
      <c r="Z112" s="75">
        <v>58</v>
      </c>
      <c r="AA112" s="75">
        <v>14</v>
      </c>
      <c r="AB112" s="75" t="s">
        <v>1305</v>
      </c>
      <c r="AE112" s="57" t="s">
        <v>1659</v>
      </c>
      <c r="AF112" s="163" t="s">
        <v>1660</v>
      </c>
    </row>
    <row r="113" spans="1:32" ht="16" customHeight="1" thickBot="1" x14ac:dyDescent="0.25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9">
        <v>3</v>
      </c>
      <c r="S113" s="57" t="s">
        <v>347</v>
      </c>
      <c r="T113" s="76">
        <v>3</v>
      </c>
      <c r="U113" s="76">
        <v>9.18</v>
      </c>
      <c r="V113" s="226">
        <v>9.15</v>
      </c>
      <c r="W113" s="57">
        <v>8.92</v>
      </c>
      <c r="X113" s="57">
        <v>0.74</v>
      </c>
      <c r="Y113" s="57">
        <v>5</v>
      </c>
      <c r="Z113" s="57">
        <v>16</v>
      </c>
      <c r="AA113" s="57">
        <v>0</v>
      </c>
      <c r="AB113" s="57" t="s">
        <v>1457</v>
      </c>
      <c r="AE113" s="75" t="s">
        <v>1156</v>
      </c>
      <c r="AF113" s="162" t="s">
        <v>1338</v>
      </c>
    </row>
    <row r="114" spans="1:32" ht="16" customHeight="1" thickBot="1" x14ac:dyDescent="0.25">
      <c r="A114" s="104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66">
        <v>4</v>
      </c>
      <c r="S114" s="75" t="s">
        <v>351</v>
      </c>
      <c r="T114" s="77">
        <v>4</v>
      </c>
      <c r="U114" s="77">
        <v>8.9600000000000009</v>
      </c>
      <c r="V114" s="186">
        <v>9.01</v>
      </c>
      <c r="W114" s="75">
        <v>8.94</v>
      </c>
      <c r="X114" s="75">
        <v>0.99</v>
      </c>
      <c r="Y114" s="75">
        <v>11</v>
      </c>
      <c r="Z114" s="75">
        <v>37</v>
      </c>
      <c r="AA114" s="75">
        <v>0</v>
      </c>
      <c r="AB114" s="75" t="s">
        <v>1431</v>
      </c>
      <c r="AE114" s="57" t="s">
        <v>1157</v>
      </c>
      <c r="AF114" s="163" t="s">
        <v>1338</v>
      </c>
    </row>
    <row r="115" spans="1:32" ht="16" customHeight="1" thickBot="1" x14ac:dyDescent="0.25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66">
        <v>5</v>
      </c>
      <c r="S115" s="57" t="s">
        <v>499</v>
      </c>
      <c r="T115" s="76">
        <v>3</v>
      </c>
      <c r="U115" s="76">
        <v>8.93</v>
      </c>
      <c r="V115" s="59">
        <v>8.89</v>
      </c>
      <c r="W115" s="57">
        <v>8.83</v>
      </c>
      <c r="X115" s="57">
        <v>0.82</v>
      </c>
      <c r="Y115" s="57">
        <v>6</v>
      </c>
      <c r="Z115" s="57">
        <v>27</v>
      </c>
      <c r="AA115" s="57">
        <v>0</v>
      </c>
      <c r="AB115" s="57" t="s">
        <v>780</v>
      </c>
      <c r="AE115" s="75" t="s">
        <v>1153</v>
      </c>
      <c r="AF115" s="162" t="s">
        <v>1154</v>
      </c>
    </row>
    <row r="116" spans="1:32" ht="16" customHeight="1" thickBot="1" x14ac:dyDescent="0.25">
      <c r="A116" s="8" t="s">
        <v>651</v>
      </c>
      <c r="B116" s="51">
        <v>8</v>
      </c>
      <c r="C116" s="22"/>
      <c r="D116" s="103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66">
        <v>6</v>
      </c>
      <c r="S116" s="75" t="s">
        <v>350</v>
      </c>
      <c r="T116" s="77">
        <v>4</v>
      </c>
      <c r="U116" s="77">
        <v>8.83</v>
      </c>
      <c r="V116" s="237">
        <v>8.77</v>
      </c>
      <c r="W116" s="75">
        <v>8.69</v>
      </c>
      <c r="X116" s="75">
        <v>0.9</v>
      </c>
      <c r="Y116" s="75">
        <v>5</v>
      </c>
      <c r="Z116" s="75">
        <v>30</v>
      </c>
      <c r="AA116" s="75">
        <v>0</v>
      </c>
      <c r="AB116" s="75" t="s">
        <v>802</v>
      </c>
      <c r="AE116" s="57" t="s">
        <v>1155</v>
      </c>
      <c r="AF116" s="163" t="s">
        <v>1154</v>
      </c>
    </row>
    <row r="117" spans="1:32" ht="16" customHeight="1" x14ac:dyDescent="0.2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66">
        <v>7</v>
      </c>
      <c r="S117" s="57" t="s">
        <v>357</v>
      </c>
      <c r="T117" s="76">
        <v>2</v>
      </c>
      <c r="U117" s="76">
        <v>8.83</v>
      </c>
      <c r="V117" s="158">
        <v>8.8000000000000007</v>
      </c>
      <c r="W117" s="57">
        <v>8.5</v>
      </c>
      <c r="X117" s="57">
        <v>0.88</v>
      </c>
      <c r="Y117" s="57">
        <v>4</v>
      </c>
      <c r="Z117" s="57">
        <v>18</v>
      </c>
      <c r="AA117" s="57">
        <v>0</v>
      </c>
      <c r="AB117" s="57" t="s">
        <v>1720</v>
      </c>
      <c r="AE117" s="75" t="s">
        <v>806</v>
      </c>
      <c r="AF117" s="162" t="s">
        <v>1158</v>
      </c>
    </row>
    <row r="118" spans="1:32" ht="16" customHeight="1" x14ac:dyDescent="0.2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66">
        <v>8</v>
      </c>
      <c r="S118" s="75" t="s">
        <v>361</v>
      </c>
      <c r="T118" s="77">
        <v>3</v>
      </c>
      <c r="U118" s="77">
        <v>8.77</v>
      </c>
      <c r="V118" s="239">
        <v>8.73</v>
      </c>
      <c r="W118" s="75">
        <v>8.67</v>
      </c>
      <c r="X118" s="75">
        <v>0.81</v>
      </c>
      <c r="Y118" s="75">
        <v>6</v>
      </c>
      <c r="Z118" s="75">
        <v>34</v>
      </c>
      <c r="AA118" s="75">
        <v>1</v>
      </c>
      <c r="AB118" s="75" t="s">
        <v>1711</v>
      </c>
      <c r="AE118" s="57" t="s">
        <v>1159</v>
      </c>
      <c r="AF118" s="163" t="s">
        <v>1160</v>
      </c>
    </row>
    <row r="119" spans="1:32" ht="16" customHeight="1" x14ac:dyDescent="0.2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66">
        <v>9</v>
      </c>
      <c r="S119" s="57" t="s">
        <v>343</v>
      </c>
      <c r="T119" s="76">
        <v>9</v>
      </c>
      <c r="U119" s="76">
        <v>8.65</v>
      </c>
      <c r="V119" s="240">
        <v>8.69</v>
      </c>
      <c r="W119" s="57">
        <v>8.69</v>
      </c>
      <c r="X119" s="57">
        <v>0.86</v>
      </c>
      <c r="Y119" s="57">
        <v>19</v>
      </c>
      <c r="Z119" s="57">
        <v>101</v>
      </c>
      <c r="AA119" s="57">
        <v>4</v>
      </c>
      <c r="AB119" s="57" t="s">
        <v>970</v>
      </c>
      <c r="AE119" s="75" t="s">
        <v>1356</v>
      </c>
      <c r="AF119" s="162" t="s">
        <v>1357</v>
      </c>
    </row>
    <row r="120" spans="1:32" ht="16" customHeight="1" x14ac:dyDescent="0.2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3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66">
        <v>10</v>
      </c>
      <c r="S120" s="75" t="s">
        <v>1589</v>
      </c>
      <c r="T120" s="77">
        <v>2</v>
      </c>
      <c r="U120" s="77">
        <v>8.6300000000000008</v>
      </c>
      <c r="V120" s="192">
        <v>8.52</v>
      </c>
      <c r="W120" s="75">
        <v>8.5</v>
      </c>
      <c r="X120" s="75">
        <v>1.05</v>
      </c>
      <c r="Y120" s="75">
        <v>4</v>
      </c>
      <c r="Z120" s="75">
        <v>22</v>
      </c>
      <c r="AA120" s="75">
        <v>2</v>
      </c>
      <c r="AB120" s="75" t="s">
        <v>1656</v>
      </c>
      <c r="AE120" s="57" t="s">
        <v>1640</v>
      </c>
      <c r="AF120" s="163" t="s">
        <v>1641</v>
      </c>
    </row>
    <row r="121" spans="1:32" ht="16" customHeight="1" x14ac:dyDescent="0.2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66">
        <v>11</v>
      </c>
      <c r="S121" s="57" t="s">
        <v>739</v>
      </c>
      <c r="T121" s="76">
        <v>3</v>
      </c>
      <c r="U121" s="76">
        <v>8.5500000000000007</v>
      </c>
      <c r="V121" s="212">
        <v>8.51</v>
      </c>
      <c r="W121" s="57">
        <v>8.17</v>
      </c>
      <c r="X121" s="57">
        <v>0.83</v>
      </c>
      <c r="Y121" s="57">
        <v>6</v>
      </c>
      <c r="Z121" s="57">
        <v>46</v>
      </c>
      <c r="AA121" s="57">
        <v>4</v>
      </c>
      <c r="AB121" s="57" t="s">
        <v>1503</v>
      </c>
      <c r="AE121" s="75" t="s">
        <v>1642</v>
      </c>
      <c r="AF121" s="162" t="s">
        <v>1641</v>
      </c>
    </row>
    <row r="122" spans="1:32" ht="16" customHeight="1" thickBot="1" x14ac:dyDescent="0.25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66">
        <v>12</v>
      </c>
      <c r="S122" s="75" t="s">
        <v>353</v>
      </c>
      <c r="T122" s="77">
        <v>4</v>
      </c>
      <c r="U122" s="77">
        <v>8.48</v>
      </c>
      <c r="V122" s="265">
        <v>8.36</v>
      </c>
      <c r="W122" s="75">
        <v>8.25</v>
      </c>
      <c r="X122" s="75">
        <v>0.95</v>
      </c>
      <c r="Y122" s="75">
        <v>8</v>
      </c>
      <c r="Z122" s="75">
        <v>52</v>
      </c>
      <c r="AA122" s="75">
        <v>4</v>
      </c>
      <c r="AB122" s="75" t="s">
        <v>1637</v>
      </c>
      <c r="AE122" s="57" t="s">
        <v>1161</v>
      </c>
      <c r="AF122" s="163" t="s">
        <v>1162</v>
      </c>
    </row>
    <row r="123" spans="1:32" ht="16" customHeight="1" thickBot="1" x14ac:dyDescent="0.25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66">
        <v>13</v>
      </c>
      <c r="S123" s="57" t="s">
        <v>354</v>
      </c>
      <c r="T123" s="76">
        <v>2</v>
      </c>
      <c r="U123" s="76">
        <v>8.39</v>
      </c>
      <c r="V123" s="153">
        <v>8.32</v>
      </c>
      <c r="W123" s="57">
        <v>8.25</v>
      </c>
      <c r="X123" s="57">
        <v>0.72</v>
      </c>
      <c r="Y123" s="57">
        <v>2</v>
      </c>
      <c r="Z123" s="57">
        <v>20</v>
      </c>
      <c r="AA123" s="57">
        <v>0</v>
      </c>
      <c r="AB123" s="57" t="s">
        <v>801</v>
      </c>
      <c r="AE123" s="75" t="s">
        <v>1242</v>
      </c>
      <c r="AF123" s="162" t="s">
        <v>1253</v>
      </c>
    </row>
    <row r="124" spans="1:32" ht="16" customHeight="1" thickBot="1" x14ac:dyDescent="0.25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88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V124"/>
      <c r="W124"/>
      <c r="X124"/>
      <c r="Y124"/>
      <c r="Z124"/>
      <c r="AE124" s="57" t="s">
        <v>1163</v>
      </c>
      <c r="AF124" s="163" t="s">
        <v>1164</v>
      </c>
    </row>
    <row r="125" spans="1:32" ht="16" customHeight="1" thickBot="1" x14ac:dyDescent="0.3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180" t="s">
        <v>1283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1" t="s">
        <v>648</v>
      </c>
      <c r="N125" s="52">
        <v>7</v>
      </c>
      <c r="O125" s="22"/>
      <c r="R125" s="269" t="s">
        <v>1390</v>
      </c>
      <c r="S125" s="269"/>
      <c r="T125" s="269"/>
      <c r="U125" s="269"/>
      <c r="V125" s="269"/>
      <c r="W125"/>
      <c r="X125"/>
      <c r="Y125"/>
      <c r="Z125"/>
      <c r="AE125" s="75" t="s">
        <v>1165</v>
      </c>
      <c r="AF125" s="162" t="s">
        <v>1164</v>
      </c>
    </row>
    <row r="126" spans="1:32" ht="16" customHeight="1" thickBot="1" x14ac:dyDescent="0.25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56" t="s">
        <v>368</v>
      </c>
      <c r="S126" s="56" t="s">
        <v>335</v>
      </c>
      <c r="T126" s="56" t="s">
        <v>336</v>
      </c>
      <c r="U126" s="56" t="s">
        <v>337</v>
      </c>
      <c r="V126" s="56" t="s">
        <v>1028</v>
      </c>
      <c r="W126"/>
      <c r="X126"/>
      <c r="Y126"/>
      <c r="Z126"/>
      <c r="AE126" s="57" t="s">
        <v>807</v>
      </c>
      <c r="AF126" s="163" t="s">
        <v>1166</v>
      </c>
    </row>
    <row r="127" spans="1:32" ht="16" customHeight="1" thickBot="1" x14ac:dyDescent="0.25">
      <c r="A127" s="8" t="s">
        <v>662</v>
      </c>
      <c r="B127" s="51">
        <v>7</v>
      </c>
      <c r="C127" s="22"/>
      <c r="D127" s="102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89" t="s">
        <v>722</v>
      </c>
      <c r="N127" s="3">
        <f>ROUND(SUM(N128:N135)/COUNT(N128:N135), 2)</f>
        <v>9.1300000000000008</v>
      </c>
      <c r="O127" s="22"/>
      <c r="R127" s="67">
        <v>1</v>
      </c>
      <c r="S127" s="57" t="s">
        <v>1022</v>
      </c>
      <c r="T127" s="57" t="s">
        <v>1020</v>
      </c>
      <c r="U127" s="76">
        <v>10.5</v>
      </c>
      <c r="V127" s="141">
        <v>10.85</v>
      </c>
      <c r="W127"/>
      <c r="X127"/>
      <c r="Y127"/>
      <c r="Z127"/>
    </row>
    <row r="128" spans="1:32" ht="16" customHeight="1" x14ac:dyDescent="0.2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8">
        <v>2</v>
      </c>
      <c r="S128" s="75" t="s">
        <v>342</v>
      </c>
      <c r="T128" s="75" t="s">
        <v>7</v>
      </c>
      <c r="U128" s="77">
        <v>9.89</v>
      </c>
      <c r="V128" s="141">
        <v>10.47</v>
      </c>
      <c r="W128"/>
      <c r="X128"/>
      <c r="Y128"/>
      <c r="Z128"/>
    </row>
    <row r="129" spans="1:26" ht="16" customHeight="1" thickBot="1" x14ac:dyDescent="0.25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9">
        <v>3</v>
      </c>
      <c r="S129" s="57" t="s">
        <v>348</v>
      </c>
      <c r="T129" s="57" t="s">
        <v>1053</v>
      </c>
      <c r="U129" s="76">
        <v>10</v>
      </c>
      <c r="V129" s="141">
        <v>10.35</v>
      </c>
      <c r="W129"/>
      <c r="X129"/>
      <c r="Y129"/>
      <c r="Z129"/>
    </row>
    <row r="130" spans="1:26" ht="16" customHeight="1" thickBot="1" x14ac:dyDescent="0.25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6">
        <v>4</v>
      </c>
      <c r="S130" s="75" t="s">
        <v>343</v>
      </c>
      <c r="T130" s="75" t="s">
        <v>344</v>
      </c>
      <c r="U130" s="77">
        <v>9.6999999999999993</v>
      </c>
      <c r="V130" s="141">
        <v>10.29</v>
      </c>
      <c r="W130"/>
      <c r="X130"/>
      <c r="Y130"/>
      <c r="Z130"/>
    </row>
    <row r="131" spans="1:26" ht="16" customHeight="1" thickBot="1" x14ac:dyDescent="0.25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101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6">
        <v>5</v>
      </c>
      <c r="S131" s="57" t="s">
        <v>695</v>
      </c>
      <c r="T131" s="57" t="s">
        <v>696</v>
      </c>
      <c r="U131" s="76">
        <v>9.8800000000000008</v>
      </c>
      <c r="V131" s="141">
        <v>10.16</v>
      </c>
      <c r="W131"/>
      <c r="X131"/>
      <c r="Y131"/>
      <c r="Z131"/>
    </row>
    <row r="132" spans="1:26" ht="16" customHeight="1" thickBot="1" x14ac:dyDescent="0.25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6">
        <v>6</v>
      </c>
      <c r="S132" s="75" t="s">
        <v>346</v>
      </c>
      <c r="T132" s="75" t="s">
        <v>280</v>
      </c>
      <c r="U132" s="77">
        <v>9.3800000000000008</v>
      </c>
      <c r="V132" s="221">
        <v>9.4600000000000009</v>
      </c>
      <c r="W132"/>
      <c r="X132"/>
      <c r="Y132"/>
      <c r="Z132"/>
    </row>
    <row r="133" spans="1:26" ht="16" customHeight="1" thickBot="1" x14ac:dyDescent="0.25">
      <c r="A133" s="85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6">
        <v>7</v>
      </c>
      <c r="S133" s="57" t="s">
        <v>347</v>
      </c>
      <c r="T133" s="57" t="s">
        <v>1226</v>
      </c>
      <c r="U133" s="76">
        <v>9.4</v>
      </c>
      <c r="V133" s="222">
        <v>9.42</v>
      </c>
      <c r="W133"/>
      <c r="X133"/>
      <c r="Y133"/>
      <c r="Z133"/>
    </row>
    <row r="134" spans="1:26" ht="16" customHeight="1" thickBot="1" x14ac:dyDescent="0.25">
      <c r="A134" s="129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6">
        <v>8</v>
      </c>
      <c r="S134" s="75" t="s">
        <v>351</v>
      </c>
      <c r="T134" s="75" t="s">
        <v>56</v>
      </c>
      <c r="U134" s="77">
        <v>9.25</v>
      </c>
      <c r="V134" s="223">
        <v>9.31</v>
      </c>
      <c r="W134"/>
      <c r="X134"/>
      <c r="Y134"/>
      <c r="Z134"/>
    </row>
    <row r="135" spans="1:26" ht="16" customHeight="1" thickBot="1" x14ac:dyDescent="0.25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6">
        <v>9</v>
      </c>
      <c r="S135" s="57" t="s">
        <v>352</v>
      </c>
      <c r="T135" s="57" t="s">
        <v>190</v>
      </c>
      <c r="U135" s="76">
        <v>9.2100000000000009</v>
      </c>
      <c r="V135" s="224">
        <v>9.27</v>
      </c>
      <c r="W135"/>
      <c r="X135"/>
      <c r="Y135"/>
      <c r="Z135"/>
    </row>
    <row r="136" spans="1:26" ht="16" customHeight="1" thickBot="1" x14ac:dyDescent="0.25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90" t="s">
        <v>751</v>
      </c>
      <c r="K136" s="14">
        <f>ROUND(SUM(K137:K147)/COUNT(K137:K147), 2)</f>
        <v>8.77</v>
      </c>
      <c r="L136" s="4"/>
      <c r="M136" s="21"/>
      <c r="N136" s="21"/>
      <c r="O136" s="22"/>
      <c r="R136" s="66">
        <v>10</v>
      </c>
      <c r="S136" s="75" t="s">
        <v>350</v>
      </c>
      <c r="T136" s="75" t="s">
        <v>132</v>
      </c>
      <c r="U136" s="77">
        <v>9.2100000000000009</v>
      </c>
      <c r="V136" s="146">
        <v>9.23</v>
      </c>
      <c r="W136"/>
      <c r="X136"/>
      <c r="Y136"/>
      <c r="Z136"/>
    </row>
    <row r="137" spans="1:26" ht="16" customHeight="1" thickBot="1" x14ac:dyDescent="0.25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100" t="s">
        <v>892</v>
      </c>
      <c r="N137" s="14">
        <f>ROUND(SUM(N138:N142)/COUNT(N138:N142), 2)</f>
        <v>9.4</v>
      </c>
      <c r="O137" s="22"/>
      <c r="R137" s="66">
        <v>11</v>
      </c>
      <c r="S137" s="57" t="s">
        <v>499</v>
      </c>
      <c r="T137" s="57" t="s">
        <v>517</v>
      </c>
      <c r="U137" s="76">
        <v>9.17</v>
      </c>
      <c r="V137" s="166">
        <v>9.19</v>
      </c>
      <c r="W137"/>
      <c r="X137"/>
      <c r="Y137"/>
      <c r="Z137"/>
    </row>
    <row r="138" spans="1:26" ht="16" customHeight="1" x14ac:dyDescent="0.2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6">
        <v>12</v>
      </c>
      <c r="S138" s="75" t="s">
        <v>463</v>
      </c>
      <c r="T138" s="75" t="s">
        <v>36</v>
      </c>
      <c r="U138" s="77">
        <v>9.15</v>
      </c>
      <c r="V138" s="225">
        <v>9.18</v>
      </c>
      <c r="W138"/>
      <c r="X138"/>
      <c r="Y138"/>
      <c r="Z138"/>
    </row>
    <row r="139" spans="1:26" ht="16" customHeight="1" x14ac:dyDescent="0.2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6">
        <v>13</v>
      </c>
      <c r="S139" s="57" t="s">
        <v>353</v>
      </c>
      <c r="T139" s="57" t="s">
        <v>159</v>
      </c>
      <c r="U139" s="76">
        <v>9.08</v>
      </c>
      <c r="V139" s="167">
        <v>9.1</v>
      </c>
      <c r="W139"/>
      <c r="X139"/>
      <c r="Y139"/>
      <c r="Z139"/>
    </row>
    <row r="140" spans="1:26" ht="16" customHeight="1" x14ac:dyDescent="0.2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10</v>
      </c>
      <c r="L140" s="22"/>
      <c r="M140" s="6" t="s">
        <v>766</v>
      </c>
      <c r="N140" s="51">
        <v>10</v>
      </c>
      <c r="O140" s="22"/>
      <c r="R140" s="66">
        <v>14</v>
      </c>
      <c r="S140" s="75" t="s">
        <v>934</v>
      </c>
      <c r="T140" s="75" t="s">
        <v>925</v>
      </c>
      <c r="U140" s="77">
        <v>9.06</v>
      </c>
      <c r="V140" s="58">
        <v>9.0500000000000007</v>
      </c>
      <c r="W140"/>
      <c r="X140"/>
      <c r="Y140"/>
      <c r="Z140"/>
    </row>
    <row r="141" spans="1:26" ht="16" customHeight="1" x14ac:dyDescent="0.2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R141" s="66">
        <v>15</v>
      </c>
      <c r="S141" s="57" t="s">
        <v>354</v>
      </c>
      <c r="T141" s="57" t="s">
        <v>270</v>
      </c>
      <c r="U141" s="76">
        <v>9</v>
      </c>
      <c r="V141" s="228">
        <v>9.0299999999999994</v>
      </c>
      <c r="W141"/>
      <c r="X141"/>
      <c r="Y141"/>
      <c r="Z141"/>
    </row>
    <row r="142" spans="1:26" ht="16" customHeight="1" thickBot="1" x14ac:dyDescent="0.25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R142" s="66">
        <v>16</v>
      </c>
      <c r="S142" s="75" t="s">
        <v>1619</v>
      </c>
      <c r="T142" s="75" t="s">
        <v>1620</v>
      </c>
      <c r="U142" s="77">
        <v>8.67</v>
      </c>
      <c r="V142" s="87">
        <v>8.94</v>
      </c>
      <c r="W142"/>
      <c r="X142"/>
      <c r="Y142"/>
      <c r="Z142"/>
    </row>
    <row r="143" spans="1:26" ht="16" customHeight="1" thickBot="1" x14ac:dyDescent="0.25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R143" s="66">
        <v>17</v>
      </c>
      <c r="S143" s="57" t="s">
        <v>361</v>
      </c>
      <c r="T143" s="57" t="s">
        <v>1694</v>
      </c>
      <c r="U143" s="76">
        <v>8.94</v>
      </c>
      <c r="V143" s="274">
        <v>8.92</v>
      </c>
      <c r="W143"/>
      <c r="X143"/>
      <c r="Y143"/>
      <c r="Z143"/>
    </row>
    <row r="144" spans="1:26" ht="16" customHeight="1" thickBot="1" x14ac:dyDescent="0.25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3" t="s">
        <v>811</v>
      </c>
      <c r="N144" s="14">
        <f>ROUND(SUM(N145:N150)/COUNT(N145:N150), 2)</f>
        <v>8.67</v>
      </c>
      <c r="O144" s="22"/>
      <c r="R144" s="66">
        <v>18</v>
      </c>
      <c r="S144" s="75" t="s">
        <v>739</v>
      </c>
      <c r="T144" s="75" t="s">
        <v>1488</v>
      </c>
      <c r="U144" s="77">
        <v>8.8800000000000008</v>
      </c>
      <c r="V144" s="232">
        <v>8.86</v>
      </c>
      <c r="W144"/>
      <c r="X144"/>
      <c r="Y144"/>
      <c r="Z144"/>
    </row>
    <row r="145" spans="1:26" ht="16" customHeight="1" thickBot="1" x14ac:dyDescent="0.25">
      <c r="A145" s="99" t="s">
        <v>891</v>
      </c>
      <c r="B145" s="14">
        <f>ROUND(SUM(B146:B160)/COUNT(B146:B160), 2)</f>
        <v>8.33</v>
      </c>
      <c r="C145" s="22"/>
      <c r="D145" s="94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R145" s="66">
        <v>19</v>
      </c>
      <c r="S145" s="57" t="s">
        <v>1222</v>
      </c>
      <c r="T145" s="57" t="s">
        <v>1618</v>
      </c>
      <c r="U145" s="76">
        <v>8.7200000000000006</v>
      </c>
      <c r="V145" s="234">
        <v>8.82</v>
      </c>
      <c r="W145"/>
      <c r="X145"/>
      <c r="Y145"/>
      <c r="Z145"/>
    </row>
    <row r="146" spans="1:26" ht="16" customHeight="1" x14ac:dyDescent="0.2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91" t="s">
        <v>770</v>
      </c>
      <c r="N146" s="51">
        <v>8</v>
      </c>
      <c r="O146" s="22"/>
      <c r="R146" s="66">
        <v>20</v>
      </c>
      <c r="S146" s="75" t="s">
        <v>1556</v>
      </c>
      <c r="T146" s="75" t="s">
        <v>1557</v>
      </c>
      <c r="U146" s="77">
        <v>8.93</v>
      </c>
      <c r="V146" s="234">
        <v>8.82</v>
      </c>
      <c r="W146"/>
      <c r="X146"/>
      <c r="Y146"/>
      <c r="Z146"/>
    </row>
    <row r="147" spans="1:26" ht="16" customHeight="1" thickBot="1" x14ac:dyDescent="0.25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V147"/>
      <c r="W147"/>
      <c r="X147"/>
      <c r="Y147"/>
      <c r="Z147"/>
    </row>
    <row r="148" spans="1:26" ht="16" customHeight="1" thickBot="1" x14ac:dyDescent="0.25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91" t="s">
        <v>772</v>
      </c>
      <c r="N148" s="51">
        <v>8</v>
      </c>
      <c r="O148" s="22"/>
      <c r="V148"/>
      <c r="W148"/>
      <c r="X148"/>
      <c r="Y148"/>
      <c r="Z148"/>
    </row>
    <row r="149" spans="1:26" ht="16" customHeight="1" thickBot="1" x14ac:dyDescent="0.25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98" t="s">
        <v>890</v>
      </c>
      <c r="H149" s="14">
        <f>ROUND(SUM(H150:H163)/COUNT(H150:H163), 2)</f>
        <v>8.7100000000000009</v>
      </c>
      <c r="I149" s="22"/>
      <c r="J149" s="95" t="s">
        <v>866</v>
      </c>
      <c r="K149" s="14">
        <f>ROUND(SUM(K150:K163)/COUNT(K150:K163), 2)</f>
        <v>8.5</v>
      </c>
      <c r="L149" s="4"/>
      <c r="M149" s="91" t="s">
        <v>773</v>
      </c>
      <c r="N149" s="51">
        <v>8</v>
      </c>
      <c r="O149" s="22"/>
      <c r="V149"/>
      <c r="W149"/>
      <c r="X149"/>
      <c r="Y149"/>
      <c r="Z149"/>
    </row>
    <row r="150" spans="1:26" ht="16" customHeight="1" thickBot="1" x14ac:dyDescent="0.25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2" t="s">
        <v>774</v>
      </c>
      <c r="N150" s="52">
        <v>9</v>
      </c>
      <c r="O150" s="22"/>
      <c r="V150"/>
      <c r="W150"/>
      <c r="X150"/>
      <c r="Y150"/>
      <c r="Z150"/>
    </row>
    <row r="151" spans="1:26" ht="16" customHeight="1" thickBot="1" x14ac:dyDescent="0.25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V151"/>
      <c r="W151"/>
      <c r="X151"/>
      <c r="Y151"/>
      <c r="Z151"/>
    </row>
    <row r="152" spans="1:26" ht="16" customHeight="1" thickBot="1" x14ac:dyDescent="0.25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97" t="s">
        <v>883</v>
      </c>
      <c r="N152" s="14">
        <f>ROUND(SUM(N153:N159)/COUNT(N153:N159), 2)</f>
        <v>8.7100000000000009</v>
      </c>
      <c r="O152" s="22"/>
      <c r="V152"/>
      <c r="W152"/>
      <c r="X152"/>
      <c r="Y152"/>
      <c r="Z152"/>
    </row>
    <row r="153" spans="1:26" ht="16" customHeight="1" x14ac:dyDescent="0.2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96" t="s">
        <v>884</v>
      </c>
      <c r="N153" s="50">
        <v>9</v>
      </c>
      <c r="O153" s="22"/>
      <c r="V153"/>
      <c r="W153"/>
      <c r="X153"/>
      <c r="Y153"/>
      <c r="Z153"/>
    </row>
    <row r="154" spans="1:26" ht="16" customHeight="1" x14ac:dyDescent="0.2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91" t="s">
        <v>885</v>
      </c>
      <c r="N154" s="51">
        <v>8</v>
      </c>
      <c r="O154" s="22"/>
      <c r="V154"/>
      <c r="W154"/>
      <c r="X154"/>
      <c r="Y154"/>
      <c r="Z154"/>
    </row>
    <row r="155" spans="1:26" ht="16" customHeight="1" x14ac:dyDescent="0.2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91" t="s">
        <v>886</v>
      </c>
      <c r="N155" s="51">
        <v>9.5</v>
      </c>
      <c r="O155" s="22"/>
      <c r="V155"/>
      <c r="W155"/>
      <c r="X155"/>
      <c r="Y155"/>
      <c r="Z155"/>
    </row>
    <row r="156" spans="1:26" ht="16" customHeight="1" x14ac:dyDescent="0.2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91" t="s">
        <v>887</v>
      </c>
      <c r="N156" s="51">
        <v>8.5</v>
      </c>
      <c r="O156" s="22"/>
      <c r="V156"/>
      <c r="W156"/>
      <c r="X156"/>
      <c r="Y156"/>
      <c r="Z156"/>
    </row>
    <row r="157" spans="1:26" ht="16" customHeight="1" x14ac:dyDescent="0.2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91" t="s">
        <v>922</v>
      </c>
      <c r="N157" s="51">
        <v>10.5</v>
      </c>
      <c r="O157" s="22"/>
      <c r="V157"/>
      <c r="W157"/>
      <c r="X157"/>
      <c r="Y157"/>
      <c r="Z157"/>
    </row>
    <row r="158" spans="1:26" ht="16" customHeight="1" thickBot="1" x14ac:dyDescent="0.25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91" t="s">
        <v>888</v>
      </c>
      <c r="N158" s="51">
        <v>8</v>
      </c>
      <c r="O158" s="22"/>
      <c r="V158"/>
      <c r="W158"/>
      <c r="X158"/>
      <c r="Y158"/>
      <c r="Z158"/>
    </row>
    <row r="159" spans="1:26" ht="16" customHeight="1" thickBot="1" x14ac:dyDescent="0.25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2" t="s">
        <v>889</v>
      </c>
      <c r="N159" s="52">
        <v>7.5</v>
      </c>
      <c r="O159" s="22"/>
      <c r="V159"/>
      <c r="W159"/>
      <c r="X159"/>
      <c r="Y159"/>
      <c r="Z159"/>
    </row>
    <row r="160" spans="1:26" ht="16" customHeight="1" thickBot="1" x14ac:dyDescent="0.25">
      <c r="A160" s="9" t="s">
        <v>826</v>
      </c>
      <c r="B160" s="52">
        <v>8.5</v>
      </c>
      <c r="C160" s="22"/>
      <c r="D160" s="130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" customHeight="1" thickBot="1" x14ac:dyDescent="0.25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31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" customHeight="1" thickBot="1" x14ac:dyDescent="0.25">
      <c r="A162" s="132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96" t="s">
        <v>938</v>
      </c>
      <c r="N162" s="50">
        <v>10</v>
      </c>
      <c r="O162" s="22"/>
      <c r="V162"/>
      <c r="W162"/>
      <c r="X162"/>
      <c r="Y162"/>
      <c r="Z162"/>
    </row>
    <row r="163" spans="1:26" ht="16" customHeight="1" thickBot="1" x14ac:dyDescent="0.25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91" t="s">
        <v>939</v>
      </c>
      <c r="N163" s="51">
        <v>9</v>
      </c>
      <c r="O163" s="22"/>
      <c r="V163"/>
      <c r="W163"/>
      <c r="X163"/>
      <c r="Y163"/>
      <c r="Z163"/>
    </row>
    <row r="164" spans="1:26" ht="16" customHeight="1" thickBot="1" x14ac:dyDescent="0.25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91" t="s">
        <v>940</v>
      </c>
      <c r="N164" s="51">
        <v>9</v>
      </c>
      <c r="O164" s="22"/>
      <c r="V164"/>
      <c r="W164"/>
      <c r="X164"/>
      <c r="Y164"/>
      <c r="Z164"/>
    </row>
    <row r="165" spans="1:26" ht="16" customHeight="1" thickBot="1" x14ac:dyDescent="0.25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33" t="s">
        <v>971</v>
      </c>
      <c r="H165" s="14">
        <f>ROUND(SUM(H166:H175)/COUNT(H166:H175), 2)</f>
        <v>8.67</v>
      </c>
      <c r="I165" s="22"/>
      <c r="J165" s="134" t="s">
        <v>984</v>
      </c>
      <c r="K165" s="14">
        <f>ROUND(SUM(K166:K173)/COUNT(K166:K173), 2)</f>
        <v>8.8800000000000008</v>
      </c>
      <c r="L165" s="4"/>
      <c r="M165" s="91" t="s">
        <v>941</v>
      </c>
      <c r="N165" s="51">
        <v>10</v>
      </c>
      <c r="O165" s="22"/>
      <c r="V165"/>
      <c r="W165"/>
      <c r="X165"/>
      <c r="Y165"/>
      <c r="Z165"/>
    </row>
    <row r="166" spans="1:26" ht="16" customHeight="1" x14ac:dyDescent="0.2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91" t="s">
        <v>942</v>
      </c>
      <c r="N166" s="51">
        <v>8.5</v>
      </c>
      <c r="O166" s="22"/>
      <c r="V166"/>
      <c r="W166"/>
      <c r="X166"/>
      <c r="Y166"/>
      <c r="Z166"/>
    </row>
    <row r="167" spans="1:26" ht="16" customHeight="1" x14ac:dyDescent="0.2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91" t="s">
        <v>943</v>
      </c>
      <c r="N167" s="51">
        <v>9.5</v>
      </c>
      <c r="O167" s="22"/>
      <c r="V167"/>
      <c r="W167"/>
      <c r="X167"/>
      <c r="Y167"/>
      <c r="Z167"/>
    </row>
    <row r="168" spans="1:26" ht="16" customHeight="1" x14ac:dyDescent="0.2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91" t="s">
        <v>944</v>
      </c>
      <c r="N168" s="51">
        <v>8</v>
      </c>
      <c r="O168" s="22"/>
      <c r="V168"/>
      <c r="W168"/>
      <c r="X168"/>
      <c r="Y168"/>
      <c r="Z168"/>
    </row>
    <row r="169" spans="1:26" ht="16" customHeight="1" thickBot="1" x14ac:dyDescent="0.25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91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91" t="s">
        <v>945</v>
      </c>
      <c r="N169" s="51">
        <v>9</v>
      </c>
      <c r="O169" s="22"/>
      <c r="V169"/>
      <c r="W169"/>
      <c r="X169"/>
      <c r="Y169"/>
      <c r="Z169"/>
    </row>
    <row r="170" spans="1:26" ht="16" customHeight="1" thickBot="1" x14ac:dyDescent="0.25">
      <c r="A170" s="9" t="s">
        <v>967</v>
      </c>
      <c r="B170" s="52">
        <v>8</v>
      </c>
      <c r="C170" s="4"/>
      <c r="D170" s="21"/>
      <c r="E170" s="21"/>
      <c r="F170" s="4"/>
      <c r="G170" s="91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91" t="s">
        <v>946</v>
      </c>
      <c r="N170" s="51">
        <v>8</v>
      </c>
      <c r="O170" s="22"/>
      <c r="V170"/>
      <c r="W170"/>
      <c r="X170"/>
      <c r="Y170"/>
      <c r="Z170"/>
    </row>
    <row r="171" spans="1:26" ht="16" customHeight="1" thickBot="1" x14ac:dyDescent="0.25">
      <c r="A171" s="21"/>
      <c r="B171" s="21"/>
      <c r="C171" s="22"/>
      <c r="D171" s="135" t="s">
        <v>994</v>
      </c>
      <c r="E171" s="14">
        <f>ROUND(SUM(E172:E183)/COUNT(E172:E183), 2)</f>
        <v>7.5</v>
      </c>
      <c r="F171" s="4"/>
      <c r="G171" s="91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91" t="s">
        <v>947</v>
      </c>
      <c r="N171" s="51">
        <v>8</v>
      </c>
      <c r="O171" s="22"/>
      <c r="V171"/>
      <c r="W171"/>
      <c r="X171"/>
      <c r="Y171"/>
      <c r="Z171"/>
    </row>
    <row r="172" spans="1:26" ht="16" customHeight="1" thickBot="1" x14ac:dyDescent="0.25">
      <c r="A172" s="137" t="s">
        <v>1008</v>
      </c>
      <c r="B172" s="14">
        <f>ROUND(SUM(B173:B183)/COUNT(B173:B183), 2)</f>
        <v>8.73</v>
      </c>
      <c r="C172" s="22"/>
      <c r="D172" s="136" t="s">
        <v>995</v>
      </c>
      <c r="E172" s="50">
        <v>8</v>
      </c>
      <c r="F172" s="4"/>
      <c r="G172" s="91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91" t="s">
        <v>948</v>
      </c>
      <c r="N172" s="51">
        <v>7.5</v>
      </c>
      <c r="O172" s="22"/>
      <c r="V172"/>
      <c r="W172"/>
      <c r="X172"/>
      <c r="Y172"/>
      <c r="Z172"/>
    </row>
    <row r="173" spans="1:26" ht="16" customHeight="1" thickBot="1" x14ac:dyDescent="0.25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91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91" t="s">
        <v>949</v>
      </c>
      <c r="N173" s="51">
        <v>8.5</v>
      </c>
      <c r="O173" s="22"/>
      <c r="V173"/>
      <c r="W173"/>
      <c r="X173"/>
      <c r="Y173"/>
      <c r="Z173"/>
    </row>
    <row r="174" spans="1:26" ht="16" customHeight="1" thickBot="1" x14ac:dyDescent="0.25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91" t="s">
        <v>980</v>
      </c>
      <c r="H174" s="51">
        <v>8.5</v>
      </c>
      <c r="I174" s="4"/>
      <c r="J174" s="19"/>
      <c r="K174" s="19"/>
      <c r="L174" s="4"/>
      <c r="M174" s="91" t="s">
        <v>950</v>
      </c>
      <c r="N174" s="51">
        <v>8.5</v>
      </c>
      <c r="O174" s="22"/>
      <c r="V174"/>
      <c r="W174"/>
      <c r="X174"/>
      <c r="Y174"/>
      <c r="Z174"/>
    </row>
    <row r="175" spans="1:26" ht="16" customHeight="1" thickBot="1" x14ac:dyDescent="0.25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2" t="s">
        <v>981</v>
      </c>
      <c r="H175" s="52">
        <v>7.5</v>
      </c>
      <c r="I175" s="22"/>
      <c r="J175" s="159" t="s">
        <v>1030</v>
      </c>
      <c r="K175" s="14">
        <f>ROUND(SUM(K176:K180)/COUNT(K176:K180), 2)</f>
        <v>9.3000000000000007</v>
      </c>
      <c r="L175" s="4"/>
      <c r="M175" s="91" t="s">
        <v>951</v>
      </c>
      <c r="N175" s="51">
        <v>9</v>
      </c>
      <c r="O175" s="22"/>
      <c r="V175"/>
      <c r="W175"/>
      <c r="X175"/>
      <c r="Y175"/>
      <c r="Z175"/>
    </row>
    <row r="176" spans="1:26" ht="16" customHeight="1" thickBot="1" x14ac:dyDescent="0.25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1031</v>
      </c>
      <c r="K176" s="50">
        <v>9</v>
      </c>
      <c r="L176" s="4"/>
      <c r="M176" s="91" t="s">
        <v>952</v>
      </c>
      <c r="N176" s="51">
        <v>7.5</v>
      </c>
      <c r="O176" s="22"/>
      <c r="V176"/>
      <c r="W176"/>
      <c r="X176"/>
      <c r="Y176"/>
      <c r="Z176"/>
    </row>
    <row r="177" spans="1:26" ht="16" customHeight="1" thickBot="1" x14ac:dyDescent="0.25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183" t="s">
        <v>1302</v>
      </c>
      <c r="H177" s="14">
        <f>ROUND(SUM(H178:H189)/COUNT(H178:H189), 2)</f>
        <v>8.5500000000000007</v>
      </c>
      <c r="I177" s="4"/>
      <c r="J177" s="6" t="s">
        <v>1032</v>
      </c>
      <c r="K177" s="51">
        <v>10</v>
      </c>
      <c r="L177" s="4"/>
      <c r="M177" s="91" t="s">
        <v>953</v>
      </c>
      <c r="N177" s="51">
        <v>7</v>
      </c>
      <c r="O177" s="22"/>
      <c r="V177"/>
      <c r="W177"/>
      <c r="X177"/>
      <c r="Y177"/>
      <c r="Z177"/>
    </row>
    <row r="178" spans="1:26" ht="16" customHeight="1" x14ac:dyDescent="0.2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96" t="s">
        <v>1036</v>
      </c>
      <c r="H178" s="50"/>
      <c r="I178" s="4"/>
      <c r="J178" s="6" t="s">
        <v>1033</v>
      </c>
      <c r="K178" s="51">
        <v>9</v>
      </c>
      <c r="L178" s="4"/>
      <c r="M178" s="91" t="s">
        <v>954</v>
      </c>
      <c r="N178" s="51">
        <v>7.5</v>
      </c>
      <c r="O178" s="22"/>
      <c r="V178"/>
      <c r="W178"/>
      <c r="X178"/>
      <c r="Y178"/>
      <c r="Z178"/>
    </row>
    <row r="179" spans="1:26" ht="16" customHeight="1" x14ac:dyDescent="0.2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91" t="s">
        <v>1037</v>
      </c>
      <c r="H179" s="51">
        <v>8.5</v>
      </c>
      <c r="I179" s="4"/>
      <c r="J179" s="6" t="s">
        <v>1034</v>
      </c>
      <c r="K179" s="51">
        <v>8</v>
      </c>
      <c r="L179" s="4"/>
      <c r="M179" s="91" t="s">
        <v>955</v>
      </c>
      <c r="N179" s="51">
        <v>7.5</v>
      </c>
      <c r="O179" s="22"/>
      <c r="V179"/>
      <c r="W179"/>
      <c r="X179"/>
      <c r="Y179"/>
      <c r="Z179"/>
    </row>
    <row r="180" spans="1:26" ht="16" customHeight="1" thickBot="1" x14ac:dyDescent="0.25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91" t="s">
        <v>1038</v>
      </c>
      <c r="H180" s="51">
        <v>9</v>
      </c>
      <c r="I180" s="4"/>
      <c r="J180" s="9" t="s">
        <v>1035</v>
      </c>
      <c r="K180" s="52">
        <v>10.5</v>
      </c>
      <c r="L180" s="4"/>
      <c r="M180" s="92" t="s">
        <v>956</v>
      </c>
      <c r="N180" s="52">
        <v>10.5</v>
      </c>
      <c r="O180" s="22"/>
      <c r="V180"/>
      <c r="W180"/>
      <c r="X180"/>
      <c r="Y180"/>
      <c r="Z180"/>
    </row>
    <row r="181" spans="1:26" ht="16" customHeight="1" thickBot="1" x14ac:dyDescent="0.25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91" t="s">
        <v>1039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" customHeight="1" thickBot="1" x14ac:dyDescent="0.25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91" t="s">
        <v>1040</v>
      </c>
      <c r="H182" s="51">
        <v>8.5</v>
      </c>
      <c r="I182" s="22"/>
      <c r="J182" s="160" t="s">
        <v>1055</v>
      </c>
      <c r="K182" s="14">
        <f>ROUND(SUM(K183:K187)/COUNT(K183:K187), 2)</f>
        <v>10</v>
      </c>
      <c r="L182" s="4"/>
      <c r="M182" s="140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" customHeight="1" thickBot="1" x14ac:dyDescent="0.25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91" t="s">
        <v>1041</v>
      </c>
      <c r="H183" s="51">
        <v>8</v>
      </c>
      <c r="I183" s="22"/>
      <c r="J183" s="13" t="s">
        <v>1050</v>
      </c>
      <c r="K183" s="50">
        <v>10.5</v>
      </c>
      <c r="L183" s="4"/>
      <c r="M183" s="138" t="s">
        <v>1020</v>
      </c>
      <c r="N183" s="139">
        <v>10.5</v>
      </c>
      <c r="O183" s="22"/>
      <c r="V183"/>
      <c r="W183"/>
      <c r="X183"/>
      <c r="Y183"/>
      <c r="Z183"/>
    </row>
    <row r="184" spans="1:26" ht="16" customHeight="1" thickBot="1" x14ac:dyDescent="0.25">
      <c r="A184" s="21"/>
      <c r="B184" s="21"/>
      <c r="C184" s="4"/>
      <c r="D184" s="21"/>
      <c r="E184" s="21"/>
      <c r="F184" s="4"/>
      <c r="G184" s="91" t="s">
        <v>1042</v>
      </c>
      <c r="H184" s="51">
        <v>7.5</v>
      </c>
      <c r="I184" s="22"/>
      <c r="J184" s="6" t="s">
        <v>1051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" customHeight="1" thickBot="1" x14ac:dyDescent="0.25">
      <c r="A185" s="165" t="s">
        <v>1167</v>
      </c>
      <c r="B185" s="14">
        <f>ROUND(SUM(B186:B194)/COUNT(B186:B194), 2)</f>
        <v>9</v>
      </c>
      <c r="C185" s="22"/>
      <c r="D185" s="168" t="s">
        <v>1181</v>
      </c>
      <c r="E185" s="14">
        <f>ROUND(SUM(E186:E198)/COUNT(E186:E198), 2)</f>
        <v>8.4600000000000009</v>
      </c>
      <c r="F185" s="4"/>
      <c r="G185" s="91" t="s">
        <v>1043</v>
      </c>
      <c r="H185" s="51">
        <v>8</v>
      </c>
      <c r="I185" s="22"/>
      <c r="J185" s="6" t="s">
        <v>1052</v>
      </c>
      <c r="K185" s="51">
        <v>10</v>
      </c>
      <c r="L185" s="22"/>
      <c r="M185" s="209" t="s">
        <v>1591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" customHeight="1" x14ac:dyDescent="0.2">
      <c r="A186" s="13" t="s">
        <v>1168</v>
      </c>
      <c r="B186" s="50">
        <v>9.5</v>
      </c>
      <c r="C186" s="4"/>
      <c r="D186" s="13" t="s">
        <v>1182</v>
      </c>
      <c r="E186" s="50">
        <v>9</v>
      </c>
      <c r="F186" s="4"/>
      <c r="G186" s="91" t="s">
        <v>1044</v>
      </c>
      <c r="H186" s="51">
        <v>9.5</v>
      </c>
      <c r="I186" s="22"/>
      <c r="J186" s="6" t="s">
        <v>1053</v>
      </c>
      <c r="K186" s="51">
        <v>10.5</v>
      </c>
      <c r="L186" s="4"/>
      <c r="M186" s="96" t="s">
        <v>1198</v>
      </c>
      <c r="N186" s="50">
        <v>8</v>
      </c>
      <c r="O186" s="22"/>
      <c r="V186"/>
      <c r="W186"/>
      <c r="X186"/>
      <c r="Y186"/>
      <c r="Z186"/>
    </row>
    <row r="187" spans="1:26" ht="16" customHeight="1" thickBot="1" x14ac:dyDescent="0.25">
      <c r="A187" s="6" t="s">
        <v>1169</v>
      </c>
      <c r="B187" s="51">
        <v>9</v>
      </c>
      <c r="C187" s="4"/>
      <c r="D187" s="6" t="s">
        <v>1183</v>
      </c>
      <c r="E187" s="51">
        <v>8</v>
      </c>
      <c r="F187" s="4"/>
      <c r="G187" s="91" t="s">
        <v>1045</v>
      </c>
      <c r="H187" s="51">
        <v>10</v>
      </c>
      <c r="I187" s="22"/>
      <c r="J187" s="9" t="s">
        <v>1054</v>
      </c>
      <c r="K187" s="52">
        <v>10</v>
      </c>
      <c r="L187" s="4"/>
      <c r="M187" s="91" t="s">
        <v>1199</v>
      </c>
      <c r="N187" s="51">
        <v>8.5</v>
      </c>
      <c r="O187" s="22"/>
      <c r="V187"/>
      <c r="W187"/>
      <c r="X187"/>
      <c r="Y187"/>
      <c r="Z187"/>
    </row>
    <row r="188" spans="1:26" ht="16" customHeight="1" thickBot="1" x14ac:dyDescent="0.25">
      <c r="A188" s="6" t="s">
        <v>1170</v>
      </c>
      <c r="B188" s="51">
        <v>10</v>
      </c>
      <c r="C188" s="4"/>
      <c r="D188" s="6" t="s">
        <v>1184</v>
      </c>
      <c r="E188" s="51">
        <v>10</v>
      </c>
      <c r="F188" s="4"/>
      <c r="G188" s="91" t="s">
        <v>1046</v>
      </c>
      <c r="H188" s="51">
        <v>8.5</v>
      </c>
      <c r="I188" s="4"/>
      <c r="J188" s="21"/>
      <c r="K188" s="21"/>
      <c r="L188" s="4"/>
      <c r="M188" s="91" t="s">
        <v>1200</v>
      </c>
      <c r="N188" s="51">
        <v>10</v>
      </c>
      <c r="O188" s="22"/>
      <c r="V188"/>
      <c r="W188"/>
      <c r="X188"/>
      <c r="Y188"/>
      <c r="Z188"/>
    </row>
    <row r="189" spans="1:26" ht="16" customHeight="1" thickBot="1" x14ac:dyDescent="0.25">
      <c r="A189" s="6" t="s">
        <v>1171</v>
      </c>
      <c r="B189" s="51">
        <v>10.5</v>
      </c>
      <c r="C189" s="4"/>
      <c r="D189" s="6" t="s">
        <v>1185</v>
      </c>
      <c r="E189" s="51">
        <v>7.5</v>
      </c>
      <c r="F189" s="4"/>
      <c r="G189" s="92" t="s">
        <v>1047</v>
      </c>
      <c r="H189" s="52">
        <v>8.5</v>
      </c>
      <c r="I189" s="22"/>
      <c r="J189" s="173" t="s">
        <v>1230</v>
      </c>
      <c r="K189" s="14">
        <f>ROUND(SUM(K190:K197)/COUNT(K190:K197), 2)</f>
        <v>7.71</v>
      </c>
      <c r="L189" s="4"/>
      <c r="M189" s="91" t="s">
        <v>1201</v>
      </c>
      <c r="N189" s="51"/>
      <c r="O189" s="22"/>
      <c r="V189"/>
      <c r="W189"/>
      <c r="X189"/>
      <c r="Y189"/>
      <c r="Z189"/>
    </row>
    <row r="190" spans="1:26" ht="16" customHeight="1" thickBot="1" x14ac:dyDescent="0.25">
      <c r="A190" s="6" t="s">
        <v>1172</v>
      </c>
      <c r="B190" s="51">
        <v>8</v>
      </c>
      <c r="C190" s="4"/>
      <c r="D190" s="6" t="s">
        <v>1186</v>
      </c>
      <c r="E190" s="51">
        <v>7</v>
      </c>
      <c r="F190" s="4"/>
      <c r="G190" s="21"/>
      <c r="H190" s="21"/>
      <c r="I190" s="4"/>
      <c r="J190" s="13" t="s">
        <v>1231</v>
      </c>
      <c r="K190" s="50"/>
      <c r="L190" s="4"/>
      <c r="M190" s="91" t="s">
        <v>1202</v>
      </c>
      <c r="N190" s="51">
        <v>10.5</v>
      </c>
      <c r="O190" s="22"/>
      <c r="V190"/>
      <c r="W190"/>
      <c r="X190"/>
      <c r="Y190"/>
      <c r="Z190"/>
    </row>
    <row r="191" spans="1:26" ht="16" customHeight="1" thickBot="1" x14ac:dyDescent="0.25">
      <c r="A191" s="6" t="s">
        <v>1173</v>
      </c>
      <c r="B191" s="51">
        <v>8.5</v>
      </c>
      <c r="C191" s="4"/>
      <c r="D191" s="6" t="s">
        <v>1187</v>
      </c>
      <c r="E191" s="51">
        <v>9.5</v>
      </c>
      <c r="F191" s="22"/>
      <c r="G191" s="178" t="s">
        <v>1243</v>
      </c>
      <c r="H191" s="14">
        <f>ROUND(SUM(H192:H200)/COUNT(H192:H200), 2)</f>
        <v>8.83</v>
      </c>
      <c r="I191" s="4"/>
      <c r="J191" s="6" t="s">
        <v>1232</v>
      </c>
      <c r="K191" s="51">
        <v>7</v>
      </c>
      <c r="L191" s="4"/>
      <c r="M191" s="91" t="s">
        <v>1203</v>
      </c>
      <c r="N191" s="51">
        <v>10</v>
      </c>
      <c r="O191" s="22"/>
      <c r="V191"/>
      <c r="W191"/>
      <c r="X191"/>
      <c r="Y191"/>
      <c r="Z191"/>
    </row>
    <row r="192" spans="1:26" ht="16" customHeight="1" x14ac:dyDescent="0.2">
      <c r="A192" s="6" t="s">
        <v>1174</v>
      </c>
      <c r="B192" s="51">
        <v>8</v>
      </c>
      <c r="C192" s="4"/>
      <c r="D192" s="6" t="s">
        <v>1188</v>
      </c>
      <c r="E192" s="51">
        <v>8</v>
      </c>
      <c r="F192" s="4"/>
      <c r="G192" s="96" t="s">
        <v>1244</v>
      </c>
      <c r="H192" s="50">
        <v>9</v>
      </c>
      <c r="I192" s="4"/>
      <c r="J192" s="6" t="s">
        <v>1233</v>
      </c>
      <c r="K192" s="51">
        <v>7.5</v>
      </c>
      <c r="L192" s="4"/>
      <c r="M192" s="91" t="s">
        <v>1204</v>
      </c>
      <c r="N192" s="51">
        <v>9</v>
      </c>
      <c r="O192" s="22"/>
      <c r="V192"/>
      <c r="W192"/>
      <c r="X192"/>
      <c r="Y192"/>
      <c r="Z192"/>
    </row>
    <row r="193" spans="1:26" ht="16" customHeight="1" x14ac:dyDescent="0.2">
      <c r="A193" s="6" t="s">
        <v>1175</v>
      </c>
      <c r="B193" s="51">
        <v>9.5</v>
      </c>
      <c r="C193" s="4"/>
      <c r="D193" s="6" t="s">
        <v>1189</v>
      </c>
      <c r="E193" s="51">
        <v>7.5</v>
      </c>
      <c r="F193" s="4"/>
      <c r="G193" s="91" t="s">
        <v>1245</v>
      </c>
      <c r="H193" s="51">
        <v>8.5</v>
      </c>
      <c r="I193" s="4"/>
      <c r="J193" s="6" t="s">
        <v>1234</v>
      </c>
      <c r="K193" s="51">
        <v>8</v>
      </c>
      <c r="L193" s="4"/>
      <c r="M193" s="91" t="s">
        <v>1205</v>
      </c>
      <c r="N193" s="51">
        <v>9</v>
      </c>
      <c r="O193" s="22"/>
      <c r="V193"/>
      <c r="W193"/>
      <c r="X193"/>
      <c r="Y193"/>
      <c r="Z193"/>
    </row>
    <row r="194" spans="1:26" ht="16" customHeight="1" thickBot="1" x14ac:dyDescent="0.25">
      <c r="A194" s="9" t="s">
        <v>1176</v>
      </c>
      <c r="B194" s="52">
        <v>8</v>
      </c>
      <c r="C194" s="4"/>
      <c r="D194" s="6" t="s">
        <v>1190</v>
      </c>
      <c r="E194" s="51">
        <v>10</v>
      </c>
      <c r="F194" s="4"/>
      <c r="G194" s="91" t="s">
        <v>1246</v>
      </c>
      <c r="H194" s="51">
        <v>8.5</v>
      </c>
      <c r="I194" s="4"/>
      <c r="J194" s="6" t="s">
        <v>1235</v>
      </c>
      <c r="K194" s="51">
        <v>7.5</v>
      </c>
      <c r="L194" s="4"/>
      <c r="M194" s="91" t="s">
        <v>1206</v>
      </c>
      <c r="N194" s="51">
        <v>8.5</v>
      </c>
      <c r="O194" s="22"/>
      <c r="V194"/>
      <c r="W194"/>
      <c r="X194"/>
      <c r="Y194"/>
      <c r="Z194"/>
    </row>
    <row r="195" spans="1:26" ht="16" customHeight="1" thickBot="1" x14ac:dyDescent="0.25">
      <c r="A195" s="21"/>
      <c r="B195" s="21"/>
      <c r="C195" s="4"/>
      <c r="D195" s="6" t="s">
        <v>1191</v>
      </c>
      <c r="E195" s="51">
        <v>8</v>
      </c>
      <c r="F195" s="4"/>
      <c r="G195" s="91" t="s">
        <v>1247</v>
      </c>
      <c r="H195" s="51">
        <v>10</v>
      </c>
      <c r="I195" s="4"/>
      <c r="J195" s="6" t="s">
        <v>1236</v>
      </c>
      <c r="K195" s="51">
        <v>8.5</v>
      </c>
      <c r="L195" s="4"/>
      <c r="M195" s="91" t="s">
        <v>1207</v>
      </c>
      <c r="N195" s="51">
        <v>8</v>
      </c>
      <c r="O195" s="22"/>
      <c r="V195"/>
      <c r="W195"/>
      <c r="X195"/>
      <c r="Y195"/>
      <c r="Z195"/>
    </row>
    <row r="196" spans="1:26" ht="16" customHeight="1" thickBot="1" x14ac:dyDescent="0.25">
      <c r="A196" s="184" t="s">
        <v>1268</v>
      </c>
      <c r="B196" s="14">
        <f>ROUND(SUM(B197:B211)/COUNT(B197:B211), 2)</f>
        <v>8.57</v>
      </c>
      <c r="C196" s="4"/>
      <c r="D196" s="6" t="s">
        <v>1192</v>
      </c>
      <c r="E196" s="51">
        <v>7</v>
      </c>
      <c r="F196" s="4"/>
      <c r="G196" s="91" t="s">
        <v>1248</v>
      </c>
      <c r="H196" s="51">
        <v>8</v>
      </c>
      <c r="I196" s="4"/>
      <c r="J196" s="6" t="s">
        <v>1237</v>
      </c>
      <c r="K196" s="51">
        <v>8</v>
      </c>
      <c r="L196" s="4"/>
      <c r="M196" s="91" t="s">
        <v>1208</v>
      </c>
      <c r="N196" s="51">
        <v>10.5</v>
      </c>
      <c r="O196" s="22"/>
      <c r="V196"/>
      <c r="W196"/>
      <c r="X196"/>
      <c r="Y196"/>
      <c r="Z196"/>
    </row>
    <row r="197" spans="1:26" ht="16" customHeight="1" thickBot="1" x14ac:dyDescent="0.25">
      <c r="A197" s="176">
        <v>360</v>
      </c>
      <c r="B197" s="50">
        <v>10</v>
      </c>
      <c r="C197" s="4"/>
      <c r="D197" s="6" t="s">
        <v>1193</v>
      </c>
      <c r="E197" s="51"/>
      <c r="F197" s="4"/>
      <c r="G197" s="91" t="s">
        <v>1249</v>
      </c>
      <c r="H197" s="51">
        <v>10.5</v>
      </c>
      <c r="I197" s="4"/>
      <c r="J197" s="9" t="s">
        <v>1238</v>
      </c>
      <c r="K197" s="52">
        <v>7.5</v>
      </c>
      <c r="L197" s="4"/>
      <c r="M197" s="91" t="s">
        <v>1209</v>
      </c>
      <c r="N197" s="51">
        <v>8.5</v>
      </c>
      <c r="O197" s="22"/>
      <c r="V197"/>
      <c r="W197"/>
      <c r="X197"/>
      <c r="Y197"/>
      <c r="Z197"/>
    </row>
    <row r="198" spans="1:26" ht="16" customHeight="1" thickBot="1" x14ac:dyDescent="0.25">
      <c r="A198" s="91" t="s">
        <v>1255</v>
      </c>
      <c r="B198" s="51">
        <v>8.5</v>
      </c>
      <c r="C198" s="4"/>
      <c r="D198" s="9" t="s">
        <v>1194</v>
      </c>
      <c r="E198" s="52">
        <v>10</v>
      </c>
      <c r="F198" s="4"/>
      <c r="G198" s="91" t="s">
        <v>1250</v>
      </c>
      <c r="H198" s="51">
        <v>8</v>
      </c>
      <c r="I198" s="4"/>
      <c r="J198" s="21"/>
      <c r="K198" s="21"/>
      <c r="L198" s="4"/>
      <c r="M198" s="91" t="s">
        <v>1210</v>
      </c>
      <c r="N198" s="51">
        <v>9</v>
      </c>
      <c r="O198" s="22"/>
      <c r="V198"/>
      <c r="W198"/>
      <c r="X198"/>
      <c r="Y198"/>
      <c r="Z198"/>
    </row>
    <row r="199" spans="1:26" ht="16" customHeight="1" thickBot="1" x14ac:dyDescent="0.25">
      <c r="A199" s="91" t="s">
        <v>1256</v>
      </c>
      <c r="B199" s="51">
        <v>8.5</v>
      </c>
      <c r="C199" s="4"/>
      <c r="D199" s="21"/>
      <c r="E199" s="21"/>
      <c r="F199" s="4"/>
      <c r="G199" s="91" t="s">
        <v>1251</v>
      </c>
      <c r="H199" s="51">
        <v>8.5</v>
      </c>
      <c r="I199" s="22"/>
      <c r="J199" s="179" t="s">
        <v>1275</v>
      </c>
      <c r="K199" s="14">
        <f>ROUND(SUM(K200:K206)/COUNT(K200:K206), 2)</f>
        <v>8.75</v>
      </c>
      <c r="L199" s="4"/>
      <c r="M199" s="91" t="s">
        <v>1211</v>
      </c>
      <c r="N199" s="51">
        <v>8</v>
      </c>
      <c r="O199" s="22"/>
      <c r="V199"/>
      <c r="W199"/>
      <c r="X199"/>
      <c r="Y199"/>
      <c r="Z199"/>
    </row>
    <row r="200" spans="1:26" ht="16" customHeight="1" thickBot="1" x14ac:dyDescent="0.25">
      <c r="A200" s="91" t="s">
        <v>1257</v>
      </c>
      <c r="B200" s="51">
        <v>7.5</v>
      </c>
      <c r="C200" s="22"/>
      <c r="D200" s="182" t="s">
        <v>1301</v>
      </c>
      <c r="E200" s="14">
        <f>ROUND(SUM(E201:E210)/COUNT(E201:E210), 2)</f>
        <v>9.36</v>
      </c>
      <c r="F200" s="4"/>
      <c r="G200" s="92" t="s">
        <v>1252</v>
      </c>
      <c r="H200" s="52">
        <v>8.5</v>
      </c>
      <c r="I200" s="4"/>
      <c r="J200" s="13" t="s">
        <v>1276</v>
      </c>
      <c r="K200" s="50">
        <v>10</v>
      </c>
      <c r="L200" s="4"/>
      <c r="M200" s="91" t="s">
        <v>1212</v>
      </c>
      <c r="N200" s="51">
        <v>9</v>
      </c>
      <c r="O200" s="22"/>
      <c r="V200"/>
      <c r="W200"/>
      <c r="X200"/>
      <c r="Y200"/>
      <c r="Z200"/>
    </row>
    <row r="201" spans="1:26" ht="16" customHeight="1" thickBot="1" x14ac:dyDescent="0.25">
      <c r="A201" s="91" t="s">
        <v>1258</v>
      </c>
      <c r="B201" s="51">
        <v>8</v>
      </c>
      <c r="C201" s="22"/>
      <c r="D201" s="13" t="s">
        <v>1291</v>
      </c>
      <c r="E201" s="50">
        <v>9</v>
      </c>
      <c r="F201" s="4"/>
      <c r="G201" s="21"/>
      <c r="H201" s="21"/>
      <c r="I201" s="4"/>
      <c r="J201" s="6" t="s">
        <v>1277</v>
      </c>
      <c r="K201" s="51">
        <v>8</v>
      </c>
      <c r="L201" s="4"/>
      <c r="M201" s="91" t="s">
        <v>1213</v>
      </c>
      <c r="N201" s="51">
        <v>6</v>
      </c>
      <c r="O201" s="22"/>
      <c r="V201"/>
      <c r="W201"/>
      <c r="X201"/>
      <c r="Y201"/>
      <c r="Z201"/>
    </row>
    <row r="202" spans="1:26" ht="16" customHeight="1" thickBot="1" x14ac:dyDescent="0.25">
      <c r="A202" s="91" t="s">
        <v>1259</v>
      </c>
      <c r="B202" s="51">
        <v>10</v>
      </c>
      <c r="C202" s="22"/>
      <c r="D202" s="6" t="s">
        <v>1292</v>
      </c>
      <c r="E202" s="51">
        <v>10.5</v>
      </c>
      <c r="F202" s="22"/>
      <c r="G202" s="185" t="s">
        <v>1306</v>
      </c>
      <c r="H202" s="14">
        <f>ROUND(SUM(H203:H213)/COUNT(H203:H213), 2)</f>
        <v>8.4499999999999993</v>
      </c>
      <c r="I202" s="4"/>
      <c r="J202" s="6" t="s">
        <v>1278</v>
      </c>
      <c r="K202" s="51">
        <v>9.5</v>
      </c>
      <c r="L202" s="4"/>
      <c r="M202" s="91" t="s">
        <v>1214</v>
      </c>
      <c r="N202" s="51">
        <v>7</v>
      </c>
      <c r="O202" s="22"/>
      <c r="V202"/>
      <c r="W202"/>
      <c r="X202"/>
      <c r="Y202"/>
      <c r="Z202"/>
    </row>
    <row r="203" spans="1:26" ht="16" customHeight="1" x14ac:dyDescent="0.2">
      <c r="A203" s="91" t="s">
        <v>1260</v>
      </c>
      <c r="B203" s="51">
        <v>8</v>
      </c>
      <c r="C203" s="22"/>
      <c r="D203" s="6" t="s">
        <v>1293</v>
      </c>
      <c r="E203" s="51"/>
      <c r="F203" s="4"/>
      <c r="G203" s="96" t="s">
        <v>1307</v>
      </c>
      <c r="H203" s="50">
        <v>8.5</v>
      </c>
      <c r="I203" s="4"/>
      <c r="J203" s="6" t="s">
        <v>1279</v>
      </c>
      <c r="K203" s="51">
        <v>8</v>
      </c>
      <c r="L203" s="4"/>
      <c r="M203" s="91" t="s">
        <v>1215</v>
      </c>
      <c r="N203" s="51">
        <v>10</v>
      </c>
      <c r="O203" s="22"/>
      <c r="V203"/>
      <c r="W203"/>
      <c r="X203"/>
      <c r="Y203"/>
      <c r="Z203"/>
    </row>
    <row r="204" spans="1:26" ht="16" customHeight="1" x14ac:dyDescent="0.2">
      <c r="A204" s="91" t="s">
        <v>1261</v>
      </c>
      <c r="B204" s="51">
        <v>8.5</v>
      </c>
      <c r="C204" s="22"/>
      <c r="D204" s="6" t="s">
        <v>1294</v>
      </c>
      <c r="E204" s="51">
        <v>10</v>
      </c>
      <c r="F204" s="4"/>
      <c r="G204" s="91" t="s">
        <v>1308</v>
      </c>
      <c r="H204" s="51">
        <v>8.5</v>
      </c>
      <c r="I204" s="4"/>
      <c r="J204" s="6" t="s">
        <v>1280</v>
      </c>
      <c r="K204" s="51">
        <v>9</v>
      </c>
      <c r="L204" s="4"/>
      <c r="M204" s="91" t="s">
        <v>1216</v>
      </c>
      <c r="N204" s="51">
        <v>9</v>
      </c>
      <c r="O204" s="22"/>
      <c r="V204"/>
      <c r="W204"/>
      <c r="X204"/>
      <c r="Y204"/>
      <c r="Z204"/>
    </row>
    <row r="205" spans="1:26" ht="16" customHeight="1" x14ac:dyDescent="0.2">
      <c r="A205" s="91" t="s">
        <v>1262</v>
      </c>
      <c r="B205" s="51">
        <v>7.5</v>
      </c>
      <c r="C205" s="22"/>
      <c r="D205" s="6" t="s">
        <v>1295</v>
      </c>
      <c r="E205" s="51"/>
      <c r="F205" s="4"/>
      <c r="G205" s="91" t="s">
        <v>1309</v>
      </c>
      <c r="H205" s="51">
        <v>9</v>
      </c>
      <c r="I205" s="4"/>
      <c r="J205" s="6" t="s">
        <v>1281</v>
      </c>
      <c r="K205" s="51"/>
      <c r="L205" s="4"/>
      <c r="M205" s="91" t="s">
        <v>1217</v>
      </c>
      <c r="N205" s="51">
        <v>8.5</v>
      </c>
      <c r="O205" s="22"/>
      <c r="V205"/>
      <c r="W205"/>
      <c r="X205"/>
      <c r="Y205"/>
      <c r="Z205"/>
    </row>
    <row r="206" spans="1:26" ht="16" customHeight="1" thickBot="1" x14ac:dyDescent="0.25">
      <c r="A206" s="91" t="s">
        <v>1263</v>
      </c>
      <c r="B206" s="51">
        <v>8.5</v>
      </c>
      <c r="C206" s="22"/>
      <c r="D206" s="6" t="s">
        <v>1296</v>
      </c>
      <c r="E206" s="51">
        <v>10</v>
      </c>
      <c r="F206" s="4"/>
      <c r="G206" s="91" t="s">
        <v>1310</v>
      </c>
      <c r="H206" s="51">
        <v>10</v>
      </c>
      <c r="I206" s="4"/>
      <c r="J206" s="9" t="s">
        <v>1282</v>
      </c>
      <c r="K206" s="52">
        <v>8</v>
      </c>
      <c r="L206" s="4"/>
      <c r="M206" s="91" t="s">
        <v>1218</v>
      </c>
      <c r="N206" s="51">
        <v>8.5</v>
      </c>
      <c r="O206" s="22"/>
      <c r="V206"/>
      <c r="W206"/>
      <c r="X206"/>
      <c r="Y206"/>
      <c r="Z206"/>
    </row>
    <row r="207" spans="1:26" ht="16" customHeight="1" thickBot="1" x14ac:dyDescent="0.25">
      <c r="A207" s="91" t="s">
        <v>1264</v>
      </c>
      <c r="B207" s="51">
        <v>10.5</v>
      </c>
      <c r="C207" s="22"/>
      <c r="D207" s="6" t="s">
        <v>1297</v>
      </c>
      <c r="E207" s="51">
        <v>7.5</v>
      </c>
      <c r="F207" s="4"/>
      <c r="G207" s="91" t="s">
        <v>1311</v>
      </c>
      <c r="H207" s="51">
        <v>9</v>
      </c>
      <c r="I207" s="4"/>
      <c r="J207" s="21"/>
      <c r="K207" s="21"/>
      <c r="L207" s="4"/>
      <c r="M207" s="91" t="s">
        <v>1219</v>
      </c>
      <c r="N207" s="51">
        <v>8.5</v>
      </c>
      <c r="O207" s="22"/>
      <c r="V207"/>
      <c r="W207"/>
      <c r="X207"/>
      <c r="Y207"/>
      <c r="Z207"/>
    </row>
    <row r="208" spans="1:26" ht="16" customHeight="1" thickBot="1" x14ac:dyDescent="0.25">
      <c r="A208" s="91" t="s">
        <v>1265</v>
      </c>
      <c r="B208" s="51">
        <v>9</v>
      </c>
      <c r="C208" s="22"/>
      <c r="D208" s="6" t="s">
        <v>1298</v>
      </c>
      <c r="E208" s="51">
        <v>8</v>
      </c>
      <c r="F208" s="4"/>
      <c r="G208" s="91" t="s">
        <v>1312</v>
      </c>
      <c r="H208" s="51">
        <v>8.5</v>
      </c>
      <c r="I208" s="22"/>
      <c r="J208" s="193" t="s">
        <v>1396</v>
      </c>
      <c r="K208" s="14">
        <f>ROUND(SUM(K209:K217)/COUNT(K209:K217), 2)</f>
        <v>8.67</v>
      </c>
      <c r="L208" s="4"/>
      <c r="M208" s="91" t="s">
        <v>1220</v>
      </c>
      <c r="N208" s="51">
        <v>8</v>
      </c>
      <c r="O208" s="22"/>
      <c r="V208"/>
      <c r="W208"/>
      <c r="X208"/>
      <c r="Y208"/>
      <c r="Z208"/>
    </row>
    <row r="209" spans="1:26" ht="16" customHeight="1" thickBot="1" x14ac:dyDescent="0.25">
      <c r="A209" s="91" t="s">
        <v>1266</v>
      </c>
      <c r="B209" s="51">
        <v>8.5</v>
      </c>
      <c r="C209" s="22"/>
      <c r="D209" s="6" t="s">
        <v>1299</v>
      </c>
      <c r="E209" s="51">
        <v>10.5</v>
      </c>
      <c r="F209" s="4"/>
      <c r="G209" s="91" t="s">
        <v>1313</v>
      </c>
      <c r="H209" s="51">
        <v>9</v>
      </c>
      <c r="I209" s="4"/>
      <c r="J209" s="13" t="s">
        <v>1320</v>
      </c>
      <c r="K209" s="50">
        <v>9</v>
      </c>
      <c r="L209" s="4"/>
      <c r="M209" s="92" t="s">
        <v>1221</v>
      </c>
      <c r="N209" s="52">
        <v>8.5</v>
      </c>
      <c r="O209" s="22"/>
      <c r="V209"/>
      <c r="W209"/>
      <c r="X209"/>
      <c r="Y209"/>
      <c r="Z209"/>
    </row>
    <row r="210" spans="1:26" ht="16" customHeight="1" thickBot="1" x14ac:dyDescent="0.25">
      <c r="A210" s="91" t="s">
        <v>1267</v>
      </c>
      <c r="B210" s="51">
        <v>6.5</v>
      </c>
      <c r="C210" s="22"/>
      <c r="D210" s="9" t="s">
        <v>1300</v>
      </c>
      <c r="E210" s="52"/>
      <c r="F210" s="4"/>
      <c r="G210" s="91" t="s">
        <v>1314</v>
      </c>
      <c r="H210" s="51">
        <v>8</v>
      </c>
      <c r="I210" s="4"/>
      <c r="J210" s="6" t="s">
        <v>1321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" customHeight="1" thickBot="1" x14ac:dyDescent="0.25">
      <c r="A211" s="177">
        <v>365</v>
      </c>
      <c r="B211" s="52">
        <v>9</v>
      </c>
      <c r="C211" s="4"/>
      <c r="D211" s="21"/>
      <c r="E211" s="21"/>
      <c r="F211" s="4"/>
      <c r="G211" s="91" t="s">
        <v>1315</v>
      </c>
      <c r="H211" s="51">
        <v>7.5</v>
      </c>
      <c r="I211" s="4"/>
      <c r="J211" s="6" t="s">
        <v>1322</v>
      </c>
      <c r="K211" s="51">
        <v>10.5</v>
      </c>
      <c r="L211" s="22"/>
      <c r="M211" s="188" t="s">
        <v>1354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" customHeight="1" thickBot="1" x14ac:dyDescent="0.25">
      <c r="A212" s="21"/>
      <c r="B212" s="21"/>
      <c r="C212" s="4"/>
      <c r="D212" s="190" t="s">
        <v>1358</v>
      </c>
      <c r="E212" s="14">
        <f>ROUND(SUM(E213:E226)/COUNT(E213:E226), 2)</f>
        <v>8.77</v>
      </c>
      <c r="F212" s="4"/>
      <c r="G212" s="91" t="s">
        <v>1316</v>
      </c>
      <c r="H212" s="51">
        <v>8</v>
      </c>
      <c r="I212" s="4"/>
      <c r="J212" s="6" t="s">
        <v>1323</v>
      </c>
      <c r="K212" s="51">
        <v>7.5</v>
      </c>
      <c r="L212" s="4"/>
      <c r="M212" s="96" t="s">
        <v>1339</v>
      </c>
      <c r="N212" s="50">
        <v>8</v>
      </c>
      <c r="O212" s="22"/>
      <c r="V212"/>
      <c r="W212"/>
      <c r="X212"/>
      <c r="Y212"/>
      <c r="Z212"/>
    </row>
    <row r="213" spans="1:26" ht="16" customHeight="1" thickBot="1" x14ac:dyDescent="0.25">
      <c r="A213" s="191" t="s">
        <v>1373</v>
      </c>
      <c r="B213" s="14">
        <f>ROUND(SUM(B214:B224)/COUNT(B214:B224), 2)</f>
        <v>8.86</v>
      </c>
      <c r="C213" s="4"/>
      <c r="D213" s="13" t="s">
        <v>1359</v>
      </c>
      <c r="E213" s="50">
        <v>9</v>
      </c>
      <c r="F213" s="4"/>
      <c r="G213" s="92" t="s">
        <v>1317</v>
      </c>
      <c r="H213" s="52">
        <v>7</v>
      </c>
      <c r="I213" s="4"/>
      <c r="J213" s="6" t="s">
        <v>1324</v>
      </c>
      <c r="K213" s="51">
        <v>9</v>
      </c>
      <c r="L213" s="4"/>
      <c r="M213" s="91" t="s">
        <v>1340</v>
      </c>
      <c r="N213" s="51">
        <v>7.5</v>
      </c>
      <c r="O213" s="22"/>
      <c r="V213"/>
      <c r="W213"/>
      <c r="X213"/>
      <c r="Y213"/>
      <c r="Z213"/>
    </row>
    <row r="214" spans="1:26" ht="16" customHeight="1" thickBot="1" x14ac:dyDescent="0.25">
      <c r="A214" s="96" t="s">
        <v>1374</v>
      </c>
      <c r="B214" s="50">
        <v>8.5</v>
      </c>
      <c r="C214" s="4"/>
      <c r="D214" s="6" t="s">
        <v>1360</v>
      </c>
      <c r="E214" s="51">
        <v>10</v>
      </c>
      <c r="F214" s="4"/>
      <c r="G214" s="21"/>
      <c r="H214" s="21"/>
      <c r="I214" s="4"/>
      <c r="J214" s="6" t="s">
        <v>1325</v>
      </c>
      <c r="K214" s="51">
        <v>7</v>
      </c>
      <c r="L214" s="4"/>
      <c r="M214" s="91" t="s">
        <v>1341</v>
      </c>
      <c r="N214" s="51">
        <v>9</v>
      </c>
      <c r="O214" s="22"/>
      <c r="V214"/>
      <c r="W214"/>
      <c r="X214"/>
      <c r="Y214"/>
      <c r="Z214"/>
    </row>
    <row r="215" spans="1:26" ht="16" customHeight="1" thickBot="1" x14ac:dyDescent="0.25">
      <c r="A215" s="91" t="s">
        <v>1375</v>
      </c>
      <c r="B215" s="51">
        <v>10</v>
      </c>
      <c r="C215" s="4"/>
      <c r="D215" s="6" t="s">
        <v>1361</v>
      </c>
      <c r="E215" s="51">
        <v>9.5</v>
      </c>
      <c r="F215" s="22"/>
      <c r="G215" s="200" t="s">
        <v>1397</v>
      </c>
      <c r="H215" s="14">
        <f>ROUND(SUM(H216:H227)/COUNT(H216:H227), 2)</f>
        <v>8.4600000000000009</v>
      </c>
      <c r="I215" s="4"/>
      <c r="J215" s="6" t="s">
        <v>1326</v>
      </c>
      <c r="K215" s="51">
        <v>8</v>
      </c>
      <c r="L215" s="4"/>
      <c r="M215" s="91" t="s">
        <v>1342</v>
      </c>
      <c r="N215" s="51"/>
      <c r="O215" s="22"/>
      <c r="V215"/>
      <c r="W215"/>
      <c r="X215"/>
      <c r="Y215"/>
      <c r="Z215"/>
    </row>
    <row r="216" spans="1:26" ht="16" customHeight="1" x14ac:dyDescent="0.2">
      <c r="A216" s="91" t="s">
        <v>1376</v>
      </c>
      <c r="B216" s="51">
        <v>9.5</v>
      </c>
      <c r="C216" s="4"/>
      <c r="D216" s="6" t="s">
        <v>1362</v>
      </c>
      <c r="E216" s="51">
        <v>10</v>
      </c>
      <c r="F216" s="4"/>
      <c r="G216" s="96" t="s">
        <v>1398</v>
      </c>
      <c r="H216" s="50">
        <v>10</v>
      </c>
      <c r="I216" s="4"/>
      <c r="J216" s="6" t="s">
        <v>1327</v>
      </c>
      <c r="K216" s="51">
        <v>9</v>
      </c>
      <c r="L216" s="4"/>
      <c r="M216" s="91" t="s">
        <v>1343</v>
      </c>
      <c r="N216" s="51">
        <v>9</v>
      </c>
      <c r="O216" s="22"/>
      <c r="V216"/>
      <c r="W216"/>
      <c r="X216"/>
      <c r="Y216"/>
      <c r="Z216"/>
    </row>
    <row r="217" spans="1:26" ht="16" customHeight="1" thickBot="1" x14ac:dyDescent="0.25">
      <c r="A217" s="91" t="s">
        <v>1377</v>
      </c>
      <c r="B217" s="51">
        <v>9</v>
      </c>
      <c r="C217" s="4"/>
      <c r="D217" s="6" t="s">
        <v>1363</v>
      </c>
      <c r="E217" s="51">
        <v>8.5</v>
      </c>
      <c r="F217" s="4"/>
      <c r="G217" s="91" t="s">
        <v>1399</v>
      </c>
      <c r="H217" s="51">
        <v>9</v>
      </c>
      <c r="I217" s="4"/>
      <c r="J217" s="9" t="s">
        <v>1328</v>
      </c>
      <c r="K217" s="52">
        <v>10</v>
      </c>
      <c r="L217" s="4"/>
      <c r="M217" s="91" t="s">
        <v>1344</v>
      </c>
      <c r="N217" s="51">
        <v>7.5</v>
      </c>
      <c r="O217" s="22"/>
      <c r="V217"/>
      <c r="W217"/>
      <c r="X217"/>
      <c r="Y217"/>
      <c r="Z217"/>
    </row>
    <row r="218" spans="1:26" ht="16" customHeight="1" thickBot="1" x14ac:dyDescent="0.25">
      <c r="A218" s="91" t="s">
        <v>1378</v>
      </c>
      <c r="B218" s="51">
        <v>9</v>
      </c>
      <c r="C218" s="4"/>
      <c r="D218" s="6" t="s">
        <v>1364</v>
      </c>
      <c r="E218" s="51"/>
      <c r="F218" s="4"/>
      <c r="G218" s="91" t="s">
        <v>1400</v>
      </c>
      <c r="H218" s="51">
        <v>8.5</v>
      </c>
      <c r="I218" s="4"/>
      <c r="J218" s="21"/>
      <c r="K218" s="21"/>
      <c r="L218" s="4"/>
      <c r="M218" s="91" t="s">
        <v>1345</v>
      </c>
      <c r="N218" s="51">
        <v>9</v>
      </c>
      <c r="O218" s="22"/>
      <c r="V218"/>
      <c r="W218"/>
      <c r="X218"/>
      <c r="Y218"/>
      <c r="Z218"/>
    </row>
    <row r="219" spans="1:26" ht="16" customHeight="1" thickBot="1" x14ac:dyDescent="0.25">
      <c r="A219" s="91" t="s">
        <v>1379</v>
      </c>
      <c r="B219" s="51">
        <v>8.5</v>
      </c>
      <c r="C219" s="4"/>
      <c r="D219" s="6" t="s">
        <v>1365</v>
      </c>
      <c r="E219" s="51">
        <v>8</v>
      </c>
      <c r="F219" s="4"/>
      <c r="G219" s="91" t="s">
        <v>1401</v>
      </c>
      <c r="H219" s="51">
        <v>10.5</v>
      </c>
      <c r="I219" s="22"/>
      <c r="J219" s="195" t="s">
        <v>1412</v>
      </c>
      <c r="K219" s="14">
        <f>ROUND(SUM(K220:K235)/COUNT(K220:K235), 2)</f>
        <v>8.82</v>
      </c>
      <c r="L219" s="4"/>
      <c r="M219" s="91" t="s">
        <v>1346</v>
      </c>
      <c r="N219" s="51">
        <v>9</v>
      </c>
      <c r="O219" s="22"/>
      <c r="V219"/>
      <c r="W219"/>
      <c r="X219"/>
      <c r="Y219"/>
      <c r="Z219"/>
    </row>
    <row r="220" spans="1:26" ht="16" customHeight="1" x14ac:dyDescent="0.2">
      <c r="A220" s="91" t="s">
        <v>1380</v>
      </c>
      <c r="B220" s="51">
        <v>8</v>
      </c>
      <c r="C220" s="4"/>
      <c r="D220" s="6" t="s">
        <v>1366</v>
      </c>
      <c r="E220" s="51">
        <v>9.5</v>
      </c>
      <c r="F220" s="4"/>
      <c r="G220" s="91" t="s">
        <v>1402</v>
      </c>
      <c r="H220" s="51">
        <v>8.5</v>
      </c>
      <c r="I220" s="4"/>
      <c r="J220" s="13" t="s">
        <v>1413</v>
      </c>
      <c r="K220" s="50">
        <v>10</v>
      </c>
      <c r="L220" s="4"/>
      <c r="M220" s="91" t="s">
        <v>1347</v>
      </c>
      <c r="N220" s="51">
        <v>7.5</v>
      </c>
      <c r="O220" s="22"/>
      <c r="V220"/>
      <c r="W220"/>
      <c r="X220"/>
      <c r="Y220"/>
      <c r="Z220"/>
    </row>
    <row r="221" spans="1:26" ht="16" customHeight="1" x14ac:dyDescent="0.2">
      <c r="A221" s="91" t="s">
        <v>1381</v>
      </c>
      <c r="B221" s="51">
        <v>9</v>
      </c>
      <c r="C221" s="4"/>
      <c r="D221" s="6" t="s">
        <v>1367</v>
      </c>
      <c r="E221" s="51">
        <v>8</v>
      </c>
      <c r="F221" s="4"/>
      <c r="G221" s="91" t="s">
        <v>1403</v>
      </c>
      <c r="H221" s="51">
        <v>9</v>
      </c>
      <c r="I221" s="4"/>
      <c r="J221" s="6" t="s">
        <v>1414</v>
      </c>
      <c r="K221" s="51"/>
      <c r="L221" s="4"/>
      <c r="M221" s="91" t="s">
        <v>1348</v>
      </c>
      <c r="N221" s="51">
        <v>8</v>
      </c>
      <c r="O221" s="22"/>
      <c r="V221"/>
      <c r="W221"/>
      <c r="X221"/>
      <c r="Y221"/>
      <c r="Z221"/>
    </row>
    <row r="222" spans="1:26" ht="16" customHeight="1" x14ac:dyDescent="0.2">
      <c r="A222" s="91" t="s">
        <v>1382</v>
      </c>
      <c r="B222" s="51">
        <v>8.5</v>
      </c>
      <c r="C222" s="4"/>
      <c r="D222" s="6" t="s">
        <v>1368</v>
      </c>
      <c r="E222" s="51">
        <v>8</v>
      </c>
      <c r="F222" s="4"/>
      <c r="G222" s="91" t="s">
        <v>1404</v>
      </c>
      <c r="H222" s="51">
        <v>7.5</v>
      </c>
      <c r="I222" s="4"/>
      <c r="J222" s="6" t="s">
        <v>1415</v>
      </c>
      <c r="K222" s="51">
        <v>10.5</v>
      </c>
      <c r="L222" s="4"/>
      <c r="M222" s="91" t="s">
        <v>1349</v>
      </c>
      <c r="N222" s="51">
        <v>9</v>
      </c>
      <c r="O222" s="22"/>
      <c r="V222"/>
      <c r="W222"/>
      <c r="X222"/>
      <c r="Y222"/>
      <c r="Z222"/>
    </row>
    <row r="223" spans="1:26" ht="16" customHeight="1" x14ac:dyDescent="0.2">
      <c r="A223" s="91" t="s">
        <v>1383</v>
      </c>
      <c r="B223" s="51">
        <v>9</v>
      </c>
      <c r="C223" s="4"/>
      <c r="D223" s="6" t="s">
        <v>1369</v>
      </c>
      <c r="E223" s="51">
        <v>8</v>
      </c>
      <c r="F223" s="4"/>
      <c r="G223" s="91" t="s">
        <v>1405</v>
      </c>
      <c r="H223" s="51">
        <v>10.5</v>
      </c>
      <c r="I223" s="4"/>
      <c r="J223" s="6" t="s">
        <v>1416</v>
      </c>
      <c r="K223" s="51">
        <v>8.5</v>
      </c>
      <c r="L223" s="4"/>
      <c r="M223" s="91" t="s">
        <v>1350</v>
      </c>
      <c r="N223" s="51">
        <v>8</v>
      </c>
      <c r="O223" s="22"/>
      <c r="V223"/>
      <c r="W223"/>
      <c r="X223"/>
      <c r="Y223"/>
      <c r="Z223"/>
    </row>
    <row r="224" spans="1:26" ht="16" customHeight="1" thickBot="1" x14ac:dyDescent="0.25">
      <c r="A224" s="92" t="s">
        <v>1384</v>
      </c>
      <c r="B224" s="52">
        <v>8.5</v>
      </c>
      <c r="C224" s="4"/>
      <c r="D224" s="6" t="s">
        <v>1370</v>
      </c>
      <c r="E224" s="51">
        <v>8</v>
      </c>
      <c r="F224" s="4"/>
      <c r="G224" s="91" t="s">
        <v>1406</v>
      </c>
      <c r="H224" s="51">
        <v>7</v>
      </c>
      <c r="I224" s="4"/>
      <c r="J224" s="6" t="s">
        <v>1417</v>
      </c>
      <c r="K224" s="51">
        <v>9</v>
      </c>
      <c r="L224" s="4"/>
      <c r="M224" s="91" t="s">
        <v>1351</v>
      </c>
      <c r="N224" s="51">
        <v>7</v>
      </c>
      <c r="O224" s="22"/>
      <c r="V224"/>
      <c r="W224"/>
      <c r="X224"/>
      <c r="Y224"/>
      <c r="Z224"/>
    </row>
    <row r="225" spans="1:26" ht="16" customHeight="1" thickBot="1" x14ac:dyDescent="0.25">
      <c r="A225" s="85"/>
      <c r="B225" s="19"/>
      <c r="C225" s="22"/>
      <c r="D225" s="5" t="s">
        <v>1371</v>
      </c>
      <c r="E225" s="51">
        <v>8.5</v>
      </c>
      <c r="F225" s="4"/>
      <c r="G225" s="91" t="s">
        <v>1407</v>
      </c>
      <c r="H225" s="51">
        <v>7.5</v>
      </c>
      <c r="I225" s="4"/>
      <c r="J225" s="6" t="s">
        <v>1418</v>
      </c>
      <c r="K225" s="51">
        <v>8</v>
      </c>
      <c r="L225" s="4"/>
      <c r="M225" s="91" t="s">
        <v>1352</v>
      </c>
      <c r="N225" s="51">
        <v>7.5</v>
      </c>
      <c r="O225" s="22"/>
      <c r="V225"/>
      <c r="W225"/>
      <c r="X225"/>
      <c r="Y225"/>
      <c r="Z225"/>
    </row>
    <row r="226" spans="1:26" ht="16" customHeight="1" thickBot="1" x14ac:dyDescent="0.25">
      <c r="A226" s="201" t="s">
        <v>1434</v>
      </c>
      <c r="B226" s="14">
        <f>ROUND(SUM(B227:B233)/COUNT(B227:B233), 2)</f>
        <v>8.86</v>
      </c>
      <c r="C226" s="4"/>
      <c r="D226" s="9" t="s">
        <v>1372</v>
      </c>
      <c r="E226" s="52">
        <v>9</v>
      </c>
      <c r="F226" s="4"/>
      <c r="G226" s="91" t="s">
        <v>1408</v>
      </c>
      <c r="H226" s="51">
        <v>6.5</v>
      </c>
      <c r="I226" s="4"/>
      <c r="J226" s="6" t="s">
        <v>1419</v>
      </c>
      <c r="K226" s="51">
        <v>9.5</v>
      </c>
      <c r="L226" s="4"/>
      <c r="M226" s="92" t="s">
        <v>1353</v>
      </c>
      <c r="N226" s="52">
        <v>7.5</v>
      </c>
      <c r="O226" s="22"/>
      <c r="V226"/>
      <c r="W226"/>
      <c r="X226"/>
      <c r="Y226"/>
      <c r="Z226"/>
    </row>
    <row r="227" spans="1:26" ht="16" customHeight="1" thickBot="1" x14ac:dyDescent="0.25">
      <c r="A227" s="96" t="s">
        <v>1435</v>
      </c>
      <c r="B227" s="50">
        <v>10</v>
      </c>
      <c r="C227" s="4"/>
      <c r="D227" s="21"/>
      <c r="E227" s="21"/>
      <c r="F227" s="4"/>
      <c r="G227" s="92" t="s">
        <v>1409</v>
      </c>
      <c r="H227" s="52">
        <v>7</v>
      </c>
      <c r="I227" s="4"/>
      <c r="J227" s="6" t="s">
        <v>1420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" customHeight="1" thickBot="1" x14ac:dyDescent="0.25">
      <c r="A228" s="91" t="s">
        <v>1436</v>
      </c>
      <c r="B228" s="51">
        <v>9.5</v>
      </c>
      <c r="C228" s="22"/>
      <c r="D228" s="196" t="s">
        <v>1445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1421</v>
      </c>
      <c r="K228" s="51">
        <v>8</v>
      </c>
      <c r="L228" s="22"/>
      <c r="M228" s="199" t="s">
        <v>1472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" customHeight="1" thickBot="1" x14ac:dyDescent="0.25">
      <c r="A229" s="91" t="s">
        <v>1437</v>
      </c>
      <c r="B229" s="51">
        <v>9</v>
      </c>
      <c r="C229" s="4"/>
      <c r="D229" s="13" t="s">
        <v>1446</v>
      </c>
      <c r="E229" s="50">
        <v>8.5</v>
      </c>
      <c r="F229" s="22"/>
      <c r="G229" s="198" t="s">
        <v>1473</v>
      </c>
      <c r="H229" s="14">
        <f>ROUND(SUM(H230:H244)/COUNT(H230:H244), 2)</f>
        <v>8.8800000000000008</v>
      </c>
      <c r="I229" s="4"/>
      <c r="J229" s="6" t="s">
        <v>1422</v>
      </c>
      <c r="K229" s="51">
        <v>8</v>
      </c>
      <c r="L229" s="4"/>
      <c r="M229" s="96" t="s">
        <v>1460</v>
      </c>
      <c r="N229" s="50">
        <v>8</v>
      </c>
      <c r="O229" s="22"/>
      <c r="V229"/>
      <c r="W229"/>
      <c r="X229"/>
      <c r="Y229"/>
      <c r="Z229"/>
    </row>
    <row r="230" spans="1:26" ht="16" customHeight="1" x14ac:dyDescent="0.2">
      <c r="A230" s="91" t="s">
        <v>1438</v>
      </c>
      <c r="B230" s="51">
        <v>8</v>
      </c>
      <c r="C230" s="4"/>
      <c r="D230" s="6" t="s">
        <v>1447</v>
      </c>
      <c r="E230" s="51">
        <v>8.5</v>
      </c>
      <c r="F230" s="4"/>
      <c r="G230" s="96" t="s">
        <v>1474</v>
      </c>
      <c r="H230" s="50"/>
      <c r="I230" s="4"/>
      <c r="J230" s="6" t="s">
        <v>1423</v>
      </c>
      <c r="K230" s="51">
        <v>10</v>
      </c>
      <c r="L230" s="4"/>
      <c r="M230" s="91" t="s">
        <v>1461</v>
      </c>
      <c r="N230" s="51">
        <v>8.5</v>
      </c>
      <c r="O230" s="22"/>
      <c r="V230"/>
      <c r="W230"/>
      <c r="X230"/>
      <c r="Y230"/>
      <c r="Z230"/>
    </row>
    <row r="231" spans="1:26" ht="16" customHeight="1" x14ac:dyDescent="0.2">
      <c r="A231" s="91" t="s">
        <v>1439</v>
      </c>
      <c r="B231" s="51">
        <v>9</v>
      </c>
      <c r="C231" s="4"/>
      <c r="D231" s="6" t="s">
        <v>1448</v>
      </c>
      <c r="E231" s="51">
        <v>8</v>
      </c>
      <c r="F231" s="4"/>
      <c r="G231" s="91" t="s">
        <v>1475</v>
      </c>
      <c r="H231" s="51">
        <v>8.5</v>
      </c>
      <c r="I231" s="4"/>
      <c r="J231" s="6" t="s">
        <v>1424</v>
      </c>
      <c r="K231" s="51">
        <v>7.5</v>
      </c>
      <c r="L231" s="4"/>
      <c r="M231" s="91" t="s">
        <v>1462</v>
      </c>
      <c r="N231" s="51">
        <v>9.5</v>
      </c>
      <c r="O231" s="22"/>
      <c r="V231"/>
      <c r="W231"/>
      <c r="X231"/>
      <c r="Y231"/>
      <c r="Z231"/>
    </row>
    <row r="232" spans="1:26" ht="16" customHeight="1" x14ac:dyDescent="0.2">
      <c r="A232" s="91" t="s">
        <v>1440</v>
      </c>
      <c r="B232" s="51">
        <v>8.5</v>
      </c>
      <c r="C232" s="4"/>
      <c r="D232" s="6" t="s">
        <v>1449</v>
      </c>
      <c r="E232" s="51">
        <v>9</v>
      </c>
      <c r="F232" s="4"/>
      <c r="G232" s="91" t="s">
        <v>1476</v>
      </c>
      <c r="H232" s="51">
        <v>9.5</v>
      </c>
      <c r="I232" s="4"/>
      <c r="J232" s="6" t="s">
        <v>1425</v>
      </c>
      <c r="K232" s="51">
        <v>9.5</v>
      </c>
      <c r="L232" s="4"/>
      <c r="M232" s="91" t="s">
        <v>1463</v>
      </c>
      <c r="N232" s="51">
        <v>8.5</v>
      </c>
      <c r="O232" s="22"/>
      <c r="V232"/>
      <c r="W232"/>
      <c r="X232"/>
      <c r="Y232"/>
      <c r="Z232"/>
    </row>
    <row r="233" spans="1:26" ht="16" customHeight="1" thickBot="1" x14ac:dyDescent="0.25">
      <c r="A233" s="92" t="s">
        <v>1441</v>
      </c>
      <c r="B233" s="52">
        <v>8</v>
      </c>
      <c r="C233" s="4"/>
      <c r="D233" s="6" t="s">
        <v>1450</v>
      </c>
      <c r="E233" s="51">
        <v>9</v>
      </c>
      <c r="F233" s="4"/>
      <c r="G233" s="91" t="s">
        <v>1477</v>
      </c>
      <c r="H233" s="51">
        <v>8.5</v>
      </c>
      <c r="I233" s="4"/>
      <c r="J233" s="6" t="s">
        <v>1426</v>
      </c>
      <c r="K233" s="51">
        <v>8</v>
      </c>
      <c r="L233" s="4"/>
      <c r="M233" s="91" t="s">
        <v>1464</v>
      </c>
      <c r="N233" s="51">
        <v>7</v>
      </c>
      <c r="O233" s="22"/>
      <c r="V233"/>
      <c r="W233"/>
      <c r="X233"/>
      <c r="Y233"/>
      <c r="Z233"/>
    </row>
    <row r="234" spans="1:26" ht="16" customHeight="1" thickBot="1" x14ac:dyDescent="0.25">
      <c r="A234" s="21"/>
      <c r="B234" s="21"/>
      <c r="C234" s="4"/>
      <c r="D234" s="9" t="s">
        <v>1451</v>
      </c>
      <c r="E234" s="52">
        <v>10</v>
      </c>
      <c r="F234" s="4"/>
      <c r="G234" s="91" t="s">
        <v>1478</v>
      </c>
      <c r="H234" s="51">
        <v>10</v>
      </c>
      <c r="I234" s="4"/>
      <c r="J234" s="6" t="s">
        <v>1427</v>
      </c>
      <c r="K234" s="51">
        <v>9</v>
      </c>
      <c r="L234" s="4"/>
      <c r="M234" s="91" t="s">
        <v>1465</v>
      </c>
      <c r="N234" s="51">
        <v>8</v>
      </c>
      <c r="O234" s="22"/>
      <c r="V234"/>
      <c r="W234"/>
      <c r="X234"/>
      <c r="Y234"/>
      <c r="Z234"/>
    </row>
    <row r="235" spans="1:26" ht="16" customHeight="1" thickBot="1" x14ac:dyDescent="0.25">
      <c r="A235" s="204" t="s">
        <v>1491</v>
      </c>
      <c r="B235" s="14">
        <f>ROUND(SUM(B236:B244)/COUNT(B236:B244), 2)</f>
        <v>8.83</v>
      </c>
      <c r="C235" s="4"/>
      <c r="D235" s="21"/>
      <c r="E235" s="21"/>
      <c r="F235" s="4"/>
      <c r="G235" s="91" t="s">
        <v>1479</v>
      </c>
      <c r="H235" s="65">
        <v>10.5</v>
      </c>
      <c r="I235" s="4"/>
      <c r="J235" s="9" t="s">
        <v>1428</v>
      </c>
      <c r="K235" s="52">
        <v>8</v>
      </c>
      <c r="L235" s="4"/>
      <c r="M235" s="91" t="s">
        <v>1466</v>
      </c>
      <c r="N235" s="51">
        <v>8.5</v>
      </c>
      <c r="O235" s="22"/>
      <c r="V235"/>
      <c r="W235"/>
      <c r="X235"/>
      <c r="Y235"/>
      <c r="Z235"/>
    </row>
    <row r="236" spans="1:26" ht="16" customHeight="1" thickBot="1" x14ac:dyDescent="0.25">
      <c r="A236" s="96" t="s">
        <v>1492</v>
      </c>
      <c r="B236" s="50">
        <v>9</v>
      </c>
      <c r="C236" s="4"/>
      <c r="D236" s="203" t="s">
        <v>1527</v>
      </c>
      <c r="E236" s="3">
        <f>ROUND(SUM(E237:E251)/COUNT(E237:E251), 2)</f>
        <v>8.8000000000000007</v>
      </c>
      <c r="F236" s="4"/>
      <c r="G236" s="91" t="s">
        <v>1480</v>
      </c>
      <c r="H236" s="51">
        <v>9</v>
      </c>
      <c r="I236" s="4"/>
      <c r="J236" s="21"/>
      <c r="K236" s="21"/>
      <c r="L236" s="4"/>
      <c r="M236" s="91" t="s">
        <v>1467</v>
      </c>
      <c r="N236" s="51">
        <v>7</v>
      </c>
      <c r="O236" s="22"/>
      <c r="V236"/>
      <c r="W236"/>
      <c r="X236"/>
      <c r="Y236"/>
      <c r="Z236"/>
    </row>
    <row r="237" spans="1:26" ht="16" customHeight="1" thickBot="1" x14ac:dyDescent="0.25">
      <c r="A237" s="91" t="s">
        <v>1493</v>
      </c>
      <c r="B237" s="51">
        <v>10</v>
      </c>
      <c r="C237" s="4"/>
      <c r="D237" s="13" t="s">
        <v>1507</v>
      </c>
      <c r="E237" s="50">
        <v>8</v>
      </c>
      <c r="F237" s="4"/>
      <c r="G237" s="91" t="s">
        <v>1481</v>
      </c>
      <c r="H237" s="51">
        <v>8.5</v>
      </c>
      <c r="I237" s="22"/>
      <c r="J237" s="205" t="s">
        <v>1531</v>
      </c>
      <c r="K237" s="14">
        <f>ROUND(SUM(K238:K250)/COUNT(K238:K250), 2)</f>
        <v>8.73</v>
      </c>
      <c r="L237" s="4"/>
      <c r="M237" s="91" t="s">
        <v>1468</v>
      </c>
      <c r="N237" s="51">
        <v>8</v>
      </c>
      <c r="O237" s="22"/>
      <c r="V237"/>
      <c r="W237"/>
      <c r="X237"/>
      <c r="Y237"/>
      <c r="Z237"/>
    </row>
    <row r="238" spans="1:26" ht="16" customHeight="1" thickBot="1" x14ac:dyDescent="0.25">
      <c r="A238" s="91" t="s">
        <v>1494</v>
      </c>
      <c r="B238" s="51">
        <v>8.5</v>
      </c>
      <c r="C238" s="4"/>
      <c r="D238" s="6" t="s">
        <v>1508</v>
      </c>
      <c r="E238" s="51">
        <v>8.5</v>
      </c>
      <c r="F238" s="4"/>
      <c r="G238" s="91" t="s">
        <v>1482</v>
      </c>
      <c r="H238" s="51">
        <v>8.5</v>
      </c>
      <c r="I238" s="4"/>
      <c r="J238" s="13" t="s">
        <v>1544</v>
      </c>
      <c r="K238" s="50">
        <v>10.5</v>
      </c>
      <c r="L238" s="4"/>
      <c r="M238" s="92" t="s">
        <v>1469</v>
      </c>
      <c r="N238" s="52">
        <v>7.5</v>
      </c>
      <c r="O238" s="22"/>
      <c r="V238"/>
      <c r="W238"/>
      <c r="X238"/>
      <c r="Y238"/>
      <c r="Z238"/>
    </row>
    <row r="239" spans="1:26" ht="16" customHeight="1" thickBot="1" x14ac:dyDescent="0.25">
      <c r="A239" s="91" t="s">
        <v>1495</v>
      </c>
      <c r="B239" s="51">
        <v>8.5</v>
      </c>
      <c r="C239" s="4"/>
      <c r="D239" s="6" t="s">
        <v>1509</v>
      </c>
      <c r="E239" s="51">
        <v>9.5</v>
      </c>
      <c r="F239" s="4"/>
      <c r="G239" s="91" t="s">
        <v>1483</v>
      </c>
      <c r="H239" s="51">
        <v>8</v>
      </c>
      <c r="I239" s="4"/>
      <c r="J239" s="6" t="s">
        <v>1532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" customHeight="1" thickBot="1" x14ac:dyDescent="0.25">
      <c r="A240" s="91" t="s">
        <v>1496</v>
      </c>
      <c r="B240" s="51">
        <v>9.5</v>
      </c>
      <c r="C240" s="4"/>
      <c r="D240" s="6" t="s">
        <v>1510</v>
      </c>
      <c r="E240" s="51">
        <v>10</v>
      </c>
      <c r="F240" s="4"/>
      <c r="G240" s="91" t="s">
        <v>1484</v>
      </c>
      <c r="H240" s="51"/>
      <c r="I240" s="4"/>
      <c r="J240" s="6" t="s">
        <v>1533</v>
      </c>
      <c r="K240" s="51">
        <v>9</v>
      </c>
      <c r="L240" s="4"/>
      <c r="M240" s="206" t="s">
        <v>1548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" customHeight="1" x14ac:dyDescent="0.2">
      <c r="A241" s="91" t="s">
        <v>1497</v>
      </c>
      <c r="B241" s="51">
        <v>8</v>
      </c>
      <c r="C241" s="4"/>
      <c r="D241" s="6" t="s">
        <v>1511</v>
      </c>
      <c r="E241" s="51">
        <v>8.5</v>
      </c>
      <c r="F241" s="4"/>
      <c r="G241" s="91" t="s">
        <v>1485</v>
      </c>
      <c r="H241" s="51">
        <v>9.5</v>
      </c>
      <c r="I241" s="4"/>
      <c r="J241" s="6" t="s">
        <v>1534</v>
      </c>
      <c r="K241" s="51">
        <v>9.5</v>
      </c>
      <c r="L241" s="4"/>
      <c r="M241" s="96" t="s">
        <v>1549</v>
      </c>
      <c r="N241" s="50">
        <v>9.5</v>
      </c>
      <c r="O241" s="4"/>
      <c r="V241"/>
      <c r="W241"/>
      <c r="X241"/>
      <c r="Y241"/>
      <c r="Z241"/>
    </row>
    <row r="242" spans="1:26" ht="16" customHeight="1" x14ac:dyDescent="0.2">
      <c r="A242" s="91" t="s">
        <v>1498</v>
      </c>
      <c r="B242" s="51">
        <v>8.5</v>
      </c>
      <c r="C242" s="4"/>
      <c r="D242" s="6" t="s">
        <v>1512</v>
      </c>
      <c r="E242" s="51">
        <v>9.5</v>
      </c>
      <c r="F242" s="4"/>
      <c r="G242" s="91" t="s">
        <v>1486</v>
      </c>
      <c r="H242" s="51">
        <v>8</v>
      </c>
      <c r="I242" s="4"/>
      <c r="J242" s="6" t="s">
        <v>1535</v>
      </c>
      <c r="K242" s="51">
        <v>9</v>
      </c>
      <c r="L242" s="4"/>
      <c r="M242" s="91" t="s">
        <v>1550</v>
      </c>
      <c r="N242" s="51">
        <v>8</v>
      </c>
      <c r="O242" s="4"/>
      <c r="V242"/>
      <c r="W242"/>
      <c r="X242"/>
      <c r="Y242"/>
      <c r="Z242"/>
    </row>
    <row r="243" spans="1:26" ht="16" customHeight="1" x14ac:dyDescent="0.2">
      <c r="A243" s="91" t="s">
        <v>1499</v>
      </c>
      <c r="B243" s="51">
        <v>9</v>
      </c>
      <c r="C243" s="4"/>
      <c r="D243" s="6" t="s">
        <v>1513</v>
      </c>
      <c r="E243" s="51">
        <v>9.5</v>
      </c>
      <c r="F243" s="4"/>
      <c r="G243" s="91" t="s">
        <v>1487</v>
      </c>
      <c r="H243" s="51">
        <v>8.5</v>
      </c>
      <c r="I243" s="4"/>
      <c r="J243" s="6" t="s">
        <v>1536</v>
      </c>
      <c r="K243" s="51">
        <v>8</v>
      </c>
      <c r="L243" s="4"/>
      <c r="M243" s="91" t="s">
        <v>1551</v>
      </c>
      <c r="N243" s="51">
        <v>10</v>
      </c>
      <c r="O243" s="4"/>
      <c r="V243"/>
      <c r="W243"/>
      <c r="X243"/>
      <c r="Y243"/>
      <c r="Z243"/>
    </row>
    <row r="244" spans="1:26" ht="16" customHeight="1" thickBot="1" x14ac:dyDescent="0.25">
      <c r="A244" s="92" t="s">
        <v>1500</v>
      </c>
      <c r="B244" s="52">
        <v>8.5</v>
      </c>
      <c r="C244" s="4"/>
      <c r="D244" s="6" t="s">
        <v>1514</v>
      </c>
      <c r="E244" s="51">
        <v>8</v>
      </c>
      <c r="F244" s="4"/>
      <c r="G244" s="92" t="s">
        <v>1488</v>
      </c>
      <c r="H244" s="52">
        <v>8.5</v>
      </c>
      <c r="I244" s="4"/>
      <c r="J244" s="6" t="s">
        <v>1537</v>
      </c>
      <c r="K244" s="51">
        <v>9</v>
      </c>
      <c r="L244" s="4"/>
      <c r="M244" s="91" t="s">
        <v>1552</v>
      </c>
      <c r="N244" s="51">
        <v>8</v>
      </c>
      <c r="O244" s="4"/>
      <c r="V244"/>
      <c r="W244"/>
      <c r="X244"/>
      <c r="Y244"/>
      <c r="Z244"/>
    </row>
    <row r="245" spans="1:26" ht="16" customHeight="1" thickBot="1" x14ac:dyDescent="0.25">
      <c r="A245" s="4"/>
      <c r="B245" s="4"/>
      <c r="C245" s="4"/>
      <c r="D245" s="6" t="s">
        <v>1515</v>
      </c>
      <c r="E245" s="51">
        <v>8</v>
      </c>
      <c r="F245" s="4"/>
      <c r="G245" s="21"/>
      <c r="H245" s="21"/>
      <c r="I245" s="4"/>
      <c r="J245" s="6" t="s">
        <v>1538</v>
      </c>
      <c r="K245" s="51">
        <v>8.5</v>
      </c>
      <c r="L245" s="4"/>
      <c r="M245" s="91" t="s">
        <v>1553</v>
      </c>
      <c r="N245" s="51">
        <v>9</v>
      </c>
      <c r="O245" s="4"/>
      <c r="V245"/>
      <c r="W245"/>
      <c r="X245"/>
      <c r="Y245"/>
      <c r="Z245"/>
    </row>
    <row r="246" spans="1:26" ht="16" customHeight="1" thickBot="1" x14ac:dyDescent="0.25">
      <c r="A246" s="208" t="s">
        <v>1588</v>
      </c>
      <c r="B246" s="14">
        <f>ROUND(SUM(B247:B258)/COUNT(B247:B258), 2)</f>
        <v>8.82</v>
      </c>
      <c r="C246" s="4"/>
      <c r="D246" s="6" t="s">
        <v>1516</v>
      </c>
      <c r="E246" s="51">
        <v>8.5</v>
      </c>
      <c r="F246" s="4"/>
      <c r="G246" s="207" t="s">
        <v>1570</v>
      </c>
      <c r="H246" s="3">
        <f>ROUND(SUM(H247:H256)/COUNT(H247:H256), 2)</f>
        <v>8.75</v>
      </c>
      <c r="I246" s="4"/>
      <c r="J246" s="6" t="s">
        <v>1539</v>
      </c>
      <c r="K246" s="51">
        <v>8</v>
      </c>
      <c r="L246" s="4"/>
      <c r="M246" s="91" t="s">
        <v>1554</v>
      </c>
      <c r="N246" s="51">
        <v>8.5</v>
      </c>
      <c r="O246" s="4"/>
      <c r="V246"/>
      <c r="W246"/>
      <c r="X246"/>
      <c r="Y246"/>
      <c r="Z246"/>
    </row>
    <row r="247" spans="1:26" ht="16" customHeight="1" thickBot="1" x14ac:dyDescent="0.25">
      <c r="A247" s="96" t="s">
        <v>1576</v>
      </c>
      <c r="B247" s="50">
        <v>9.5</v>
      </c>
      <c r="C247" s="4"/>
      <c r="D247" s="6" t="s">
        <v>1517</v>
      </c>
      <c r="E247" s="51">
        <v>10</v>
      </c>
      <c r="F247" s="4"/>
      <c r="G247" s="91" t="s">
        <v>1561</v>
      </c>
      <c r="H247" s="51">
        <v>10</v>
      </c>
      <c r="I247" s="4"/>
      <c r="J247" s="6" t="s">
        <v>1540</v>
      </c>
      <c r="K247" s="51">
        <v>8</v>
      </c>
      <c r="L247" s="4"/>
      <c r="M247" s="92" t="s">
        <v>1555</v>
      </c>
      <c r="N247" s="52">
        <v>9.5</v>
      </c>
      <c r="O247" s="4"/>
      <c r="V247"/>
      <c r="W247"/>
      <c r="X247"/>
      <c r="Y247"/>
      <c r="Z247"/>
    </row>
    <row r="248" spans="1:26" ht="16" customHeight="1" thickBot="1" x14ac:dyDescent="0.25">
      <c r="A248" s="91" t="s">
        <v>1577</v>
      </c>
      <c r="B248" s="51">
        <v>8.5</v>
      </c>
      <c r="C248" s="4"/>
      <c r="D248" s="6" t="s">
        <v>1518</v>
      </c>
      <c r="E248" s="51">
        <v>8.5</v>
      </c>
      <c r="F248" s="4"/>
      <c r="G248" s="91" t="s">
        <v>1562</v>
      </c>
      <c r="H248" s="51">
        <v>9</v>
      </c>
      <c r="I248" s="4"/>
      <c r="J248" s="6" t="s">
        <v>1541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" customHeight="1" thickBot="1" x14ac:dyDescent="0.25">
      <c r="A249" s="91" t="s">
        <v>1578</v>
      </c>
      <c r="B249" s="51">
        <v>8.5</v>
      </c>
      <c r="C249" s="4"/>
      <c r="D249" s="6" t="s">
        <v>1519</v>
      </c>
      <c r="E249" s="51">
        <v>9</v>
      </c>
      <c r="F249" s="4"/>
      <c r="G249" s="91" t="s">
        <v>15</v>
      </c>
      <c r="H249" s="51">
        <v>10</v>
      </c>
      <c r="I249" s="4"/>
      <c r="J249" s="6" t="s">
        <v>1542</v>
      </c>
      <c r="K249" s="51">
        <v>8.5</v>
      </c>
      <c r="L249" s="4"/>
      <c r="M249" s="210" t="s">
        <v>1593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" customHeight="1" thickBot="1" x14ac:dyDescent="0.25">
      <c r="A250" s="91" t="s">
        <v>1579</v>
      </c>
      <c r="B250" s="51"/>
      <c r="C250" s="4"/>
      <c r="D250" s="6" t="s">
        <v>1520</v>
      </c>
      <c r="E250" s="51">
        <v>8.5</v>
      </c>
      <c r="F250" s="4"/>
      <c r="G250" s="91" t="s">
        <v>1563</v>
      </c>
      <c r="H250" s="51">
        <v>9</v>
      </c>
      <c r="I250" s="4"/>
      <c r="J250" s="9" t="s">
        <v>1543</v>
      </c>
      <c r="K250" s="52">
        <v>8</v>
      </c>
      <c r="L250" s="4"/>
      <c r="M250" s="96" t="s">
        <v>1592</v>
      </c>
      <c r="N250" s="50">
        <v>10</v>
      </c>
      <c r="O250" s="4"/>
      <c r="V250"/>
      <c r="W250"/>
      <c r="X250"/>
      <c r="Y250"/>
      <c r="Z250"/>
    </row>
    <row r="251" spans="1:26" ht="16" customHeight="1" thickBot="1" x14ac:dyDescent="0.25">
      <c r="A251" s="91" t="s">
        <v>1580</v>
      </c>
      <c r="B251" s="51">
        <v>8</v>
      </c>
      <c r="C251" s="4"/>
      <c r="D251" s="9" t="s">
        <v>1521</v>
      </c>
      <c r="E251" s="52">
        <v>8</v>
      </c>
      <c r="F251" s="4"/>
      <c r="G251" s="91" t="s">
        <v>1564</v>
      </c>
      <c r="H251" s="51">
        <v>8.5</v>
      </c>
      <c r="I251" s="4"/>
      <c r="J251" s="4"/>
      <c r="K251" s="4"/>
      <c r="L251" s="4"/>
      <c r="M251" s="91" t="s">
        <v>1594</v>
      </c>
      <c r="N251" s="51">
        <v>9</v>
      </c>
      <c r="O251" s="4"/>
      <c r="V251"/>
      <c r="W251"/>
      <c r="X251"/>
      <c r="Y251"/>
      <c r="Z251"/>
    </row>
    <row r="252" spans="1:26" ht="16" customHeight="1" thickBot="1" x14ac:dyDescent="0.25">
      <c r="A252" s="91" t="s">
        <v>1581</v>
      </c>
      <c r="B252" s="51">
        <v>10</v>
      </c>
      <c r="C252" s="4"/>
      <c r="D252" s="4"/>
      <c r="E252" s="4"/>
      <c r="F252" s="4"/>
      <c r="G252" s="91" t="s">
        <v>1565</v>
      </c>
      <c r="H252" s="51">
        <v>8</v>
      </c>
      <c r="I252" s="4"/>
      <c r="J252" s="211" t="s">
        <v>1635</v>
      </c>
      <c r="K252" s="3">
        <f>ROUND(SUM(K253:K262)/COUNT(K253:K262), 2)</f>
        <v>8</v>
      </c>
      <c r="L252" s="4"/>
      <c r="M252" s="91" t="s">
        <v>1595</v>
      </c>
      <c r="N252" s="51">
        <v>8.5</v>
      </c>
      <c r="O252" s="4"/>
      <c r="V252"/>
      <c r="W252"/>
      <c r="X252"/>
      <c r="Y252"/>
      <c r="Z252"/>
    </row>
    <row r="253" spans="1:26" ht="16" customHeight="1" thickBot="1" x14ac:dyDescent="0.25">
      <c r="A253" s="91" t="s">
        <v>1582</v>
      </c>
      <c r="B253" s="51">
        <v>10.5</v>
      </c>
      <c r="C253" s="4"/>
      <c r="D253" s="213" t="s">
        <v>1643</v>
      </c>
      <c r="E253" s="3">
        <f>ROUND(SUM(E254:E263)/COUNT(E254:E263), 2)</f>
        <v>8.44</v>
      </c>
      <c r="F253" s="4"/>
      <c r="G253" s="91" t="s">
        <v>1566</v>
      </c>
      <c r="H253" s="51">
        <v>9</v>
      </c>
      <c r="I253" s="4"/>
      <c r="J253" s="13" t="s">
        <v>1625</v>
      </c>
      <c r="K253" s="50">
        <v>8.5</v>
      </c>
      <c r="L253" s="4"/>
      <c r="M253" s="91" t="s">
        <v>1596</v>
      </c>
      <c r="N253" s="51">
        <v>8</v>
      </c>
      <c r="O253" s="4"/>
      <c r="V253"/>
      <c r="W253"/>
      <c r="X253"/>
      <c r="Y253"/>
      <c r="Z253"/>
    </row>
    <row r="254" spans="1:26" ht="16" customHeight="1" x14ac:dyDescent="0.2">
      <c r="A254" s="91" t="s">
        <v>1583</v>
      </c>
      <c r="B254" s="51">
        <v>9</v>
      </c>
      <c r="C254" s="4"/>
      <c r="D254" s="13" t="s">
        <v>1644</v>
      </c>
      <c r="E254" s="50">
        <v>8.5</v>
      </c>
      <c r="F254" s="4"/>
      <c r="G254" s="91" t="s">
        <v>1567</v>
      </c>
      <c r="H254" s="51">
        <v>8</v>
      </c>
      <c r="I254" s="4"/>
      <c r="J254" s="6" t="s">
        <v>1626</v>
      </c>
      <c r="K254" s="51">
        <v>7.5</v>
      </c>
      <c r="L254" s="4"/>
      <c r="M254" s="91" t="s">
        <v>1597</v>
      </c>
      <c r="N254" s="51">
        <v>10.5</v>
      </c>
      <c r="O254" s="4"/>
      <c r="V254"/>
      <c r="W254"/>
      <c r="X254"/>
      <c r="Y254"/>
      <c r="Z254"/>
    </row>
    <row r="255" spans="1:26" ht="16" customHeight="1" x14ac:dyDescent="0.2">
      <c r="A255" s="91" t="s">
        <v>1584</v>
      </c>
      <c r="B255" s="51">
        <v>8</v>
      </c>
      <c r="C255" s="4"/>
      <c r="D255" s="6" t="s">
        <v>1645</v>
      </c>
      <c r="E255" s="51">
        <v>10</v>
      </c>
      <c r="F255" s="4"/>
      <c r="G255" s="91" t="s">
        <v>1568</v>
      </c>
      <c r="H255" s="51">
        <v>8</v>
      </c>
      <c r="I255" s="4"/>
      <c r="J255" s="6" t="s">
        <v>1627</v>
      </c>
      <c r="K255" s="51">
        <v>9.5</v>
      </c>
      <c r="L255" s="4"/>
      <c r="M255" s="91" t="s">
        <v>1598</v>
      </c>
      <c r="N255" s="51">
        <v>9.5</v>
      </c>
      <c r="O255" s="4"/>
      <c r="V255"/>
      <c r="W255"/>
      <c r="X255"/>
      <c r="Y255"/>
      <c r="Z255"/>
    </row>
    <row r="256" spans="1:26" ht="16" customHeight="1" thickBot="1" x14ac:dyDescent="0.25">
      <c r="A256" s="91" t="s">
        <v>1585</v>
      </c>
      <c r="B256" s="51">
        <v>8</v>
      </c>
      <c r="C256" s="4"/>
      <c r="D256" s="6" t="s">
        <v>1646</v>
      </c>
      <c r="E256" s="51">
        <v>9.5</v>
      </c>
      <c r="F256" s="4"/>
      <c r="G256" s="92" t="s">
        <v>1569</v>
      </c>
      <c r="H256" s="52">
        <v>8</v>
      </c>
      <c r="I256" s="4"/>
      <c r="J256" s="6" t="s">
        <v>1628</v>
      </c>
      <c r="K256" s="51">
        <v>7.5</v>
      </c>
      <c r="L256" s="4"/>
      <c r="M256" s="91" t="s">
        <v>9</v>
      </c>
      <c r="N256" s="51">
        <v>8</v>
      </c>
      <c r="O256" s="4"/>
      <c r="V256"/>
      <c r="W256"/>
      <c r="X256"/>
      <c r="Y256"/>
      <c r="Z256"/>
    </row>
    <row r="257" spans="1:26" ht="16" customHeight="1" thickBot="1" x14ac:dyDescent="0.25">
      <c r="A257" s="91" t="s">
        <v>1586</v>
      </c>
      <c r="B257" s="51">
        <v>8.5</v>
      </c>
      <c r="C257" s="4"/>
      <c r="D257" s="6" t="s">
        <v>1647</v>
      </c>
      <c r="E257" s="51">
        <v>10</v>
      </c>
      <c r="F257" s="4"/>
      <c r="G257" s="4"/>
      <c r="H257" s="4"/>
      <c r="I257" s="4"/>
      <c r="J257" s="6" t="s">
        <v>1629</v>
      </c>
      <c r="K257" s="51">
        <v>9</v>
      </c>
      <c r="L257" s="4"/>
      <c r="M257" s="91" t="s">
        <v>1599</v>
      </c>
      <c r="N257" s="51">
        <v>10.5</v>
      </c>
      <c r="O257" s="4"/>
      <c r="V257"/>
      <c r="W257"/>
      <c r="X257"/>
      <c r="Y257"/>
      <c r="Z257"/>
    </row>
    <row r="258" spans="1:26" ht="16" customHeight="1" thickBot="1" x14ac:dyDescent="0.25">
      <c r="A258" s="92" t="s">
        <v>1587</v>
      </c>
      <c r="B258" s="52">
        <v>8.5</v>
      </c>
      <c r="C258" s="4"/>
      <c r="D258" s="6" t="s">
        <v>1648</v>
      </c>
      <c r="E258" s="51"/>
      <c r="F258" s="4"/>
      <c r="G258" s="266" t="s">
        <v>1661</v>
      </c>
      <c r="H258" s="14">
        <f>ROUND(SUM(H259:H263)/COUNT(H259:H263), 2)</f>
        <v>8.9</v>
      </c>
      <c r="I258" s="4"/>
      <c r="J258" s="6" t="s">
        <v>1630</v>
      </c>
      <c r="K258" s="51">
        <v>6.5</v>
      </c>
      <c r="L258" s="4"/>
      <c r="M258" s="91" t="s">
        <v>1600</v>
      </c>
      <c r="N258" s="51">
        <v>10.5</v>
      </c>
      <c r="O258" s="4"/>
      <c r="V258"/>
      <c r="W258"/>
      <c r="X258"/>
      <c r="Y258"/>
      <c r="Z258"/>
    </row>
    <row r="259" spans="1:26" ht="16" customHeight="1" thickBot="1" x14ac:dyDescent="0.25">
      <c r="A259" s="4"/>
      <c r="B259" s="4"/>
      <c r="C259" s="4"/>
      <c r="D259" s="6" t="s">
        <v>1649</v>
      </c>
      <c r="E259" s="51">
        <v>8</v>
      </c>
      <c r="F259" s="4"/>
      <c r="G259" s="96" t="s">
        <v>1662</v>
      </c>
      <c r="H259" s="50">
        <v>9</v>
      </c>
      <c r="I259" s="4"/>
      <c r="J259" s="6" t="s">
        <v>1631</v>
      </c>
      <c r="K259" s="51"/>
      <c r="L259" s="4"/>
      <c r="M259" s="91" t="s">
        <v>1601</v>
      </c>
      <c r="N259" s="51">
        <v>9</v>
      </c>
      <c r="O259" s="4"/>
      <c r="V259"/>
      <c r="W259"/>
      <c r="X259"/>
      <c r="Y259"/>
      <c r="Z259"/>
    </row>
    <row r="260" spans="1:26" ht="16" customHeight="1" thickBot="1" x14ac:dyDescent="0.25">
      <c r="A260" s="267" t="s">
        <v>1670</v>
      </c>
      <c r="B260" s="3">
        <f>ROUND(SUM(B261:B270)/COUNT(B261:B270), 2)</f>
        <v>8.75</v>
      </c>
      <c r="C260" s="4"/>
      <c r="D260" s="6" t="s">
        <v>1650</v>
      </c>
      <c r="E260" s="51">
        <v>9</v>
      </c>
      <c r="F260" s="4"/>
      <c r="G260" s="91" t="s">
        <v>1663</v>
      </c>
      <c r="H260" s="51">
        <v>8.5</v>
      </c>
      <c r="I260" s="4"/>
      <c r="J260" s="6" t="s">
        <v>1632</v>
      </c>
      <c r="K260" s="51">
        <v>7.5</v>
      </c>
      <c r="L260" s="4"/>
      <c r="M260" s="91" t="s">
        <v>1602</v>
      </c>
      <c r="N260" s="51">
        <v>8.5</v>
      </c>
      <c r="O260" s="4"/>
      <c r="V260"/>
      <c r="W260"/>
      <c r="X260"/>
      <c r="Y260"/>
      <c r="Z260"/>
    </row>
    <row r="261" spans="1:26" ht="16" customHeight="1" x14ac:dyDescent="0.2">
      <c r="A261" s="91" t="s">
        <v>1671</v>
      </c>
      <c r="B261" s="51">
        <v>8</v>
      </c>
      <c r="C261" s="4"/>
      <c r="D261" s="6" t="s">
        <v>1651</v>
      </c>
      <c r="E261" s="51">
        <v>8</v>
      </c>
      <c r="F261" s="4"/>
      <c r="G261" s="91" t="s">
        <v>1664</v>
      </c>
      <c r="H261" s="51">
        <v>9</v>
      </c>
      <c r="I261" s="4"/>
      <c r="J261" s="6" t="s">
        <v>1633</v>
      </c>
      <c r="K261" s="51">
        <v>8.5</v>
      </c>
      <c r="L261" s="4"/>
      <c r="M261" s="91" t="s">
        <v>1603</v>
      </c>
      <c r="N261" s="51">
        <v>8</v>
      </c>
      <c r="O261" s="4"/>
      <c r="V261"/>
      <c r="W261"/>
      <c r="X261"/>
      <c r="Y261"/>
      <c r="Z261"/>
    </row>
    <row r="262" spans="1:26" ht="16" customHeight="1" thickBot="1" x14ac:dyDescent="0.25">
      <c r="A262" s="91" t="s">
        <v>1672</v>
      </c>
      <c r="B262" s="51">
        <v>9.5</v>
      </c>
      <c r="C262" s="4"/>
      <c r="D262" s="6" t="s">
        <v>1652</v>
      </c>
      <c r="E262" s="51">
        <v>7</v>
      </c>
      <c r="F262" s="4"/>
      <c r="G262" s="91" t="s">
        <v>1665</v>
      </c>
      <c r="H262" s="51">
        <v>8</v>
      </c>
      <c r="I262" s="4"/>
      <c r="J262" s="9" t="s">
        <v>1634</v>
      </c>
      <c r="K262" s="52">
        <v>7.5</v>
      </c>
      <c r="L262" s="4"/>
      <c r="M262" s="91" t="s">
        <v>1604</v>
      </c>
      <c r="N262" s="51">
        <v>8</v>
      </c>
      <c r="O262" s="4"/>
      <c r="V262"/>
      <c r="W262"/>
      <c r="X262"/>
      <c r="Y262"/>
      <c r="Z262"/>
    </row>
    <row r="263" spans="1:26" ht="16" customHeight="1" thickBot="1" x14ac:dyDescent="0.25">
      <c r="A263" s="91" t="s">
        <v>1673</v>
      </c>
      <c r="B263" s="51">
        <v>10</v>
      </c>
      <c r="C263" s="4"/>
      <c r="D263" s="9" t="s">
        <v>1653</v>
      </c>
      <c r="E263" s="52">
        <v>6</v>
      </c>
      <c r="F263" s="4"/>
      <c r="G263" s="92" t="s">
        <v>1666</v>
      </c>
      <c r="H263" s="52">
        <v>10</v>
      </c>
      <c r="I263" s="4"/>
      <c r="J263" s="4"/>
      <c r="K263" s="4"/>
      <c r="L263" s="4"/>
      <c r="M263" s="91" t="s">
        <v>1605</v>
      </c>
      <c r="N263" s="51">
        <v>7.5</v>
      </c>
      <c r="O263" s="4"/>
      <c r="V263"/>
      <c r="W263"/>
      <c r="X263"/>
      <c r="Y263"/>
      <c r="Z263"/>
    </row>
    <row r="264" spans="1:26" ht="16" customHeight="1" thickBot="1" x14ac:dyDescent="0.25">
      <c r="A264" s="91" t="s">
        <v>1674</v>
      </c>
      <c r="B264" s="51">
        <v>9.5</v>
      </c>
      <c r="C264" s="4"/>
      <c r="D264" s="4"/>
      <c r="E264" s="4"/>
      <c r="F264" s="4"/>
      <c r="G264" s="4"/>
      <c r="H264" s="4"/>
      <c r="I264" s="4"/>
      <c r="J264" s="268" t="s">
        <v>1687</v>
      </c>
      <c r="K264" s="3">
        <f>ROUND(SUM(K265:K274)/COUNT(K265:K274), 2)</f>
        <v>8.94</v>
      </c>
      <c r="L264" s="4"/>
      <c r="M264" s="91" t="s">
        <v>1606</v>
      </c>
      <c r="N264" s="51">
        <v>8</v>
      </c>
      <c r="O264" s="4"/>
      <c r="V264"/>
      <c r="W264"/>
      <c r="X264"/>
      <c r="Y264"/>
      <c r="Z264"/>
    </row>
    <row r="265" spans="1:26" ht="16" customHeight="1" thickBot="1" x14ac:dyDescent="0.25">
      <c r="A265" s="91" t="s">
        <v>1675</v>
      </c>
      <c r="B265" s="51">
        <v>8</v>
      </c>
      <c r="C265" s="4"/>
      <c r="D265" s="273" t="s">
        <v>1698</v>
      </c>
      <c r="E265" s="14">
        <f>ROUND(SUM(E266:E275)/COUNT(E266:E275), 2)</f>
        <v>8.6</v>
      </c>
      <c r="F265" s="4"/>
      <c r="I265" s="4"/>
      <c r="J265" s="13" t="s">
        <v>1688</v>
      </c>
      <c r="K265" s="50">
        <v>8</v>
      </c>
      <c r="L265" s="4"/>
      <c r="M265" s="91" t="s">
        <v>1607</v>
      </c>
      <c r="N265" s="51">
        <v>9</v>
      </c>
      <c r="O265" s="4"/>
      <c r="V265"/>
      <c r="W265"/>
      <c r="X265"/>
      <c r="Y265"/>
      <c r="Z265"/>
    </row>
    <row r="266" spans="1:26" ht="16" customHeight="1" x14ac:dyDescent="0.2">
      <c r="A266" s="91" t="s">
        <v>1676</v>
      </c>
      <c r="B266" s="51">
        <v>8.5</v>
      </c>
      <c r="C266" s="4"/>
      <c r="D266" s="270" t="s">
        <v>1699</v>
      </c>
      <c r="E266" s="50">
        <v>9.5</v>
      </c>
      <c r="F266" s="4"/>
      <c r="I266" s="4"/>
      <c r="J266" s="6" t="s">
        <v>1689</v>
      </c>
      <c r="K266" s="51">
        <v>8.5</v>
      </c>
      <c r="L266" s="4"/>
      <c r="M266" s="91" t="s">
        <v>1608</v>
      </c>
      <c r="N266" s="51">
        <v>8</v>
      </c>
      <c r="O266" s="4"/>
      <c r="V266"/>
      <c r="W266"/>
      <c r="X266"/>
      <c r="Y266"/>
      <c r="Z266"/>
    </row>
    <row r="267" spans="1:26" ht="16" customHeight="1" x14ac:dyDescent="0.2">
      <c r="A267" s="91" t="s">
        <v>1677</v>
      </c>
      <c r="B267" s="51">
        <v>8.5</v>
      </c>
      <c r="C267" s="4"/>
      <c r="D267" s="271" t="s">
        <v>1700</v>
      </c>
      <c r="E267" s="51">
        <v>8.5</v>
      </c>
      <c r="F267" s="4"/>
      <c r="I267" s="4"/>
      <c r="J267" s="6" t="s">
        <v>1690</v>
      </c>
      <c r="K267" s="51">
        <v>8.5</v>
      </c>
      <c r="L267" s="4"/>
      <c r="M267" s="91" t="s">
        <v>1609</v>
      </c>
      <c r="N267" s="51">
        <v>7.5</v>
      </c>
      <c r="O267" s="4"/>
      <c r="V267"/>
      <c r="W267"/>
      <c r="X267"/>
      <c r="Y267"/>
      <c r="Z267"/>
    </row>
    <row r="268" spans="1:26" ht="16" customHeight="1" x14ac:dyDescent="0.2">
      <c r="A268" s="91" t="s">
        <v>1678</v>
      </c>
      <c r="B268" s="51">
        <v>8</v>
      </c>
      <c r="C268" s="4"/>
      <c r="D268" s="271" t="s">
        <v>1701</v>
      </c>
      <c r="E268" s="51">
        <v>8.5</v>
      </c>
      <c r="F268" s="4"/>
      <c r="I268" s="4"/>
      <c r="J268" s="6" t="s">
        <v>1691</v>
      </c>
      <c r="K268" s="51">
        <v>9</v>
      </c>
      <c r="L268" s="4"/>
      <c r="M268" s="91" t="s">
        <v>1610</v>
      </c>
      <c r="N268" s="51">
        <v>8</v>
      </c>
      <c r="O268" s="4"/>
      <c r="V268"/>
      <c r="W268"/>
      <c r="X268"/>
      <c r="Y268"/>
      <c r="Z268"/>
    </row>
    <row r="269" spans="1:26" ht="16" customHeight="1" x14ac:dyDescent="0.2">
      <c r="A269" s="91" t="s">
        <v>1679</v>
      </c>
      <c r="B269" s="51">
        <v>7.5</v>
      </c>
      <c r="C269" s="4"/>
      <c r="D269" s="271" t="s">
        <v>1702</v>
      </c>
      <c r="E269" s="51">
        <v>8</v>
      </c>
      <c r="F269" s="4"/>
      <c r="I269" s="4"/>
      <c r="J269" s="6" t="s">
        <v>1692</v>
      </c>
      <c r="K269" s="51">
        <v>10</v>
      </c>
      <c r="L269" s="4"/>
      <c r="M269" s="91" t="s">
        <v>1611</v>
      </c>
      <c r="N269" s="51">
        <v>7.5</v>
      </c>
      <c r="O269" s="4"/>
      <c r="V269"/>
      <c r="W269"/>
      <c r="X269"/>
      <c r="Y269"/>
      <c r="Z269"/>
    </row>
    <row r="270" spans="1:26" ht="16" customHeight="1" thickBot="1" x14ac:dyDescent="0.25">
      <c r="A270" s="92" t="s">
        <v>1680</v>
      </c>
      <c r="B270" s="52">
        <v>10</v>
      </c>
      <c r="C270" s="4"/>
      <c r="D270" s="271" t="s">
        <v>1703</v>
      </c>
      <c r="E270" s="51">
        <v>7.5</v>
      </c>
      <c r="F270" s="4"/>
      <c r="I270" s="4"/>
      <c r="J270" s="6" t="s">
        <v>1693</v>
      </c>
      <c r="K270" s="51">
        <v>10.5</v>
      </c>
      <c r="L270" s="4"/>
      <c r="M270" s="91" t="s">
        <v>1612</v>
      </c>
      <c r="N270" s="51">
        <v>7.5</v>
      </c>
      <c r="O270" s="4"/>
      <c r="V270"/>
      <c r="W270"/>
      <c r="X270"/>
      <c r="Y270"/>
      <c r="Z270"/>
    </row>
    <row r="271" spans="1:26" ht="16" customHeight="1" x14ac:dyDescent="0.2">
      <c r="A271" s="4"/>
      <c r="B271" s="4"/>
      <c r="C271" s="4"/>
      <c r="D271" s="271" t="s">
        <v>1704</v>
      </c>
      <c r="E271" s="51">
        <v>9.5</v>
      </c>
      <c r="F271" s="4"/>
      <c r="I271" s="4"/>
      <c r="J271" s="6" t="s">
        <v>1694</v>
      </c>
      <c r="K271" s="51"/>
      <c r="L271" s="4"/>
      <c r="M271" s="91" t="s">
        <v>1613</v>
      </c>
      <c r="N271" s="51">
        <v>7.5</v>
      </c>
      <c r="O271" s="4"/>
      <c r="V271"/>
      <c r="W271"/>
      <c r="X271"/>
      <c r="Y271"/>
      <c r="Z271"/>
    </row>
    <row r="272" spans="1:26" ht="16" customHeight="1" x14ac:dyDescent="0.2">
      <c r="C272" s="4"/>
      <c r="D272" s="271" t="s">
        <v>1705</v>
      </c>
      <c r="E272" s="51">
        <v>10</v>
      </c>
      <c r="F272" s="4"/>
      <c r="I272" s="4"/>
      <c r="J272" s="6" t="s">
        <v>1695</v>
      </c>
      <c r="K272" s="51">
        <v>9</v>
      </c>
      <c r="L272" s="4"/>
      <c r="M272" s="91" t="s">
        <v>1614</v>
      </c>
      <c r="N272" s="51">
        <v>9</v>
      </c>
      <c r="O272" s="4"/>
      <c r="V272"/>
      <c r="W272"/>
      <c r="X272"/>
      <c r="Y272"/>
      <c r="Z272"/>
    </row>
    <row r="273" spans="3:26" ht="16" customHeight="1" x14ac:dyDescent="0.2">
      <c r="C273" s="4"/>
      <c r="D273" s="271" t="s">
        <v>1706</v>
      </c>
      <c r="E273" s="51">
        <v>8</v>
      </c>
      <c r="F273" s="4"/>
      <c r="I273" s="4"/>
      <c r="J273" s="6" t="s">
        <v>1696</v>
      </c>
      <c r="K273" s="51">
        <v>8.5</v>
      </c>
      <c r="L273" s="4"/>
      <c r="M273" s="91" t="s">
        <v>1615</v>
      </c>
      <c r="N273" s="51">
        <v>10</v>
      </c>
      <c r="O273" s="4"/>
      <c r="V273"/>
      <c r="W273"/>
      <c r="X273"/>
      <c r="Y273"/>
      <c r="Z273"/>
    </row>
    <row r="274" spans="3:26" ht="16" customHeight="1" thickBot="1" x14ac:dyDescent="0.25">
      <c r="C274" s="4"/>
      <c r="D274" s="271" t="s">
        <v>1707</v>
      </c>
      <c r="E274" s="51">
        <v>7.5</v>
      </c>
      <c r="F274" s="4"/>
      <c r="I274" s="4"/>
      <c r="J274" s="9" t="s">
        <v>1697</v>
      </c>
      <c r="K274" s="52">
        <v>8.5</v>
      </c>
      <c r="L274" s="4"/>
      <c r="M274" s="91" t="s">
        <v>1616</v>
      </c>
      <c r="N274" s="51">
        <v>9</v>
      </c>
      <c r="O274" s="4"/>
      <c r="V274"/>
      <c r="W274"/>
      <c r="X274"/>
      <c r="Y274"/>
      <c r="Z274"/>
    </row>
    <row r="275" spans="3:26" ht="16" customHeight="1" thickBot="1" x14ac:dyDescent="0.25">
      <c r="C275" s="4"/>
      <c r="D275" s="272" t="s">
        <v>1708</v>
      </c>
      <c r="E275" s="52">
        <v>9</v>
      </c>
      <c r="F275" s="4"/>
      <c r="I275" s="4"/>
      <c r="J275" s="4"/>
      <c r="K275" s="4"/>
      <c r="L275" s="4"/>
      <c r="M275" s="92" t="s">
        <v>1617</v>
      </c>
      <c r="N275" s="52">
        <v>9</v>
      </c>
      <c r="O275" s="4"/>
      <c r="V275"/>
      <c r="W275"/>
      <c r="X275"/>
      <c r="Y275"/>
      <c r="Z275"/>
    </row>
    <row r="276" spans="3:26" ht="16" customHeight="1" x14ac:dyDescent="0.2">
      <c r="C276" s="4"/>
      <c r="D276" s="4"/>
      <c r="E276" s="4"/>
      <c r="F276" s="4"/>
      <c r="L276" s="4"/>
      <c r="M276" s="4"/>
      <c r="N276" s="4"/>
      <c r="O276" s="4"/>
      <c r="V276"/>
      <c r="W276"/>
      <c r="X276"/>
      <c r="Y276"/>
      <c r="Z276"/>
    </row>
    <row r="277" spans="3:26" ht="16" customHeight="1" x14ac:dyDescent="0.2">
      <c r="V277"/>
      <c r="W277"/>
      <c r="X277"/>
      <c r="Y277"/>
      <c r="Z277"/>
    </row>
    <row r="278" spans="3:26" ht="16" customHeight="1" x14ac:dyDescent="0.2">
      <c r="V278"/>
      <c r="W278"/>
      <c r="X278"/>
      <c r="Y278"/>
      <c r="Z278"/>
    </row>
    <row r="279" spans="3:26" ht="16" customHeight="1" x14ac:dyDescent="0.2">
      <c r="V279"/>
      <c r="W279"/>
      <c r="X279"/>
      <c r="Y279"/>
      <c r="Z279"/>
    </row>
    <row r="280" spans="3:26" ht="16" customHeight="1" x14ac:dyDescent="0.2">
      <c r="V280"/>
      <c r="W280"/>
      <c r="X280"/>
      <c r="Y280"/>
      <c r="Z280"/>
    </row>
    <row r="281" spans="3:26" ht="16" customHeight="1" x14ac:dyDescent="0.2">
      <c r="V281"/>
      <c r="W281"/>
      <c r="X281"/>
      <c r="Y281"/>
      <c r="Z281"/>
    </row>
    <row r="282" spans="3:26" ht="16" customHeight="1" x14ac:dyDescent="0.2">
      <c r="V282"/>
      <c r="W282"/>
      <c r="X282"/>
      <c r="Y282"/>
      <c r="Z282"/>
    </row>
    <row r="283" spans="3:26" ht="16" customHeight="1" x14ac:dyDescent="0.2">
      <c r="V283"/>
      <c r="W283"/>
      <c r="X283"/>
      <c r="Y283"/>
      <c r="Z283"/>
    </row>
    <row r="284" spans="3:26" ht="16" customHeight="1" x14ac:dyDescent="0.2">
      <c r="V284"/>
      <c r="W284"/>
      <c r="X284"/>
      <c r="Y284"/>
      <c r="Z284"/>
    </row>
    <row r="285" spans="3:26" ht="16" customHeight="1" x14ac:dyDescent="0.2">
      <c r="V285"/>
      <c r="W285"/>
      <c r="X285"/>
      <c r="Y285"/>
      <c r="Z285"/>
    </row>
    <row r="286" spans="3:26" ht="16" customHeight="1" x14ac:dyDescent="0.2">
      <c r="V286"/>
      <c r="W286"/>
      <c r="X286"/>
      <c r="Y286"/>
      <c r="Z286"/>
    </row>
    <row r="287" spans="3:26" ht="16" customHeight="1" x14ac:dyDescent="0.2">
      <c r="V287"/>
      <c r="W287"/>
      <c r="X287"/>
      <c r="Y287"/>
      <c r="Z287"/>
    </row>
    <row r="288" spans="3:26" ht="16" customHeight="1" x14ac:dyDescent="0.2">
      <c r="V288"/>
      <c r="W288"/>
      <c r="X288"/>
      <c r="Y288"/>
      <c r="Z288"/>
    </row>
    <row r="289" customFormat="1" ht="16" customHeight="1" x14ac:dyDescent="0.2"/>
    <row r="290" customFormat="1" ht="16" customHeight="1" x14ac:dyDescent="0.2"/>
    <row r="291" customFormat="1" ht="16" customHeight="1" x14ac:dyDescent="0.2"/>
    <row r="292" customFormat="1" ht="16" customHeight="1" x14ac:dyDescent="0.2"/>
    <row r="293" customFormat="1" ht="16" customHeight="1" x14ac:dyDescent="0.2"/>
    <row r="294" customFormat="1" ht="16" customHeight="1" x14ac:dyDescent="0.2"/>
    <row r="295" customFormat="1" ht="16" customHeight="1" x14ac:dyDescent="0.2"/>
    <row r="296" customFormat="1" ht="16" customHeight="1" x14ac:dyDescent="0.2"/>
    <row r="297" customFormat="1" ht="16" customHeight="1" x14ac:dyDescent="0.2"/>
    <row r="298" customFormat="1" ht="16" customHeight="1" x14ac:dyDescent="0.2"/>
    <row r="299" customFormat="1" ht="16" customHeight="1" x14ac:dyDescent="0.2"/>
    <row r="300" customFormat="1" ht="16" customHeight="1" x14ac:dyDescent="0.2"/>
    <row r="301" customFormat="1" ht="16" customHeight="1" x14ac:dyDescent="0.2"/>
    <row r="302" customFormat="1" ht="16" customHeight="1" x14ac:dyDescent="0.2"/>
    <row r="303" customFormat="1" ht="16" customHeight="1" x14ac:dyDescent="0.2"/>
    <row r="304" customFormat="1" ht="16" customHeight="1" x14ac:dyDescent="0.2"/>
    <row r="305" customFormat="1" ht="16" customHeight="1" x14ac:dyDescent="0.2"/>
    <row r="306" customFormat="1" ht="16" customHeight="1" x14ac:dyDescent="0.2"/>
    <row r="307" customFormat="1" ht="16" customHeight="1" x14ac:dyDescent="0.2"/>
    <row r="308" customFormat="1" ht="16" customHeight="1" x14ac:dyDescent="0.2"/>
    <row r="309" customFormat="1" ht="16" customHeight="1" x14ac:dyDescent="0.2"/>
    <row r="310" customFormat="1" ht="16" customHeight="1" x14ac:dyDescent="0.2"/>
    <row r="311" customFormat="1" ht="16" customHeight="1" x14ac:dyDescent="0.2"/>
    <row r="312" customFormat="1" ht="16" customHeight="1" x14ac:dyDescent="0.2"/>
    <row r="313" customFormat="1" ht="16" customHeight="1" x14ac:dyDescent="0.2"/>
    <row r="314" customFormat="1" ht="16" customHeight="1" x14ac:dyDescent="0.2"/>
    <row r="315" customFormat="1" ht="16" customHeight="1" x14ac:dyDescent="0.2"/>
    <row r="316" customFormat="1" ht="16" customHeight="1" x14ac:dyDescent="0.2"/>
    <row r="317" customFormat="1" ht="16" customHeight="1" x14ac:dyDescent="0.2"/>
    <row r="318" customFormat="1" ht="16" customHeight="1" x14ac:dyDescent="0.2"/>
    <row r="319" customFormat="1" ht="16" customHeight="1" x14ac:dyDescent="0.2"/>
    <row r="320" customFormat="1" ht="16" customHeight="1" x14ac:dyDescent="0.2"/>
    <row r="321" customFormat="1" ht="16" customHeight="1" x14ac:dyDescent="0.2"/>
    <row r="322" customFormat="1" ht="16" customHeight="1" x14ac:dyDescent="0.2"/>
    <row r="323" customFormat="1" ht="16" customHeight="1" x14ac:dyDescent="0.2"/>
    <row r="324" customFormat="1" ht="16" customHeight="1" x14ac:dyDescent="0.2"/>
    <row r="325" customFormat="1" ht="16" customHeight="1" x14ac:dyDescent="0.2"/>
    <row r="326" customFormat="1" ht="16" customHeight="1" x14ac:dyDescent="0.2"/>
    <row r="327" customFormat="1" ht="16" customHeight="1" x14ac:dyDescent="0.2"/>
    <row r="328" customFormat="1" ht="16" customHeight="1" x14ac:dyDescent="0.2"/>
    <row r="329" customFormat="1" ht="16" customHeight="1" x14ac:dyDescent="0.2"/>
    <row r="330" customFormat="1" ht="16" customHeight="1" x14ac:dyDescent="0.2"/>
    <row r="331" customFormat="1" ht="16" customHeight="1" x14ac:dyDescent="0.2"/>
    <row r="332" customFormat="1" ht="16" customHeight="1" x14ac:dyDescent="0.2"/>
    <row r="333" customFormat="1" ht="16" customHeight="1" x14ac:dyDescent="0.2"/>
    <row r="334" customFormat="1" ht="16" customHeight="1" x14ac:dyDescent="0.2"/>
    <row r="335" customFormat="1" ht="16" customHeight="1" x14ac:dyDescent="0.2"/>
    <row r="336" customFormat="1" ht="16" customHeight="1" x14ac:dyDescent="0.2"/>
    <row r="337" customFormat="1" ht="16" customHeight="1" x14ac:dyDescent="0.2"/>
    <row r="338" customFormat="1" ht="16" customHeight="1" x14ac:dyDescent="0.2"/>
    <row r="339" customFormat="1" ht="16" customHeight="1" x14ac:dyDescent="0.2"/>
    <row r="340" customFormat="1" ht="16" customHeight="1" x14ac:dyDescent="0.2"/>
    <row r="341" customFormat="1" ht="16" customHeight="1" x14ac:dyDescent="0.2"/>
    <row r="342" customFormat="1" ht="16" customHeight="1" x14ac:dyDescent="0.2"/>
    <row r="343" customFormat="1" ht="16" customHeight="1" x14ac:dyDescent="0.2"/>
    <row r="344" customFormat="1" ht="16" customHeight="1" x14ac:dyDescent="0.2"/>
    <row r="345" customFormat="1" ht="16" customHeight="1" x14ac:dyDescent="0.2"/>
    <row r="346" customFormat="1" ht="16" customHeight="1" x14ac:dyDescent="0.2"/>
    <row r="347" customFormat="1" ht="16" customHeight="1" x14ac:dyDescent="0.2"/>
    <row r="348" customFormat="1" ht="16" customHeight="1" x14ac:dyDescent="0.2"/>
    <row r="349" customFormat="1" ht="16" customHeight="1" x14ac:dyDescent="0.2"/>
    <row r="350" customFormat="1" ht="16" customHeight="1" x14ac:dyDescent="0.2"/>
    <row r="351" customFormat="1" ht="16" customHeight="1" x14ac:dyDescent="0.2"/>
    <row r="352" customFormat="1" ht="16" customHeight="1" x14ac:dyDescent="0.2"/>
    <row r="353" customFormat="1" ht="16" customHeight="1" x14ac:dyDescent="0.2"/>
    <row r="354" customFormat="1" ht="16" customHeight="1" x14ac:dyDescent="0.2"/>
    <row r="355" customFormat="1" ht="16" customHeight="1" x14ac:dyDescent="0.2"/>
    <row r="356" customFormat="1" ht="16" customHeight="1" x14ac:dyDescent="0.2"/>
    <row r="357" customFormat="1" ht="16" customHeight="1" x14ac:dyDescent="0.2"/>
    <row r="358" customFormat="1" ht="16" customHeight="1" x14ac:dyDescent="0.2"/>
    <row r="359" customFormat="1" ht="16" customHeight="1" x14ac:dyDescent="0.2"/>
    <row r="360" customFormat="1" ht="16" customHeight="1" x14ac:dyDescent="0.2"/>
    <row r="361" customFormat="1" ht="16" customHeight="1" x14ac:dyDescent="0.2"/>
    <row r="362" customFormat="1" ht="16" customHeight="1" x14ac:dyDescent="0.2"/>
    <row r="363" customFormat="1" ht="16" customHeight="1" x14ac:dyDescent="0.2"/>
    <row r="364" customFormat="1" ht="16" customHeight="1" x14ac:dyDescent="0.2"/>
    <row r="365" customFormat="1" ht="16" customHeight="1" x14ac:dyDescent="0.2"/>
    <row r="366" customFormat="1" ht="16" customHeight="1" x14ac:dyDescent="0.2"/>
    <row r="367" customFormat="1" ht="16" customHeight="1" x14ac:dyDescent="0.2"/>
    <row r="368" customFormat="1" ht="16" customHeight="1" x14ac:dyDescent="0.2"/>
    <row r="369" customFormat="1" ht="16" customHeight="1" x14ac:dyDescent="0.2"/>
    <row r="370" customFormat="1" ht="16" customHeight="1" x14ac:dyDescent="0.2"/>
    <row r="371" customFormat="1" ht="16" customHeight="1" x14ac:dyDescent="0.2"/>
    <row r="372" customFormat="1" ht="16" customHeight="1" x14ac:dyDescent="0.2"/>
    <row r="373" customFormat="1" ht="16" customHeight="1" x14ac:dyDescent="0.2"/>
    <row r="374" customFormat="1" ht="16" customHeight="1" x14ac:dyDescent="0.2"/>
    <row r="375" customFormat="1" ht="16" customHeight="1" x14ac:dyDescent="0.2"/>
    <row r="376" customFormat="1" ht="16" customHeight="1" x14ac:dyDescent="0.2"/>
    <row r="377" customFormat="1" ht="16" customHeight="1" x14ac:dyDescent="0.2"/>
    <row r="378" customFormat="1" ht="16" customHeight="1" x14ac:dyDescent="0.2"/>
    <row r="379" customFormat="1" ht="16" customHeight="1" x14ac:dyDescent="0.2"/>
    <row r="380" customFormat="1" ht="16" customHeight="1" x14ac:dyDescent="0.2"/>
    <row r="381" customFormat="1" ht="16" customHeight="1" x14ac:dyDescent="0.2"/>
    <row r="382" customFormat="1" ht="16" customHeight="1" x14ac:dyDescent="0.2"/>
    <row r="383" customFormat="1" ht="16" customHeight="1" x14ac:dyDescent="0.2"/>
    <row r="384" customFormat="1" ht="16" customHeight="1" x14ac:dyDescent="0.2"/>
    <row r="385" customFormat="1" ht="16" customHeight="1" x14ac:dyDescent="0.2"/>
    <row r="386" customFormat="1" ht="16" customHeight="1" x14ac:dyDescent="0.2"/>
    <row r="387" customFormat="1" ht="16" customHeight="1" x14ac:dyDescent="0.2"/>
    <row r="388" customFormat="1" ht="16" customHeight="1" x14ac:dyDescent="0.2"/>
    <row r="389" customFormat="1" ht="16" customHeight="1" x14ac:dyDescent="0.2"/>
    <row r="390" customFormat="1" ht="16" customHeight="1" x14ac:dyDescent="0.2"/>
    <row r="391" customFormat="1" ht="16" customHeight="1" x14ac:dyDescent="0.2"/>
    <row r="392" customFormat="1" ht="16" customHeight="1" x14ac:dyDescent="0.2"/>
    <row r="393" customFormat="1" ht="16" customHeight="1" x14ac:dyDescent="0.2"/>
    <row r="394" customFormat="1" ht="16" customHeight="1" x14ac:dyDescent="0.2"/>
    <row r="395" customFormat="1" ht="16" customHeight="1" x14ac:dyDescent="0.2"/>
    <row r="396" customFormat="1" ht="16" customHeight="1" x14ac:dyDescent="0.2"/>
    <row r="397" customFormat="1" ht="16" customHeight="1" x14ac:dyDescent="0.2"/>
    <row r="398" customFormat="1" ht="16" customHeight="1" x14ac:dyDescent="0.2"/>
    <row r="399" customFormat="1" ht="16" customHeight="1" x14ac:dyDescent="0.2"/>
    <row r="400" customFormat="1" ht="16" customHeight="1" x14ac:dyDescent="0.2"/>
    <row r="401" customFormat="1" ht="16" customHeight="1" x14ac:dyDescent="0.2"/>
    <row r="402" customFormat="1" ht="16" customHeight="1" x14ac:dyDescent="0.2"/>
    <row r="403" customFormat="1" ht="16" customHeight="1" x14ac:dyDescent="0.2"/>
    <row r="404" customFormat="1" ht="16" customHeight="1" x14ac:dyDescent="0.2"/>
    <row r="405" customFormat="1" ht="16" customHeight="1" x14ac:dyDescent="0.2"/>
    <row r="406" customFormat="1" ht="16" customHeight="1" x14ac:dyDescent="0.2"/>
    <row r="407" customFormat="1" ht="16" customHeight="1" x14ac:dyDescent="0.2"/>
    <row r="408" customFormat="1" ht="16" customHeight="1" x14ac:dyDescent="0.2"/>
    <row r="409" customFormat="1" ht="16" customHeight="1" x14ac:dyDescent="0.2"/>
    <row r="410" customFormat="1" ht="16" customHeight="1" x14ac:dyDescent="0.2"/>
    <row r="411" customFormat="1" ht="16" customHeight="1" x14ac:dyDescent="0.2"/>
    <row r="412" customFormat="1" ht="16" customHeight="1" x14ac:dyDescent="0.2"/>
    <row r="413" customFormat="1" ht="16" customHeight="1" x14ac:dyDescent="0.2"/>
    <row r="414" customFormat="1" ht="16" customHeight="1" x14ac:dyDescent="0.2"/>
    <row r="415" customFormat="1" ht="16" customHeight="1" x14ac:dyDescent="0.2"/>
    <row r="416" customFormat="1" ht="16" customHeight="1" x14ac:dyDescent="0.2"/>
    <row r="417" customFormat="1" ht="16" customHeight="1" x14ac:dyDescent="0.2"/>
    <row r="418" customFormat="1" ht="16" customHeight="1" x14ac:dyDescent="0.2"/>
    <row r="419" customFormat="1" ht="16" customHeight="1" x14ac:dyDescent="0.2"/>
    <row r="420" customFormat="1" ht="16" customHeight="1" x14ac:dyDescent="0.2"/>
    <row r="421" customFormat="1" ht="16" customHeight="1" x14ac:dyDescent="0.2"/>
    <row r="422" customFormat="1" ht="16" customHeight="1" x14ac:dyDescent="0.2"/>
    <row r="423" customFormat="1" ht="16" customHeight="1" x14ac:dyDescent="0.2"/>
    <row r="424" customFormat="1" ht="16" customHeight="1" x14ac:dyDescent="0.2"/>
    <row r="425" customFormat="1" ht="16" customHeight="1" x14ac:dyDescent="0.2"/>
    <row r="426" customFormat="1" ht="16" customHeight="1" x14ac:dyDescent="0.2"/>
    <row r="427" customFormat="1" ht="16" customHeight="1" x14ac:dyDescent="0.2"/>
    <row r="428" customFormat="1" ht="16" customHeight="1" x14ac:dyDescent="0.2"/>
    <row r="429" customFormat="1" ht="16" customHeight="1" x14ac:dyDescent="0.2"/>
    <row r="430" customFormat="1" ht="16" customHeight="1" x14ac:dyDescent="0.2"/>
    <row r="431" customFormat="1" ht="16" customHeight="1" x14ac:dyDescent="0.2"/>
    <row r="432" customFormat="1" ht="16" customHeight="1" x14ac:dyDescent="0.2"/>
    <row r="433" customFormat="1" ht="16" customHeight="1" x14ac:dyDescent="0.2"/>
    <row r="434" customFormat="1" ht="16" customHeight="1" x14ac:dyDescent="0.2"/>
    <row r="435" customFormat="1" ht="16" customHeight="1" x14ac:dyDescent="0.2"/>
    <row r="436" customFormat="1" ht="16" customHeight="1" x14ac:dyDescent="0.2"/>
    <row r="437" customFormat="1" ht="16" customHeight="1" x14ac:dyDescent="0.2"/>
    <row r="438" customFormat="1" ht="16" customHeight="1" x14ac:dyDescent="0.2"/>
    <row r="439" customFormat="1" ht="16" customHeight="1" x14ac:dyDescent="0.2"/>
    <row r="440" customFormat="1" ht="16" customHeight="1" x14ac:dyDescent="0.2"/>
    <row r="441" customFormat="1" ht="16" customHeight="1" x14ac:dyDescent="0.2"/>
    <row r="442" customFormat="1" ht="16" customHeight="1" x14ac:dyDescent="0.2"/>
    <row r="443" customFormat="1" ht="16" customHeight="1" x14ac:dyDescent="0.2"/>
    <row r="444" customFormat="1" ht="16" customHeight="1" x14ac:dyDescent="0.2"/>
    <row r="445" customFormat="1" ht="16" customHeight="1" x14ac:dyDescent="0.2"/>
    <row r="446" customFormat="1" ht="16" customHeight="1" x14ac:dyDescent="0.2"/>
    <row r="447" customFormat="1" ht="16" customHeight="1" x14ac:dyDescent="0.2"/>
    <row r="448" customFormat="1" ht="16" customHeight="1" x14ac:dyDescent="0.2"/>
    <row r="449" customFormat="1" ht="16" customHeight="1" x14ac:dyDescent="0.2"/>
    <row r="450" customFormat="1" ht="16" customHeight="1" x14ac:dyDescent="0.2"/>
    <row r="451" customFormat="1" ht="16" customHeight="1" x14ac:dyDescent="0.2"/>
    <row r="452" customFormat="1" ht="16" customHeight="1" x14ac:dyDescent="0.2"/>
    <row r="453" customFormat="1" ht="16" customHeight="1" x14ac:dyDescent="0.2"/>
    <row r="454" customFormat="1" ht="16" customHeight="1" x14ac:dyDescent="0.2"/>
    <row r="455" customFormat="1" ht="16" customHeight="1" x14ac:dyDescent="0.2"/>
    <row r="456" customFormat="1" ht="16" customHeight="1" x14ac:dyDescent="0.2"/>
    <row r="457" customFormat="1" ht="16" customHeight="1" x14ac:dyDescent="0.2"/>
    <row r="458" customFormat="1" ht="16" customHeight="1" x14ac:dyDescent="0.2"/>
    <row r="459" customFormat="1" ht="16" customHeight="1" x14ac:dyDescent="0.2"/>
    <row r="460" customFormat="1" ht="16" customHeight="1" x14ac:dyDescent="0.2"/>
    <row r="461" customFormat="1" ht="16" customHeight="1" x14ac:dyDescent="0.2"/>
    <row r="462" customFormat="1" ht="16" customHeight="1" x14ac:dyDescent="0.2"/>
    <row r="463" customFormat="1" ht="16" customHeight="1" x14ac:dyDescent="0.2"/>
    <row r="464" customFormat="1" ht="16" customHeight="1" x14ac:dyDescent="0.2"/>
    <row r="465" customFormat="1" ht="16" customHeight="1" x14ac:dyDescent="0.2"/>
    <row r="466" customFormat="1" ht="16" customHeight="1" x14ac:dyDescent="0.2"/>
    <row r="467" customFormat="1" ht="16" customHeight="1" x14ac:dyDescent="0.2"/>
    <row r="468" customFormat="1" ht="16" customHeight="1" x14ac:dyDescent="0.2"/>
    <row r="469" customFormat="1" ht="16" customHeight="1" x14ac:dyDescent="0.2"/>
    <row r="470" customFormat="1" ht="16" customHeight="1" x14ac:dyDescent="0.2"/>
    <row r="471" customFormat="1" ht="16" customHeight="1" x14ac:dyDescent="0.2"/>
    <row r="472" customFormat="1" ht="16" customHeight="1" x14ac:dyDescent="0.2"/>
    <row r="473" customFormat="1" ht="16" customHeight="1" x14ac:dyDescent="0.2"/>
    <row r="474" customFormat="1" x14ac:dyDescent="0.2"/>
    <row r="475" customFormat="1" x14ac:dyDescent="0.2"/>
    <row r="476" customFormat="1" x14ac:dyDescent="0.2"/>
    <row r="477" customFormat="1" x14ac:dyDescent="0.2"/>
    <row r="478" customFormat="1" x14ac:dyDescent="0.2"/>
    <row r="479" customFormat="1" x14ac:dyDescent="0.2"/>
    <row r="480" customFormat="1" x14ac:dyDescent="0.2"/>
    <row r="481" customFormat="1" x14ac:dyDescent="0.2"/>
    <row r="482" customFormat="1" x14ac:dyDescent="0.2"/>
    <row r="483" customFormat="1" x14ac:dyDescent="0.2"/>
    <row r="484" customFormat="1" x14ac:dyDescent="0.2"/>
    <row r="485" customFormat="1" x14ac:dyDescent="0.2"/>
    <row r="486" customFormat="1" x14ac:dyDescent="0.2"/>
    <row r="487" customFormat="1" x14ac:dyDescent="0.2"/>
    <row r="488" customFormat="1" x14ac:dyDescent="0.2"/>
    <row r="489" customFormat="1" x14ac:dyDescent="0.2"/>
    <row r="490" customFormat="1" x14ac:dyDescent="0.2"/>
    <row r="491" customFormat="1" x14ac:dyDescent="0.2"/>
    <row r="492" customFormat="1" x14ac:dyDescent="0.2"/>
    <row r="493" customFormat="1" x14ac:dyDescent="0.2"/>
    <row r="494" customFormat="1" x14ac:dyDescent="0.2"/>
    <row r="495" customFormat="1" x14ac:dyDescent="0.2"/>
    <row r="496" customFormat="1" x14ac:dyDescent="0.2"/>
    <row r="497" customFormat="1" x14ac:dyDescent="0.2"/>
    <row r="498" customFormat="1" x14ac:dyDescent="0.2"/>
    <row r="499" customFormat="1" x14ac:dyDescent="0.2"/>
    <row r="500" customFormat="1" x14ac:dyDescent="0.2"/>
    <row r="501" customFormat="1" x14ac:dyDescent="0.2"/>
    <row r="502" customFormat="1" x14ac:dyDescent="0.2"/>
    <row r="503" customFormat="1" x14ac:dyDescent="0.2"/>
    <row r="504" customFormat="1" x14ac:dyDescent="0.2"/>
    <row r="505" customFormat="1" x14ac:dyDescent="0.2"/>
    <row r="506" customFormat="1" x14ac:dyDescent="0.2"/>
    <row r="507" customFormat="1" x14ac:dyDescent="0.2"/>
    <row r="508" customFormat="1" x14ac:dyDescent="0.2"/>
    <row r="509" customFormat="1" x14ac:dyDescent="0.2"/>
    <row r="510" customFormat="1" x14ac:dyDescent="0.2"/>
    <row r="511" customFormat="1" x14ac:dyDescent="0.2"/>
    <row r="512" customFormat="1" x14ac:dyDescent="0.2"/>
    <row r="513" customFormat="1" x14ac:dyDescent="0.2"/>
    <row r="514" customFormat="1" x14ac:dyDescent="0.2"/>
    <row r="515" customFormat="1" x14ac:dyDescent="0.2"/>
    <row r="516" customFormat="1" x14ac:dyDescent="0.2"/>
    <row r="517" customFormat="1" x14ac:dyDescent="0.2"/>
    <row r="518" customFormat="1" x14ac:dyDescent="0.2"/>
    <row r="519" customFormat="1" x14ac:dyDescent="0.2"/>
    <row r="520" customFormat="1" x14ac:dyDescent="0.2"/>
    <row r="521" customFormat="1" x14ac:dyDescent="0.2"/>
    <row r="522" customFormat="1" x14ac:dyDescent="0.2"/>
    <row r="523" customFormat="1" x14ac:dyDescent="0.2"/>
    <row r="524" customFormat="1" x14ac:dyDescent="0.2"/>
    <row r="525" customFormat="1" x14ac:dyDescent="0.2"/>
    <row r="526" customFormat="1" x14ac:dyDescent="0.2"/>
    <row r="527" customFormat="1" x14ac:dyDescent="0.2"/>
    <row r="528" customFormat="1" x14ac:dyDescent="0.2"/>
    <row r="529" customFormat="1" x14ac:dyDescent="0.2"/>
    <row r="530" customFormat="1" x14ac:dyDescent="0.2"/>
    <row r="531" customFormat="1" x14ac:dyDescent="0.2"/>
    <row r="532" customFormat="1" x14ac:dyDescent="0.2"/>
    <row r="533" customFormat="1" x14ac:dyDescent="0.2"/>
    <row r="534" customFormat="1" x14ac:dyDescent="0.2"/>
    <row r="535" customFormat="1" x14ac:dyDescent="0.2"/>
    <row r="536" customFormat="1" x14ac:dyDescent="0.2"/>
    <row r="537" customFormat="1" x14ac:dyDescent="0.2"/>
    <row r="538" customFormat="1" x14ac:dyDescent="0.2"/>
    <row r="539" customFormat="1" x14ac:dyDescent="0.2"/>
    <row r="540" customFormat="1" x14ac:dyDescent="0.2"/>
    <row r="541" customFormat="1" x14ac:dyDescent="0.2"/>
    <row r="542" customFormat="1" x14ac:dyDescent="0.2"/>
    <row r="543" customFormat="1" x14ac:dyDescent="0.2"/>
    <row r="544" customFormat="1" x14ac:dyDescent="0.2"/>
    <row r="545" customFormat="1" x14ac:dyDescent="0.2"/>
    <row r="546" customFormat="1" x14ac:dyDescent="0.2"/>
    <row r="547" customFormat="1" x14ac:dyDescent="0.2"/>
    <row r="548" customFormat="1" x14ac:dyDescent="0.2"/>
    <row r="549" customFormat="1" x14ac:dyDescent="0.2"/>
    <row r="550" customFormat="1" x14ac:dyDescent="0.2"/>
    <row r="551" customFormat="1" x14ac:dyDescent="0.2"/>
    <row r="552" customFormat="1" x14ac:dyDescent="0.2"/>
    <row r="553" customFormat="1" x14ac:dyDescent="0.2"/>
    <row r="554" customFormat="1" x14ac:dyDescent="0.2"/>
    <row r="555" customFormat="1" x14ac:dyDescent="0.2"/>
    <row r="556" customFormat="1" x14ac:dyDescent="0.2"/>
    <row r="557" customFormat="1" x14ac:dyDescent="0.2"/>
    <row r="558" customFormat="1" x14ac:dyDescent="0.2"/>
    <row r="559" customFormat="1" x14ac:dyDescent="0.2"/>
    <row r="560" customFormat="1" x14ac:dyDescent="0.2"/>
    <row r="561" customFormat="1" x14ac:dyDescent="0.2"/>
    <row r="562" customFormat="1" x14ac:dyDescent="0.2"/>
    <row r="563" customFormat="1" x14ac:dyDescent="0.2"/>
    <row r="564" customFormat="1" x14ac:dyDescent="0.2"/>
    <row r="565" customFormat="1" x14ac:dyDescent="0.2"/>
    <row r="566" customFormat="1" x14ac:dyDescent="0.2"/>
    <row r="567" customFormat="1" x14ac:dyDescent="0.2"/>
    <row r="568" customFormat="1" x14ac:dyDescent="0.2"/>
    <row r="569" customFormat="1" x14ac:dyDescent="0.2"/>
    <row r="570" customFormat="1" x14ac:dyDescent="0.2"/>
    <row r="571" customFormat="1" x14ac:dyDescent="0.2"/>
    <row r="572" customFormat="1" x14ac:dyDescent="0.2"/>
    <row r="573" customFormat="1" x14ac:dyDescent="0.2"/>
    <row r="574" customFormat="1" x14ac:dyDescent="0.2"/>
    <row r="575" customFormat="1" x14ac:dyDescent="0.2"/>
    <row r="576" customFormat="1" x14ac:dyDescent="0.2"/>
    <row r="577" customFormat="1" x14ac:dyDescent="0.2"/>
    <row r="578" customFormat="1" x14ac:dyDescent="0.2"/>
    <row r="579" customFormat="1" x14ac:dyDescent="0.2"/>
    <row r="580" customFormat="1" x14ac:dyDescent="0.2"/>
    <row r="581" customFormat="1" x14ac:dyDescent="0.2"/>
    <row r="582" customFormat="1" x14ac:dyDescent="0.2"/>
    <row r="583" customFormat="1" x14ac:dyDescent="0.2"/>
    <row r="584" customFormat="1" x14ac:dyDescent="0.2"/>
    <row r="585" customFormat="1" x14ac:dyDescent="0.2"/>
    <row r="586" customFormat="1" x14ac:dyDescent="0.2"/>
    <row r="587" customFormat="1" x14ac:dyDescent="0.2"/>
    <row r="588" customFormat="1" x14ac:dyDescent="0.2"/>
    <row r="589" customFormat="1" x14ac:dyDescent="0.2"/>
    <row r="590" customFormat="1" x14ac:dyDescent="0.2"/>
    <row r="591" customFormat="1" x14ac:dyDescent="0.2"/>
    <row r="592" customFormat="1" x14ac:dyDescent="0.2"/>
    <row r="593" customFormat="1" x14ac:dyDescent="0.2"/>
    <row r="594" customFormat="1" x14ac:dyDescent="0.2"/>
    <row r="595" customFormat="1" x14ac:dyDescent="0.2"/>
    <row r="596" customFormat="1" x14ac:dyDescent="0.2"/>
    <row r="597" customFormat="1" x14ac:dyDescent="0.2"/>
    <row r="598" customFormat="1" x14ac:dyDescent="0.2"/>
    <row r="599" customFormat="1" x14ac:dyDescent="0.2"/>
    <row r="600" customFormat="1" x14ac:dyDescent="0.2"/>
    <row r="601" customFormat="1" x14ac:dyDescent="0.2"/>
    <row r="602" customFormat="1" x14ac:dyDescent="0.2"/>
    <row r="603" customFormat="1" x14ac:dyDescent="0.2"/>
    <row r="604" customFormat="1" x14ac:dyDescent="0.2"/>
    <row r="605" customFormat="1" x14ac:dyDescent="0.2"/>
    <row r="606" customFormat="1" x14ac:dyDescent="0.2"/>
    <row r="607" customFormat="1" x14ac:dyDescent="0.2"/>
    <row r="608" customFormat="1" x14ac:dyDescent="0.2"/>
    <row r="609" customFormat="1" x14ac:dyDescent="0.2"/>
    <row r="610" customFormat="1" x14ac:dyDescent="0.2"/>
    <row r="611" customFormat="1" x14ac:dyDescent="0.2"/>
    <row r="612" customFormat="1" x14ac:dyDescent="0.2"/>
    <row r="613" customFormat="1" x14ac:dyDescent="0.2"/>
    <row r="614" customFormat="1" x14ac:dyDescent="0.2"/>
    <row r="615" customFormat="1" x14ac:dyDescent="0.2"/>
    <row r="616" customFormat="1" x14ac:dyDescent="0.2"/>
    <row r="617" customFormat="1" x14ac:dyDescent="0.2"/>
    <row r="618" customFormat="1" x14ac:dyDescent="0.2"/>
    <row r="619" customFormat="1" x14ac:dyDescent="0.2"/>
    <row r="620" customFormat="1" x14ac:dyDescent="0.2"/>
    <row r="621" customFormat="1" x14ac:dyDescent="0.2"/>
    <row r="622" customFormat="1" x14ac:dyDescent="0.2"/>
    <row r="623" customFormat="1" x14ac:dyDescent="0.2"/>
    <row r="624" customFormat="1" x14ac:dyDescent="0.2"/>
    <row r="625" customFormat="1" x14ac:dyDescent="0.2"/>
    <row r="626" customFormat="1" x14ac:dyDescent="0.2"/>
    <row r="627" customFormat="1" x14ac:dyDescent="0.2"/>
    <row r="628" customFormat="1" x14ac:dyDescent="0.2"/>
    <row r="629" customFormat="1" x14ac:dyDescent="0.2"/>
    <row r="630" customFormat="1" x14ac:dyDescent="0.2"/>
    <row r="631" customFormat="1" x14ac:dyDescent="0.2"/>
    <row r="632" customFormat="1" x14ac:dyDescent="0.2"/>
    <row r="633" customFormat="1" x14ac:dyDescent="0.2"/>
    <row r="634" customFormat="1" x14ac:dyDescent="0.2"/>
    <row r="635" customFormat="1" x14ac:dyDescent="0.2"/>
    <row r="636" customFormat="1" x14ac:dyDescent="0.2"/>
    <row r="637" customFormat="1" x14ac:dyDescent="0.2"/>
    <row r="638" customFormat="1" x14ac:dyDescent="0.2"/>
    <row r="639" customFormat="1" x14ac:dyDescent="0.2"/>
    <row r="640" customFormat="1" x14ac:dyDescent="0.2"/>
    <row r="641" customFormat="1" x14ac:dyDescent="0.2"/>
    <row r="642" customFormat="1" x14ac:dyDescent="0.2"/>
    <row r="643" customFormat="1" x14ac:dyDescent="0.2"/>
    <row r="644" customFormat="1" x14ac:dyDescent="0.2"/>
    <row r="645" customFormat="1" x14ac:dyDescent="0.2"/>
    <row r="646" customFormat="1" x14ac:dyDescent="0.2"/>
    <row r="647" customFormat="1" x14ac:dyDescent="0.2"/>
    <row r="648" customFormat="1" x14ac:dyDescent="0.2"/>
    <row r="649" customFormat="1" x14ac:dyDescent="0.2"/>
    <row r="650" customFormat="1" x14ac:dyDescent="0.2"/>
    <row r="651" customFormat="1" x14ac:dyDescent="0.2"/>
    <row r="652" customFormat="1" x14ac:dyDescent="0.2"/>
    <row r="653" customFormat="1" x14ac:dyDescent="0.2"/>
    <row r="654" customFormat="1" x14ac:dyDescent="0.2"/>
    <row r="655" customFormat="1" x14ac:dyDescent="0.2"/>
    <row r="656" customFormat="1" x14ac:dyDescent="0.2"/>
    <row r="657" customFormat="1" x14ac:dyDescent="0.2"/>
    <row r="658" customFormat="1" x14ac:dyDescent="0.2"/>
    <row r="659" customFormat="1" x14ac:dyDescent="0.2"/>
    <row r="660" customFormat="1" x14ac:dyDescent="0.2"/>
    <row r="661" customFormat="1" x14ac:dyDescent="0.2"/>
    <row r="662" customFormat="1" x14ac:dyDescent="0.2"/>
    <row r="663" customFormat="1" x14ac:dyDescent="0.2"/>
    <row r="664" customFormat="1" x14ac:dyDescent="0.2"/>
    <row r="665" customFormat="1" x14ac:dyDescent="0.2"/>
    <row r="666" customFormat="1" x14ac:dyDescent="0.2"/>
    <row r="667" customFormat="1" x14ac:dyDescent="0.2"/>
    <row r="668" customFormat="1" x14ac:dyDescent="0.2"/>
    <row r="669" customFormat="1" x14ac:dyDescent="0.2"/>
    <row r="670" customFormat="1" x14ac:dyDescent="0.2"/>
    <row r="671" customFormat="1" x14ac:dyDescent="0.2"/>
    <row r="672" customFormat="1" x14ac:dyDescent="0.2"/>
    <row r="673" customFormat="1" x14ac:dyDescent="0.2"/>
    <row r="674" customFormat="1" x14ac:dyDescent="0.2"/>
    <row r="675" customFormat="1" x14ac:dyDescent="0.2"/>
    <row r="676" customFormat="1" x14ac:dyDescent="0.2"/>
    <row r="677" customFormat="1" x14ac:dyDescent="0.2"/>
    <row r="678" customFormat="1" x14ac:dyDescent="0.2"/>
    <row r="679" customFormat="1" x14ac:dyDescent="0.2"/>
    <row r="680" customFormat="1" x14ac:dyDescent="0.2"/>
    <row r="681" customFormat="1" x14ac:dyDescent="0.2"/>
    <row r="682" customFormat="1" x14ac:dyDescent="0.2"/>
    <row r="683" customFormat="1" x14ac:dyDescent="0.2"/>
    <row r="684" customFormat="1" x14ac:dyDescent="0.2"/>
    <row r="685" customFormat="1" x14ac:dyDescent="0.2"/>
    <row r="686" customFormat="1" x14ac:dyDescent="0.2"/>
    <row r="687" customFormat="1" x14ac:dyDescent="0.2"/>
    <row r="688" customFormat="1" x14ac:dyDescent="0.2"/>
    <row r="689" customFormat="1" x14ac:dyDescent="0.2"/>
    <row r="690" customFormat="1" x14ac:dyDescent="0.2"/>
    <row r="691" customFormat="1" x14ac:dyDescent="0.2"/>
    <row r="692" customFormat="1" x14ac:dyDescent="0.2"/>
    <row r="693" customFormat="1" x14ac:dyDescent="0.2"/>
    <row r="694" customFormat="1" x14ac:dyDescent="0.2"/>
    <row r="695" customFormat="1" x14ac:dyDescent="0.2"/>
    <row r="696" customFormat="1" x14ac:dyDescent="0.2"/>
    <row r="697" customFormat="1" x14ac:dyDescent="0.2"/>
    <row r="698" customFormat="1" x14ac:dyDescent="0.2"/>
    <row r="699" customFormat="1" x14ac:dyDescent="0.2"/>
    <row r="700" customFormat="1" x14ac:dyDescent="0.2"/>
    <row r="701" customFormat="1" x14ac:dyDescent="0.2"/>
    <row r="702" customFormat="1" x14ac:dyDescent="0.2"/>
    <row r="703" customFormat="1" x14ac:dyDescent="0.2"/>
    <row r="704" customFormat="1" x14ac:dyDescent="0.2"/>
    <row r="705" customFormat="1" x14ac:dyDescent="0.2"/>
    <row r="706" customFormat="1" x14ac:dyDescent="0.2"/>
    <row r="707" customFormat="1" x14ac:dyDescent="0.2"/>
    <row r="708" customFormat="1" x14ac:dyDescent="0.2"/>
    <row r="709" customFormat="1" x14ac:dyDescent="0.2"/>
    <row r="710" customFormat="1" x14ac:dyDescent="0.2"/>
    <row r="711" customFormat="1" x14ac:dyDescent="0.2"/>
    <row r="712" customFormat="1" x14ac:dyDescent="0.2"/>
    <row r="713" customFormat="1" x14ac:dyDescent="0.2"/>
    <row r="714" customFormat="1" x14ac:dyDescent="0.2"/>
    <row r="715" customFormat="1" x14ac:dyDescent="0.2"/>
    <row r="716" customFormat="1" x14ac:dyDescent="0.2"/>
    <row r="717" customFormat="1" x14ac:dyDescent="0.2"/>
    <row r="718" customFormat="1" x14ac:dyDescent="0.2"/>
    <row r="719" customFormat="1" x14ac:dyDescent="0.2"/>
    <row r="720" customFormat="1" x14ac:dyDescent="0.2"/>
    <row r="721" customFormat="1" x14ac:dyDescent="0.2"/>
    <row r="722" customFormat="1" x14ac:dyDescent="0.2"/>
    <row r="723" customFormat="1" x14ac:dyDescent="0.2"/>
    <row r="724" customFormat="1" x14ac:dyDescent="0.2"/>
    <row r="725" customFormat="1" x14ac:dyDescent="0.2"/>
    <row r="726" customFormat="1" x14ac:dyDescent="0.2"/>
    <row r="727" customFormat="1" x14ac:dyDescent="0.2"/>
    <row r="728" customFormat="1" x14ac:dyDescent="0.2"/>
    <row r="729" customFormat="1" x14ac:dyDescent="0.2"/>
    <row r="730" customFormat="1" x14ac:dyDescent="0.2"/>
    <row r="731" customFormat="1" x14ac:dyDescent="0.2"/>
    <row r="732" customFormat="1" x14ac:dyDescent="0.2"/>
    <row r="733" customFormat="1" x14ac:dyDescent="0.2"/>
    <row r="734" customFormat="1" x14ac:dyDescent="0.2"/>
    <row r="735" customFormat="1" x14ac:dyDescent="0.2"/>
    <row r="736" customFormat="1" x14ac:dyDescent="0.2"/>
    <row r="737" customFormat="1" x14ac:dyDescent="0.2"/>
    <row r="738" customFormat="1" x14ac:dyDescent="0.2"/>
    <row r="739" customFormat="1" x14ac:dyDescent="0.2"/>
    <row r="740" customFormat="1" x14ac:dyDescent="0.2"/>
    <row r="741" customFormat="1" x14ac:dyDescent="0.2"/>
    <row r="742" customFormat="1" x14ac:dyDescent="0.2"/>
    <row r="743" customFormat="1" x14ac:dyDescent="0.2"/>
    <row r="744" customFormat="1" x14ac:dyDescent="0.2"/>
    <row r="745" customFormat="1" x14ac:dyDescent="0.2"/>
    <row r="746" customFormat="1" x14ac:dyDescent="0.2"/>
    <row r="747" customFormat="1" x14ac:dyDescent="0.2"/>
    <row r="748" customFormat="1" x14ac:dyDescent="0.2"/>
    <row r="749" customFormat="1" x14ac:dyDescent="0.2"/>
    <row r="750" customFormat="1" x14ac:dyDescent="0.2"/>
    <row r="751" customFormat="1" x14ac:dyDescent="0.2"/>
    <row r="752" customFormat="1" x14ac:dyDescent="0.2"/>
    <row r="753" customFormat="1" x14ac:dyDescent="0.2"/>
    <row r="754" customFormat="1" x14ac:dyDescent="0.2"/>
    <row r="755" customFormat="1" x14ac:dyDescent="0.2"/>
    <row r="756" customFormat="1" x14ac:dyDescent="0.2"/>
    <row r="757" customFormat="1" x14ac:dyDescent="0.2"/>
    <row r="758" customFormat="1" x14ac:dyDescent="0.2"/>
    <row r="759" customFormat="1" x14ac:dyDescent="0.2"/>
    <row r="760" customFormat="1" x14ac:dyDescent="0.2"/>
    <row r="761" customFormat="1" x14ac:dyDescent="0.2"/>
    <row r="762" customFormat="1" x14ac:dyDescent="0.2"/>
    <row r="763" customFormat="1" x14ac:dyDescent="0.2"/>
    <row r="764" customFormat="1" x14ac:dyDescent="0.2"/>
    <row r="765" customFormat="1" x14ac:dyDescent="0.2"/>
    <row r="766" customFormat="1" x14ac:dyDescent="0.2"/>
    <row r="767" customFormat="1" x14ac:dyDescent="0.2"/>
    <row r="768" customFormat="1" x14ac:dyDescent="0.2"/>
    <row r="769" customFormat="1" x14ac:dyDescent="0.2"/>
    <row r="770" customFormat="1" x14ac:dyDescent="0.2"/>
    <row r="771" customFormat="1" x14ac:dyDescent="0.2"/>
    <row r="772" customFormat="1" x14ac:dyDescent="0.2"/>
    <row r="773" customFormat="1" x14ac:dyDescent="0.2"/>
    <row r="774" customFormat="1" x14ac:dyDescent="0.2"/>
    <row r="775" customFormat="1" x14ac:dyDescent="0.2"/>
    <row r="776" customFormat="1" x14ac:dyDescent="0.2"/>
    <row r="777" customFormat="1" x14ac:dyDescent="0.2"/>
    <row r="778" customFormat="1" x14ac:dyDescent="0.2"/>
    <row r="779" customFormat="1" x14ac:dyDescent="0.2"/>
    <row r="780" customFormat="1" x14ac:dyDescent="0.2"/>
    <row r="781" customFormat="1" x14ac:dyDescent="0.2"/>
    <row r="782" customFormat="1" x14ac:dyDescent="0.2"/>
    <row r="783" customFormat="1" x14ac:dyDescent="0.2"/>
    <row r="784" customFormat="1" x14ac:dyDescent="0.2"/>
    <row r="785" customFormat="1" x14ac:dyDescent="0.2"/>
    <row r="786" customFormat="1" x14ac:dyDescent="0.2"/>
    <row r="787" customFormat="1" x14ac:dyDescent="0.2"/>
    <row r="788" customFormat="1" x14ac:dyDescent="0.2"/>
    <row r="789" customFormat="1" x14ac:dyDescent="0.2"/>
    <row r="790" customFormat="1" x14ac:dyDescent="0.2"/>
    <row r="791" customFormat="1" x14ac:dyDescent="0.2"/>
    <row r="792" customFormat="1" x14ac:dyDescent="0.2"/>
    <row r="793" customFormat="1" x14ac:dyDescent="0.2"/>
    <row r="794" customFormat="1" x14ac:dyDescent="0.2"/>
    <row r="795" customFormat="1" x14ac:dyDescent="0.2"/>
    <row r="796" customFormat="1" x14ac:dyDescent="0.2"/>
    <row r="797" customFormat="1" x14ac:dyDescent="0.2"/>
    <row r="798" customFormat="1" x14ac:dyDescent="0.2"/>
    <row r="799" customFormat="1" x14ac:dyDescent="0.2"/>
    <row r="800" customFormat="1" x14ac:dyDescent="0.2"/>
    <row r="801" customFormat="1" x14ac:dyDescent="0.2"/>
    <row r="802" customFormat="1" x14ac:dyDescent="0.2"/>
    <row r="803" customFormat="1" x14ac:dyDescent="0.2"/>
    <row r="804" customFormat="1" x14ac:dyDescent="0.2"/>
    <row r="805" customFormat="1" x14ac:dyDescent="0.2"/>
    <row r="806" customFormat="1" x14ac:dyDescent="0.2"/>
    <row r="807" customFormat="1" x14ac:dyDescent="0.2"/>
    <row r="808" customFormat="1" x14ac:dyDescent="0.2"/>
    <row r="809" customFormat="1" x14ac:dyDescent="0.2"/>
    <row r="810" customFormat="1" x14ac:dyDescent="0.2"/>
    <row r="811" customFormat="1" x14ac:dyDescent="0.2"/>
    <row r="812" customFormat="1" x14ac:dyDescent="0.2"/>
    <row r="813" customFormat="1" x14ac:dyDescent="0.2"/>
    <row r="814" customFormat="1" x14ac:dyDescent="0.2"/>
    <row r="815" customFormat="1" x14ac:dyDescent="0.2"/>
    <row r="816" customFormat="1" x14ac:dyDescent="0.2"/>
    <row r="817" customFormat="1" x14ac:dyDescent="0.2"/>
    <row r="818" customFormat="1" x14ac:dyDescent="0.2"/>
    <row r="819" customFormat="1" x14ac:dyDescent="0.2"/>
    <row r="820" customFormat="1" x14ac:dyDescent="0.2"/>
    <row r="821" customFormat="1" x14ac:dyDescent="0.2"/>
    <row r="822" customFormat="1" x14ac:dyDescent="0.2"/>
    <row r="823" customFormat="1" x14ac:dyDescent="0.2"/>
    <row r="824" customFormat="1" x14ac:dyDescent="0.2"/>
    <row r="825" customFormat="1" x14ac:dyDescent="0.2"/>
    <row r="826" customFormat="1" x14ac:dyDescent="0.2"/>
    <row r="827" customFormat="1" x14ac:dyDescent="0.2"/>
    <row r="828" customFormat="1" x14ac:dyDescent="0.2"/>
    <row r="829" customFormat="1" x14ac:dyDescent="0.2"/>
    <row r="830" customFormat="1" x14ac:dyDescent="0.2"/>
    <row r="831" customFormat="1" x14ac:dyDescent="0.2"/>
    <row r="832" customFormat="1" x14ac:dyDescent="0.2"/>
    <row r="833" customFormat="1" x14ac:dyDescent="0.2"/>
    <row r="834" customFormat="1" x14ac:dyDescent="0.2"/>
    <row r="835" customFormat="1" x14ac:dyDescent="0.2"/>
    <row r="836" customFormat="1" x14ac:dyDescent="0.2"/>
    <row r="837" customFormat="1" x14ac:dyDescent="0.2"/>
    <row r="838" customFormat="1" x14ac:dyDescent="0.2"/>
    <row r="839" customFormat="1" x14ac:dyDescent="0.2"/>
    <row r="840" customFormat="1" x14ac:dyDescent="0.2"/>
    <row r="841" customFormat="1" x14ac:dyDescent="0.2"/>
    <row r="842" customFormat="1" x14ac:dyDescent="0.2"/>
    <row r="843" customFormat="1" x14ac:dyDescent="0.2"/>
    <row r="844" customFormat="1" x14ac:dyDescent="0.2"/>
    <row r="845" customFormat="1" x14ac:dyDescent="0.2"/>
    <row r="846" customFormat="1" x14ac:dyDescent="0.2"/>
    <row r="847" customFormat="1" x14ac:dyDescent="0.2"/>
    <row r="848" customFormat="1" x14ac:dyDescent="0.2"/>
    <row r="849" customFormat="1" x14ac:dyDescent="0.2"/>
    <row r="850" customFormat="1" x14ac:dyDescent="0.2"/>
    <row r="851" customFormat="1" x14ac:dyDescent="0.2"/>
    <row r="852" customFormat="1" x14ac:dyDescent="0.2"/>
    <row r="853" customFormat="1" x14ac:dyDescent="0.2"/>
    <row r="854" customFormat="1" x14ac:dyDescent="0.2"/>
    <row r="855" customFormat="1" x14ac:dyDescent="0.2"/>
    <row r="856" customFormat="1" x14ac:dyDescent="0.2"/>
    <row r="857" customFormat="1" x14ac:dyDescent="0.2"/>
    <row r="858" customFormat="1" x14ac:dyDescent="0.2"/>
    <row r="859" customFormat="1" x14ac:dyDescent="0.2"/>
    <row r="860" customFormat="1" x14ac:dyDescent="0.2"/>
    <row r="861" customFormat="1" x14ac:dyDescent="0.2"/>
    <row r="862" customFormat="1" x14ac:dyDescent="0.2"/>
    <row r="863" customFormat="1" x14ac:dyDescent="0.2"/>
    <row r="864" customFormat="1" x14ac:dyDescent="0.2"/>
    <row r="865" customFormat="1" x14ac:dyDescent="0.2"/>
    <row r="866" customFormat="1" x14ac:dyDescent="0.2"/>
    <row r="867" customFormat="1" x14ac:dyDescent="0.2"/>
    <row r="868" customFormat="1" x14ac:dyDescent="0.2"/>
    <row r="869" customFormat="1" x14ac:dyDescent="0.2"/>
    <row r="870" customFormat="1" x14ac:dyDescent="0.2"/>
    <row r="871" customFormat="1" x14ac:dyDescent="0.2"/>
    <row r="872" customFormat="1" x14ac:dyDescent="0.2"/>
    <row r="873" customFormat="1" x14ac:dyDescent="0.2"/>
    <row r="874" customFormat="1" x14ac:dyDescent="0.2"/>
    <row r="875" customFormat="1" x14ac:dyDescent="0.2"/>
    <row r="876" customFormat="1" x14ac:dyDescent="0.2"/>
    <row r="877" customFormat="1" x14ac:dyDescent="0.2"/>
    <row r="878" customFormat="1" x14ac:dyDescent="0.2"/>
    <row r="879" customFormat="1" x14ac:dyDescent="0.2"/>
    <row r="880" customFormat="1" x14ac:dyDescent="0.2"/>
    <row r="881" customFormat="1" x14ac:dyDescent="0.2"/>
    <row r="882" customFormat="1" x14ac:dyDescent="0.2"/>
    <row r="883" customFormat="1" x14ac:dyDescent="0.2"/>
    <row r="884" customFormat="1" x14ac:dyDescent="0.2"/>
    <row r="885" customFormat="1" x14ac:dyDescent="0.2"/>
    <row r="886" customFormat="1" x14ac:dyDescent="0.2"/>
    <row r="887" customFormat="1" x14ac:dyDescent="0.2"/>
    <row r="888" customFormat="1" x14ac:dyDescent="0.2"/>
    <row r="889" customFormat="1" x14ac:dyDescent="0.2"/>
    <row r="890" customFormat="1" x14ac:dyDescent="0.2"/>
    <row r="891" customFormat="1" x14ac:dyDescent="0.2"/>
    <row r="892" customFormat="1" x14ac:dyDescent="0.2"/>
    <row r="893" customFormat="1" x14ac:dyDescent="0.2"/>
    <row r="894" customFormat="1" x14ac:dyDescent="0.2"/>
    <row r="895" customFormat="1" x14ac:dyDescent="0.2"/>
    <row r="896" customFormat="1" x14ac:dyDescent="0.2"/>
    <row r="897" customFormat="1" x14ac:dyDescent="0.2"/>
    <row r="898" customFormat="1" x14ac:dyDescent="0.2"/>
    <row r="899" customFormat="1" x14ac:dyDescent="0.2"/>
    <row r="900" customFormat="1" x14ac:dyDescent="0.2"/>
    <row r="901" customFormat="1" x14ac:dyDescent="0.2"/>
    <row r="902" customFormat="1" x14ac:dyDescent="0.2"/>
    <row r="903" customFormat="1" x14ac:dyDescent="0.2"/>
    <row r="904" customFormat="1" x14ac:dyDescent="0.2"/>
    <row r="905" customFormat="1" x14ac:dyDescent="0.2"/>
    <row r="906" customFormat="1" x14ac:dyDescent="0.2"/>
    <row r="907" customFormat="1" x14ac:dyDescent="0.2"/>
    <row r="908" customFormat="1" x14ac:dyDescent="0.2"/>
    <row r="909" customFormat="1" x14ac:dyDescent="0.2"/>
    <row r="910" customFormat="1" x14ac:dyDescent="0.2"/>
    <row r="911" customFormat="1" x14ac:dyDescent="0.2"/>
    <row r="912" customFormat="1" x14ac:dyDescent="0.2"/>
    <row r="913" customFormat="1" x14ac:dyDescent="0.2"/>
    <row r="914" customFormat="1" x14ac:dyDescent="0.2"/>
    <row r="915" customFormat="1" x14ac:dyDescent="0.2"/>
    <row r="916" customFormat="1" x14ac:dyDescent="0.2"/>
    <row r="917" customFormat="1" x14ac:dyDescent="0.2"/>
    <row r="918" customFormat="1" x14ac:dyDescent="0.2"/>
    <row r="919" customFormat="1" x14ac:dyDescent="0.2"/>
    <row r="920" customFormat="1" x14ac:dyDescent="0.2"/>
    <row r="921" customFormat="1" x14ac:dyDescent="0.2"/>
    <row r="922" customFormat="1" x14ac:dyDescent="0.2"/>
    <row r="923" customFormat="1" x14ac:dyDescent="0.2"/>
    <row r="924" customFormat="1" x14ac:dyDescent="0.2"/>
    <row r="925" customFormat="1" x14ac:dyDescent="0.2"/>
    <row r="926" customFormat="1" x14ac:dyDescent="0.2"/>
    <row r="927" customFormat="1" x14ac:dyDescent="0.2"/>
    <row r="928" customFormat="1" x14ac:dyDescent="0.2"/>
    <row r="929" customFormat="1" x14ac:dyDescent="0.2"/>
    <row r="930" customFormat="1" x14ac:dyDescent="0.2"/>
    <row r="931" customFormat="1" x14ac:dyDescent="0.2"/>
    <row r="932" customFormat="1" x14ac:dyDescent="0.2"/>
    <row r="933" customFormat="1" x14ac:dyDescent="0.2"/>
    <row r="934" customFormat="1" x14ac:dyDescent="0.2"/>
    <row r="935" customFormat="1" x14ac:dyDescent="0.2"/>
    <row r="936" customFormat="1" x14ac:dyDescent="0.2"/>
    <row r="937" customFormat="1" x14ac:dyDescent="0.2"/>
    <row r="938" customFormat="1" x14ac:dyDescent="0.2"/>
    <row r="939" customFormat="1" x14ac:dyDescent="0.2"/>
    <row r="940" customFormat="1" x14ac:dyDescent="0.2"/>
    <row r="941" customFormat="1" x14ac:dyDescent="0.2"/>
    <row r="942" customFormat="1" x14ac:dyDescent="0.2"/>
    <row r="943" customFormat="1" x14ac:dyDescent="0.2"/>
    <row r="944" customFormat="1" x14ac:dyDescent="0.2"/>
    <row r="945" customFormat="1" x14ac:dyDescent="0.2"/>
    <row r="946" customFormat="1" x14ac:dyDescent="0.2"/>
    <row r="947" customFormat="1" x14ac:dyDescent="0.2"/>
    <row r="948" customFormat="1" x14ac:dyDescent="0.2"/>
    <row r="949" customFormat="1" x14ac:dyDescent="0.2"/>
    <row r="950" customFormat="1" x14ac:dyDescent="0.2"/>
    <row r="951" customFormat="1" x14ac:dyDescent="0.2"/>
    <row r="952" customFormat="1" x14ac:dyDescent="0.2"/>
    <row r="953" customFormat="1" x14ac:dyDescent="0.2"/>
    <row r="954" customFormat="1" x14ac:dyDescent="0.2"/>
    <row r="955" customFormat="1" x14ac:dyDescent="0.2"/>
    <row r="956" customFormat="1" x14ac:dyDescent="0.2"/>
    <row r="957" customFormat="1" x14ac:dyDescent="0.2"/>
    <row r="958" customFormat="1" x14ac:dyDescent="0.2"/>
    <row r="959" customFormat="1" x14ac:dyDescent="0.2"/>
    <row r="960" customFormat="1" x14ac:dyDescent="0.2"/>
    <row r="961" customFormat="1" x14ac:dyDescent="0.2"/>
    <row r="962" customFormat="1" x14ac:dyDescent="0.2"/>
    <row r="963" customFormat="1" x14ac:dyDescent="0.2"/>
    <row r="964" customFormat="1" x14ac:dyDescent="0.2"/>
    <row r="965" customFormat="1" x14ac:dyDescent="0.2"/>
    <row r="966" customFormat="1" x14ac:dyDescent="0.2"/>
    <row r="967" customFormat="1" x14ac:dyDescent="0.2"/>
    <row r="968" customFormat="1" x14ac:dyDescent="0.2"/>
    <row r="969" customFormat="1" x14ac:dyDescent="0.2"/>
    <row r="970" customFormat="1" x14ac:dyDescent="0.2"/>
    <row r="971" customFormat="1" x14ac:dyDescent="0.2"/>
    <row r="972" customFormat="1" x14ac:dyDescent="0.2"/>
    <row r="973" customFormat="1" x14ac:dyDescent="0.2"/>
    <row r="974" customFormat="1" x14ac:dyDescent="0.2"/>
    <row r="975" customFormat="1" x14ac:dyDescent="0.2"/>
    <row r="976" customFormat="1" x14ac:dyDescent="0.2"/>
    <row r="977" customFormat="1" x14ac:dyDescent="0.2"/>
    <row r="978" customFormat="1" x14ac:dyDescent="0.2"/>
    <row r="979" customFormat="1" x14ac:dyDescent="0.2"/>
    <row r="980" customFormat="1" x14ac:dyDescent="0.2"/>
    <row r="981" customFormat="1" x14ac:dyDescent="0.2"/>
    <row r="982" customFormat="1" x14ac:dyDescent="0.2"/>
    <row r="983" customFormat="1" x14ac:dyDescent="0.2"/>
    <row r="984" customFormat="1" x14ac:dyDescent="0.2"/>
    <row r="985" customFormat="1" x14ac:dyDescent="0.2"/>
    <row r="986" customFormat="1" x14ac:dyDescent="0.2"/>
    <row r="987" customFormat="1" x14ac:dyDescent="0.2"/>
    <row r="988" customFormat="1" x14ac:dyDescent="0.2"/>
    <row r="989" customFormat="1" x14ac:dyDescent="0.2"/>
    <row r="990" customFormat="1" x14ac:dyDescent="0.2"/>
    <row r="991" customFormat="1" x14ac:dyDescent="0.2"/>
    <row r="992" customFormat="1" x14ac:dyDescent="0.2"/>
    <row r="993" customFormat="1" x14ac:dyDescent="0.2"/>
    <row r="994" customFormat="1" x14ac:dyDescent="0.2"/>
    <row r="995" customFormat="1" x14ac:dyDescent="0.2"/>
    <row r="996" customFormat="1" x14ac:dyDescent="0.2"/>
    <row r="997" customFormat="1" x14ac:dyDescent="0.2"/>
    <row r="998" customFormat="1" x14ac:dyDescent="0.2"/>
    <row r="999" customFormat="1" x14ac:dyDescent="0.2"/>
    <row r="1000" customFormat="1" x14ac:dyDescent="0.2"/>
  </sheetData>
  <sortState xmlns:xlrd2="http://schemas.microsoft.com/office/spreadsheetml/2017/richdata2" ref="AD48:AE101">
    <sortCondition ref="AD48:AD101"/>
  </sortState>
  <mergeCells count="4">
    <mergeCell ref="R125:V125"/>
    <mergeCell ref="AE1:AF1"/>
    <mergeCell ref="R1:AB1"/>
    <mergeCell ref="R109:AB109"/>
  </mergeCells>
  <conditionalFormatting sqref="A2:B2 D2:E2 G2:H2 J2:K2 M2:N2 A16:B16 A26:B26 D14:E14 G17:H17 J14:K14 M14:N14 D29:E29 J25:K25 AQ28:AQ31">
    <cfRule type="colorScale" priority="1313">
      <colorScale>
        <cfvo type="num" val="5"/>
        <cfvo type="num" val="10"/>
        <color rgb="FFFF494D"/>
        <color rgb="FF00FF66"/>
      </colorScale>
    </cfRule>
    <cfRule type="colorScale" priority="13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712" priority="931" operator="between">
      <formula>9</formula>
      <formula>9.9</formula>
    </cfRule>
    <cfRule type="cellIs" dxfId="711" priority="891" operator="between">
      <formula>10.1</formula>
      <formula>10.6</formula>
    </cfRule>
    <cfRule type="containsBlanks" dxfId="710" priority="933" stopIfTrue="1">
      <formula>LEN(TRIM(B3))=0</formula>
    </cfRule>
    <cfRule type="cellIs" dxfId="709" priority="929" operator="between">
      <formula>7</formula>
      <formula>7.9</formula>
    </cfRule>
    <cfRule type="cellIs" dxfId="708" priority="930" stopIfTrue="1" operator="between">
      <formula>8</formula>
      <formula>8.9</formula>
    </cfRule>
    <cfRule type="cellIs" dxfId="707" priority="932" stopIfTrue="1" operator="between">
      <formula>10</formula>
      <formula>10</formula>
    </cfRule>
  </conditionalFormatting>
  <conditionalFormatting sqref="B17:B24">
    <cfRule type="cellIs" dxfId="706" priority="867" operator="between">
      <formula>10.1</formula>
      <formula>10.6</formula>
    </cfRule>
    <cfRule type="cellIs" dxfId="705" priority="868" operator="between">
      <formula>7</formula>
      <formula>7.9</formula>
    </cfRule>
    <cfRule type="cellIs" dxfId="704" priority="869" stopIfTrue="1" operator="between">
      <formula>8</formula>
      <formula>8.9</formula>
    </cfRule>
    <cfRule type="containsBlanks" dxfId="703" priority="872" stopIfTrue="1">
      <formula>LEN(TRIM(B17))=0</formula>
    </cfRule>
    <cfRule type="cellIs" dxfId="702" priority="871" stopIfTrue="1" operator="between">
      <formula>10</formula>
      <formula>10</formula>
    </cfRule>
    <cfRule type="cellIs" dxfId="701" priority="870" operator="between">
      <formula>9</formula>
      <formula>9.9</formula>
    </cfRule>
  </conditionalFormatting>
  <conditionalFormatting sqref="B27:B31">
    <cfRule type="cellIs" dxfId="700" priority="862" operator="between">
      <formula>7</formula>
      <formula>7.9</formula>
    </cfRule>
    <cfRule type="containsBlanks" dxfId="699" priority="866" stopIfTrue="1">
      <formula>LEN(TRIM(B27))=0</formula>
    </cfRule>
    <cfRule type="cellIs" dxfId="698" priority="865" stopIfTrue="1" operator="between">
      <formula>10</formula>
      <formula>10</formula>
    </cfRule>
    <cfRule type="cellIs" dxfId="697" priority="864" operator="between">
      <formula>9</formula>
      <formula>9.9</formula>
    </cfRule>
    <cfRule type="cellIs" dxfId="696" priority="863" stopIfTrue="1" operator="between">
      <formula>8</formula>
      <formula>8.9</formula>
    </cfRule>
    <cfRule type="cellIs" dxfId="695" priority="861" operator="between">
      <formula>10.1</formula>
      <formula>10.6</formula>
    </cfRule>
  </conditionalFormatting>
  <conditionalFormatting sqref="B33">
    <cfRule type="colorScale" priority="1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4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694" priority="855" operator="between">
      <formula>10.1</formula>
      <formula>10.6</formula>
    </cfRule>
    <cfRule type="cellIs" dxfId="693" priority="856" operator="between">
      <formula>7</formula>
      <formula>7.9</formula>
    </cfRule>
    <cfRule type="cellIs" dxfId="692" priority="857" stopIfTrue="1" operator="between">
      <formula>8</formula>
      <formula>8.9</formula>
    </cfRule>
    <cfRule type="cellIs" dxfId="691" priority="858" operator="between">
      <formula>9</formula>
      <formula>9.9</formula>
    </cfRule>
    <cfRule type="cellIs" dxfId="690" priority="859" stopIfTrue="1" operator="between">
      <formula>10</formula>
      <formula>10</formula>
    </cfRule>
    <cfRule type="containsBlanks" dxfId="689" priority="860" stopIfTrue="1">
      <formula>LEN(TRIM(B34))=0</formula>
    </cfRule>
  </conditionalFormatting>
  <conditionalFormatting sqref="B47">
    <cfRule type="colorScale" priority="9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0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688" priority="825" operator="between">
      <formula>10.1</formula>
      <formula>10.6</formula>
    </cfRule>
    <cfRule type="cellIs" dxfId="687" priority="826" operator="between">
      <formula>7</formula>
      <formula>7.9</formula>
    </cfRule>
    <cfRule type="cellIs" dxfId="686" priority="827" stopIfTrue="1" operator="between">
      <formula>8</formula>
      <formula>8.9</formula>
    </cfRule>
    <cfRule type="cellIs" dxfId="685" priority="828" operator="between">
      <formula>9</formula>
      <formula>9.9</formula>
    </cfRule>
    <cfRule type="cellIs" dxfId="684" priority="829" stopIfTrue="1" operator="between">
      <formula>10</formula>
      <formula>10</formula>
    </cfRule>
    <cfRule type="containsBlanks" dxfId="683" priority="830" stopIfTrue="1">
      <formula>LEN(TRIM(B48))=0</formula>
    </cfRule>
  </conditionalFormatting>
  <conditionalFormatting sqref="B59">
    <cfRule type="colorScale" priority="810">
      <colorScale>
        <cfvo type="num" val="5"/>
        <cfvo type="num" val="10"/>
        <color rgb="FFFF494D"/>
        <color rgb="FF00FF66"/>
      </colorScale>
    </cfRule>
    <cfRule type="colorScale" priority="8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682" priority="807" stopIfTrue="1" operator="between">
      <formula>10</formula>
      <formula>10</formula>
    </cfRule>
    <cfRule type="containsBlanks" dxfId="681" priority="808" stopIfTrue="1">
      <formula>LEN(TRIM(B60))=0</formula>
    </cfRule>
    <cfRule type="cellIs" dxfId="680" priority="806" operator="between">
      <formula>9</formula>
      <formula>9.9</formula>
    </cfRule>
    <cfRule type="cellIs" dxfId="679" priority="805" stopIfTrue="1" operator="between">
      <formula>8</formula>
      <formula>8.9</formula>
    </cfRule>
    <cfRule type="cellIs" dxfId="678" priority="804" operator="between">
      <formula>7</formula>
      <formula>7.9</formula>
    </cfRule>
    <cfRule type="cellIs" dxfId="677" priority="803" operator="between">
      <formula>10.1</formula>
      <formula>10.6</formula>
    </cfRule>
  </conditionalFormatting>
  <conditionalFormatting sqref="B70">
    <cfRule type="colorScale" priority="737">
      <colorScale>
        <cfvo type="num" val="5"/>
        <cfvo type="num" val="10"/>
        <color rgb="FFFF494D"/>
        <color rgb="FF00FF66"/>
      </colorScale>
    </cfRule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676" priority="719" stopIfTrue="1" operator="between">
      <formula>8</formula>
      <formula>8.9</formula>
    </cfRule>
    <cfRule type="cellIs" dxfId="675" priority="720" operator="between">
      <formula>9</formula>
      <formula>9.9</formula>
    </cfRule>
    <cfRule type="cellIs" dxfId="674" priority="721" stopIfTrue="1" operator="between">
      <formula>10</formula>
      <formula>10</formula>
    </cfRule>
    <cfRule type="containsBlanks" dxfId="673" priority="722" stopIfTrue="1">
      <formula>LEN(TRIM(B71))=0</formula>
    </cfRule>
    <cfRule type="cellIs" dxfId="672" priority="717" operator="between">
      <formula>10.1</formula>
      <formula>10.6</formula>
    </cfRule>
    <cfRule type="cellIs" dxfId="671" priority="718" operator="between">
      <formula>7</formula>
      <formula>7.9</formula>
    </cfRule>
  </conditionalFormatting>
  <conditionalFormatting sqref="B73">
    <cfRule type="cellIs" dxfId="670" priority="716" operator="between">
      <formula>6</formula>
      <formula>6.9</formula>
    </cfRule>
  </conditionalFormatting>
  <conditionalFormatting sqref="B79">
    <cfRule type="colorScale" priority="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0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669" priority="696" operator="between">
      <formula>9</formula>
      <formula>9.9</formula>
    </cfRule>
    <cfRule type="cellIs" dxfId="668" priority="695" stopIfTrue="1" operator="between">
      <formula>8</formula>
      <formula>8.9</formula>
    </cfRule>
    <cfRule type="cellIs" dxfId="667" priority="694" operator="between">
      <formula>7</formula>
      <formula>7.9</formula>
    </cfRule>
    <cfRule type="cellIs" dxfId="666" priority="697" stopIfTrue="1" operator="between">
      <formula>10</formula>
      <formula>10</formula>
    </cfRule>
    <cfRule type="cellIs" dxfId="665" priority="693" operator="between">
      <formula>10.1</formula>
      <formula>10.6</formula>
    </cfRule>
    <cfRule type="containsBlanks" dxfId="664" priority="698" stopIfTrue="1">
      <formula>LEN(TRIM(B80))=0</formula>
    </cfRule>
  </conditionalFormatting>
  <conditionalFormatting sqref="B93">
    <cfRule type="colorScale" priority="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3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663" priority="648" stopIfTrue="1" operator="between">
      <formula>8</formula>
      <formula>8.9</formula>
    </cfRule>
    <cfRule type="cellIs" dxfId="662" priority="649" operator="between">
      <formula>9</formula>
      <formula>9.9</formula>
    </cfRule>
    <cfRule type="cellIs" dxfId="661" priority="646" operator="between">
      <formula>10.1</formula>
      <formula>10.6</formula>
    </cfRule>
    <cfRule type="cellIs" dxfId="660" priority="647" operator="between">
      <formula>7</formula>
      <formula>7.9</formula>
    </cfRule>
    <cfRule type="containsBlanks" dxfId="659" priority="651" stopIfTrue="1">
      <formula>LEN(TRIM(B94))=0</formula>
    </cfRule>
    <cfRule type="cellIs" dxfId="658" priority="650" stopIfTrue="1" operator="between">
      <formula>10</formula>
      <formula>10</formula>
    </cfRule>
  </conditionalFormatting>
  <conditionalFormatting sqref="B103"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4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ontainsBlanks" dxfId="657" priority="602" stopIfTrue="1">
      <formula>LEN(TRIM(B104))=0</formula>
    </cfRule>
    <cfRule type="cellIs" dxfId="656" priority="601" stopIfTrue="1" operator="between">
      <formula>10</formula>
      <formula>10</formula>
    </cfRule>
    <cfRule type="cellIs" dxfId="655" priority="600" operator="between">
      <formula>9</formula>
      <formula>9.9</formula>
    </cfRule>
    <cfRule type="cellIs" dxfId="654" priority="599" stopIfTrue="1" operator="between">
      <formula>8</formula>
      <formula>8.9</formula>
    </cfRule>
    <cfRule type="cellIs" dxfId="653" priority="598" operator="between">
      <formula>7</formula>
      <formula>7.9</formula>
    </cfRule>
    <cfRule type="cellIs" dxfId="652" priority="597" operator="between">
      <formula>10.1</formula>
      <formula>10.6</formula>
    </cfRule>
  </conditionalFormatting>
  <conditionalFormatting sqref="B114">
    <cfRule type="colorScale" priority="565">
      <colorScale>
        <cfvo type="num" val="5"/>
        <cfvo type="num" val="10"/>
        <color rgb="FFFF494D"/>
        <color rgb="FF00FF66"/>
      </colorScale>
    </cfRule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ontainsBlanks" dxfId="651" priority="557" stopIfTrue="1">
      <formula>LEN(TRIM(B115))=0</formula>
    </cfRule>
    <cfRule type="cellIs" dxfId="650" priority="553" operator="between">
      <formula>7</formula>
      <formula>7.9</formula>
    </cfRule>
    <cfRule type="cellIs" dxfId="649" priority="554" stopIfTrue="1" operator="between">
      <formula>8</formula>
      <formula>8.9</formula>
    </cfRule>
    <cfRule type="cellIs" dxfId="648" priority="555" operator="between">
      <formula>9</formula>
      <formula>9.9</formula>
    </cfRule>
    <cfRule type="cellIs" dxfId="647" priority="556" stopIfTrue="1" operator="between">
      <formula>10</formula>
      <formula>10</formula>
    </cfRule>
    <cfRule type="cellIs" dxfId="646" priority="552" operator="between">
      <formula>10.1</formula>
      <formula>10.6</formula>
    </cfRule>
    <cfRule type="cellIs" dxfId="645" priority="551" operator="between">
      <formula>6</formula>
      <formula>6.9</formula>
    </cfRule>
  </conditionalFormatting>
  <conditionalFormatting sqref="B134">
    <cfRule type="colorScale" priority="4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2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644" priority="479" stopIfTrue="1" operator="between">
      <formula>10</formula>
      <formula>10</formula>
    </cfRule>
    <cfRule type="cellIs" dxfId="643" priority="474" operator="between">
      <formula>6</formula>
      <formula>6.9</formula>
    </cfRule>
    <cfRule type="cellIs" dxfId="642" priority="477" stopIfTrue="1" operator="between">
      <formula>8</formula>
      <formula>8.9</formula>
    </cfRule>
    <cfRule type="cellIs" dxfId="641" priority="475" operator="between">
      <formula>10.1</formula>
      <formula>10.6</formula>
    </cfRule>
    <cfRule type="cellIs" dxfId="640" priority="478" operator="between">
      <formula>9</formula>
      <formula>9.9</formula>
    </cfRule>
    <cfRule type="cellIs" dxfId="639" priority="476" operator="between">
      <formula>7</formula>
      <formula>7.9</formula>
    </cfRule>
    <cfRule type="containsBlanks" dxfId="638" priority="480" stopIfTrue="1">
      <formula>LEN(TRIM(B135))=0</formula>
    </cfRule>
  </conditionalFormatting>
  <conditionalFormatting sqref="B145"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7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637" priority="432" stopIfTrue="1" operator="between">
      <formula>8</formula>
      <formula>8.9</formula>
    </cfRule>
    <cfRule type="cellIs" dxfId="636" priority="430" operator="between">
      <formula>10.1</formula>
      <formula>10.6</formula>
    </cfRule>
    <cfRule type="cellIs" dxfId="635" priority="429" operator="between">
      <formula>6</formula>
      <formula>6.9</formula>
    </cfRule>
    <cfRule type="cellIs" dxfId="634" priority="431" operator="between">
      <formula>7</formula>
      <formula>7.9</formula>
    </cfRule>
    <cfRule type="containsBlanks" dxfId="633" priority="435" stopIfTrue="1">
      <formula>LEN(TRIM(B146))=0</formula>
    </cfRule>
    <cfRule type="cellIs" dxfId="632" priority="434" stopIfTrue="1" operator="between">
      <formula>10</formula>
      <formula>10</formula>
    </cfRule>
    <cfRule type="cellIs" dxfId="631" priority="433" operator="between">
      <formula>9</formula>
      <formula>9.9</formula>
    </cfRule>
  </conditionalFormatting>
  <conditionalFormatting sqref="B162">
    <cfRule type="colorScale" priority="367">
      <colorScale>
        <cfvo type="num" val="5"/>
        <cfvo type="num" val="10"/>
        <color rgb="FFFF494D"/>
        <color rgb="FF00FF66"/>
      </colorScale>
    </cfRule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630" priority="371" stopIfTrue="1" operator="between">
      <formula>8</formula>
      <formula>8.9</formula>
    </cfRule>
    <cfRule type="cellIs" dxfId="629" priority="372" operator="between">
      <formula>9</formula>
      <formula>9.9</formula>
    </cfRule>
    <cfRule type="cellIs" dxfId="628" priority="369" operator="between">
      <formula>10.1</formula>
      <formula>10.6</formula>
    </cfRule>
    <cfRule type="cellIs" dxfId="627" priority="368" operator="between">
      <formula>6</formula>
      <formula>6.9</formula>
    </cfRule>
    <cfRule type="cellIs" dxfId="626" priority="373" stopIfTrue="1" operator="between">
      <formula>10</formula>
      <formula>10</formula>
    </cfRule>
    <cfRule type="containsBlanks" dxfId="625" priority="374" stopIfTrue="1">
      <formula>LEN(TRIM(B163))=0</formula>
    </cfRule>
    <cfRule type="cellIs" dxfId="624" priority="370" operator="between">
      <formula>7</formula>
      <formula>7.9</formula>
    </cfRule>
  </conditionalFormatting>
  <conditionalFormatting sqref="B172">
    <cfRule type="colorScale" priority="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8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623" priority="335" stopIfTrue="1" operator="between">
      <formula>10</formula>
      <formula>10</formula>
    </cfRule>
    <cfRule type="cellIs" dxfId="622" priority="330" operator="between">
      <formula>6</formula>
      <formula>6.9</formula>
    </cfRule>
    <cfRule type="containsBlanks" dxfId="621" priority="336" stopIfTrue="1">
      <formula>LEN(TRIM(B173))=0</formula>
    </cfRule>
    <cfRule type="cellIs" dxfId="620" priority="334" operator="between">
      <formula>9</formula>
      <formula>9.9</formula>
    </cfRule>
    <cfRule type="cellIs" dxfId="619" priority="333" stopIfTrue="1" operator="between">
      <formula>8</formula>
      <formula>8.9</formula>
    </cfRule>
    <cfRule type="cellIs" dxfId="618" priority="331" operator="between">
      <formula>10.1</formula>
      <formula>10.6</formula>
    </cfRule>
    <cfRule type="cellIs" dxfId="617" priority="332" operator="between">
      <formula>7</formula>
      <formula>7.9</formula>
    </cfRule>
  </conditionalFormatting>
  <conditionalFormatting sqref="B185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616" priority="297" stopIfTrue="1" operator="between">
      <formula>10</formula>
      <formula>10</formula>
    </cfRule>
    <cfRule type="containsBlanks" dxfId="615" priority="298" stopIfTrue="1">
      <formula>LEN(TRIM(B186))=0</formula>
    </cfRule>
    <cfRule type="cellIs" dxfId="614" priority="295" stopIfTrue="1" operator="between">
      <formula>8</formula>
      <formula>8.9</formula>
    </cfRule>
    <cfRule type="cellIs" dxfId="613" priority="294" operator="between">
      <formula>7</formula>
      <formula>7.9</formula>
    </cfRule>
    <cfRule type="cellIs" dxfId="612" priority="293" operator="between">
      <formula>10.1</formula>
      <formula>10.6</formula>
    </cfRule>
    <cfRule type="cellIs" dxfId="611" priority="292" operator="between">
      <formula>6</formula>
      <formula>6.9</formula>
    </cfRule>
    <cfRule type="cellIs" dxfId="610" priority="296" operator="between">
      <formula>9</formula>
      <formula>9.9</formula>
    </cfRule>
  </conditionalFormatting>
  <conditionalFormatting sqref="B196">
    <cfRule type="colorScale" priority="242">
      <colorScale>
        <cfvo type="num" val="5"/>
        <cfvo type="num" val="10"/>
        <color rgb="FFFF494D"/>
        <color rgb="FF00FF66"/>
      </colorScale>
    </cfRule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609" priority="243" operator="between">
      <formula>6</formula>
      <formula>6.9</formula>
    </cfRule>
    <cfRule type="cellIs" dxfId="608" priority="244" operator="between">
      <formula>10.1</formula>
      <formula>10.6</formula>
    </cfRule>
    <cfRule type="cellIs" dxfId="607" priority="245" operator="between">
      <formula>7</formula>
      <formula>7.9</formula>
    </cfRule>
    <cfRule type="containsBlanks" dxfId="606" priority="249" stopIfTrue="1">
      <formula>LEN(TRIM(B197))=0</formula>
    </cfRule>
    <cfRule type="cellIs" dxfId="605" priority="248" stopIfTrue="1" operator="between">
      <formula>10</formula>
      <formula>10</formula>
    </cfRule>
    <cfRule type="cellIs" dxfId="604" priority="247" operator="between">
      <formula>9</formula>
      <formula>9.9</formula>
    </cfRule>
    <cfRule type="cellIs" dxfId="603" priority="246" stopIfTrue="1" operator="between">
      <formula>8</formula>
      <formula>8.9</formula>
    </cfRule>
  </conditionalFormatting>
  <conditionalFormatting sqref="B213">
    <cfRule type="colorScale" priority="175">
      <colorScale>
        <cfvo type="num" val="5"/>
        <cfvo type="num" val="10"/>
        <color rgb="FFFF494D"/>
        <color rgb="FF00FF66"/>
      </colorScale>
    </cfRule>
    <cfRule type="colorScale" priority="1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602" priority="172" stopIfTrue="1" operator="between">
      <formula>10</formula>
      <formula>10</formula>
    </cfRule>
    <cfRule type="containsBlanks" dxfId="601" priority="173" stopIfTrue="1">
      <formula>LEN(TRIM(B214))=0</formula>
    </cfRule>
    <cfRule type="cellIs" dxfId="600" priority="167" operator="between">
      <formula>6</formula>
      <formula>6.9</formula>
    </cfRule>
    <cfRule type="cellIs" dxfId="599" priority="168" operator="between">
      <formula>10.1</formula>
      <formula>10.6</formula>
    </cfRule>
    <cfRule type="cellIs" dxfId="598" priority="169" operator="between">
      <formula>7</formula>
      <formula>7.9</formula>
    </cfRule>
    <cfRule type="cellIs" dxfId="597" priority="170" stopIfTrue="1" operator="between">
      <formula>8</formula>
      <formula>8.9</formula>
    </cfRule>
    <cfRule type="cellIs" dxfId="596" priority="171" operator="between">
      <formula>9</formula>
      <formula>9.9</formula>
    </cfRule>
  </conditionalFormatting>
  <conditionalFormatting sqref="B226">
    <cfRule type="colorScale" priority="148">
      <colorScale>
        <cfvo type="num" val="5"/>
        <cfvo type="num" val="10"/>
        <color rgb="FFFF494D"/>
        <color rgb="FF00FF66"/>
      </colorScale>
    </cfRule>
    <cfRule type="colorScale" priority="1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19">
      <colorScale>
        <cfvo type="num" val="5"/>
        <cfvo type="num" val="10"/>
        <color rgb="FFFF494D"/>
        <color rgb="FF00FF66"/>
      </colorScale>
    </cfRule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595" priority="109" stopIfTrue="1" operator="between">
      <formula>10</formula>
      <formula>10</formula>
    </cfRule>
    <cfRule type="cellIs" dxfId="594" priority="104" operator="between">
      <formula>6</formula>
      <formula>6.9</formula>
    </cfRule>
    <cfRule type="cellIs" dxfId="593" priority="105" operator="between">
      <formula>10.1</formula>
      <formula>10.6</formula>
    </cfRule>
    <cfRule type="cellIs" dxfId="592" priority="106" operator="between">
      <formula>7</formula>
      <formula>7.9</formula>
    </cfRule>
    <cfRule type="cellIs" dxfId="591" priority="107" stopIfTrue="1" operator="between">
      <formula>8</formula>
      <formula>8.9</formula>
    </cfRule>
    <cfRule type="containsBlanks" dxfId="590" priority="110" stopIfTrue="1">
      <formula>LEN(TRIM(B236))=0</formula>
    </cfRule>
    <cfRule type="cellIs" dxfId="589" priority="108" operator="between">
      <formula>9</formula>
      <formula>9.9</formula>
    </cfRule>
  </conditionalFormatting>
  <conditionalFormatting sqref="B246"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588" priority="59" operator="between">
      <formula>6</formula>
      <formula>6.9</formula>
    </cfRule>
    <cfRule type="cellIs" dxfId="587" priority="63" operator="between">
      <formula>9</formula>
      <formula>9.9</formula>
    </cfRule>
    <cfRule type="cellIs" dxfId="586" priority="62" stopIfTrue="1" operator="between">
      <formula>8</formula>
      <formula>8.9</formula>
    </cfRule>
    <cfRule type="cellIs" dxfId="585" priority="61" operator="between">
      <formula>7</formula>
      <formula>7.9</formula>
    </cfRule>
    <cfRule type="cellIs" dxfId="584" priority="60" operator="between">
      <formula>10.1</formula>
      <formula>10.6</formula>
    </cfRule>
    <cfRule type="cellIs" dxfId="583" priority="64" stopIfTrue="1" operator="between">
      <formula>10</formula>
      <formula>10</formula>
    </cfRule>
    <cfRule type="containsBlanks" dxfId="582" priority="65" stopIfTrue="1">
      <formula>LEN(TRIM(B247))=0</formula>
    </cfRule>
  </conditionalFormatting>
  <conditionalFormatting sqref="B260">
    <cfRule type="colorScale" priority="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581" priority="24" stopIfTrue="1" operator="between">
      <formula>8</formula>
      <formula>8.9</formula>
    </cfRule>
    <cfRule type="cellIs" dxfId="580" priority="25" operator="between">
      <formula>9</formula>
      <formula>9.9</formula>
    </cfRule>
    <cfRule type="cellIs" dxfId="579" priority="21" operator="between">
      <formula>6</formula>
      <formula>6.9</formula>
    </cfRule>
    <cfRule type="cellIs" dxfId="578" priority="26" stopIfTrue="1" operator="between">
      <formula>10</formula>
      <formula>10</formula>
    </cfRule>
    <cfRule type="containsBlanks" dxfId="577" priority="27" stopIfTrue="1">
      <formula>LEN(TRIM(B261))=0</formula>
    </cfRule>
    <cfRule type="cellIs" dxfId="576" priority="22" operator="between">
      <formula>10.1</formula>
      <formula>10.6</formula>
    </cfRule>
    <cfRule type="cellIs" dxfId="575" priority="23" operator="between">
      <formula>7</formula>
      <formula>7.9</formula>
    </cfRule>
  </conditionalFormatting>
  <conditionalFormatting sqref="E3:E12">
    <cfRule type="cellIs" dxfId="574" priority="887" stopIfTrue="1" operator="between">
      <formula>8</formula>
      <formula>8.9</formula>
    </cfRule>
    <cfRule type="cellIs" dxfId="573" priority="886" operator="between">
      <formula>7</formula>
      <formula>7.9</formula>
    </cfRule>
    <cfRule type="cellIs" dxfId="572" priority="885" operator="between">
      <formula>10.1</formula>
      <formula>10.6</formula>
    </cfRule>
    <cfRule type="cellIs" dxfId="571" priority="888" operator="between">
      <formula>9</formula>
      <formula>9.9</formula>
    </cfRule>
    <cfRule type="cellIs" dxfId="570" priority="889" stopIfTrue="1" operator="between">
      <formula>10</formula>
      <formula>10</formula>
    </cfRule>
    <cfRule type="containsBlanks" dxfId="569" priority="890" stopIfTrue="1">
      <formula>LEN(TRIM(E3))=0</formula>
    </cfRule>
  </conditionalFormatting>
  <conditionalFormatting sqref="E15:E27">
    <cfRule type="cellIs" dxfId="568" priority="196" stopIfTrue="1" operator="between">
      <formula>8</formula>
      <formula>8.9</formula>
    </cfRule>
    <cfRule type="cellIs" dxfId="567" priority="197" operator="between">
      <formula>9</formula>
      <formula>9.9</formula>
    </cfRule>
    <cfRule type="cellIs" dxfId="566" priority="198" stopIfTrue="1" operator="between">
      <formula>10</formula>
      <formula>10</formula>
    </cfRule>
    <cfRule type="containsBlanks" dxfId="565" priority="199" stopIfTrue="1">
      <formula>LEN(TRIM(E15))=0</formula>
    </cfRule>
    <cfRule type="cellIs" dxfId="564" priority="195" operator="between">
      <formula>7</formula>
      <formula>7.9</formula>
    </cfRule>
  </conditionalFormatting>
  <conditionalFormatting sqref="E16">
    <cfRule type="cellIs" dxfId="563" priority="194" operator="between">
      <formula>10.1</formula>
      <formula>10.6</formula>
    </cfRule>
  </conditionalFormatting>
  <conditionalFormatting sqref="E30:E36">
    <cfRule type="cellIs" dxfId="562" priority="850" operator="between">
      <formula>7</formula>
      <formula>7.9</formula>
    </cfRule>
    <cfRule type="cellIs" dxfId="561" priority="853" stopIfTrue="1" operator="between">
      <formula>10</formula>
      <formula>10</formula>
    </cfRule>
    <cfRule type="containsBlanks" dxfId="560" priority="854" stopIfTrue="1">
      <formula>LEN(TRIM(E30))=0</formula>
    </cfRule>
    <cfRule type="cellIs" dxfId="559" priority="852" operator="between">
      <formula>9</formula>
      <formula>9.9</formula>
    </cfRule>
    <cfRule type="cellIs" dxfId="558" priority="849" operator="between">
      <formula>10.1</formula>
      <formula>10.6</formula>
    </cfRule>
    <cfRule type="cellIs" dxfId="557" priority="851" stopIfTrue="1" operator="between">
      <formula>8</formula>
      <formula>8.9</formula>
    </cfRule>
  </conditionalFormatting>
  <conditionalFormatting sqref="E38">
    <cfRule type="colorScale" priority="1250">
      <colorScale>
        <cfvo type="num" val="5"/>
        <cfvo type="num" val="10"/>
        <color rgb="FFFF494D"/>
        <color rgb="FF00FF66"/>
      </colorScale>
    </cfRule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9:E51">
    <cfRule type="cellIs" dxfId="556" priority="961" operator="between">
      <formula>7</formula>
      <formula>7.9</formula>
    </cfRule>
    <cfRule type="cellIs" dxfId="555" priority="962" stopIfTrue="1" operator="between">
      <formula>8</formula>
      <formula>8.9</formula>
    </cfRule>
    <cfRule type="cellIs" dxfId="554" priority="963" operator="between">
      <formula>9</formula>
      <formula>9.9</formula>
    </cfRule>
    <cfRule type="cellIs" dxfId="553" priority="964" stopIfTrue="1" operator="between">
      <formula>10</formula>
      <formula>10</formula>
    </cfRule>
  </conditionalFormatting>
  <conditionalFormatting sqref="E53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552" priority="831" operator="between">
      <formula>10.1</formula>
      <formula>10.6</formula>
    </cfRule>
    <cfRule type="containsBlanks" dxfId="551" priority="836" stopIfTrue="1">
      <formula>LEN(TRIM(E54))=0</formula>
    </cfRule>
    <cfRule type="cellIs" dxfId="550" priority="835" stopIfTrue="1" operator="between">
      <formula>10</formula>
      <formula>10</formula>
    </cfRule>
    <cfRule type="cellIs" dxfId="549" priority="834" operator="between">
      <formula>9</formula>
      <formula>9.9</formula>
    </cfRule>
    <cfRule type="cellIs" dxfId="548" priority="833" stopIfTrue="1" operator="between">
      <formula>8</formula>
      <formula>8.9</formula>
    </cfRule>
    <cfRule type="cellIs" dxfId="547" priority="832" operator="between">
      <formula>7</formula>
      <formula>7.9</formula>
    </cfRule>
  </conditionalFormatting>
  <conditionalFormatting sqref="E64">
    <cfRule type="colorScale" priority="763">
      <colorScale>
        <cfvo type="num" val="5"/>
        <cfvo type="num" val="10"/>
        <color rgb="FFFF494D"/>
        <color rgb="FF00FF66"/>
      </colorScale>
    </cfRule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ellIs" dxfId="546" priority="767" operator="between">
      <formula>9</formula>
      <formula>9.9</formula>
    </cfRule>
    <cfRule type="cellIs" dxfId="545" priority="768" stopIfTrue="1" operator="between">
      <formula>10</formula>
      <formula>10</formula>
    </cfRule>
    <cfRule type="containsBlanks" dxfId="544" priority="769" stopIfTrue="1">
      <formula>LEN(TRIM(E65))=0</formula>
    </cfRule>
    <cfRule type="cellIs" dxfId="543" priority="765" operator="between">
      <formula>7</formula>
      <formula>7.9</formula>
    </cfRule>
    <cfRule type="cellIs" dxfId="542" priority="764" operator="between">
      <formula>10.1</formula>
      <formula>10.6</formula>
    </cfRule>
    <cfRule type="cellIs" dxfId="541" priority="766" stopIfTrue="1" operator="between">
      <formula>8</formula>
      <formula>8.9</formula>
    </cfRule>
  </conditionalFormatting>
  <conditionalFormatting sqref="E79">
    <cfRule type="colorScale" priority="692">
      <colorScale>
        <cfvo type="num" val="5"/>
        <cfvo type="num" val="10"/>
        <color rgb="FFFF494D"/>
        <color rgb="FF00FF66"/>
      </colorScale>
    </cfRule>
    <cfRule type="colorScale" priority="6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ontainsBlanks" dxfId="540" priority="690" stopIfTrue="1">
      <formula>LEN(TRIM(E80))=0</formula>
    </cfRule>
    <cfRule type="cellIs" dxfId="539" priority="688" operator="between">
      <formula>9</formula>
      <formula>9.9</formula>
    </cfRule>
    <cfRule type="cellIs" dxfId="538" priority="686" operator="between">
      <formula>7</formula>
      <formula>7.9</formula>
    </cfRule>
    <cfRule type="cellIs" dxfId="537" priority="687" stopIfTrue="1" operator="between">
      <formula>8</formula>
      <formula>8.9</formula>
    </cfRule>
    <cfRule type="cellIs" dxfId="536" priority="685" operator="between">
      <formula>10.1</formula>
      <formula>10.6</formula>
    </cfRule>
    <cfRule type="cellIs" dxfId="535" priority="689" stopIfTrue="1" operator="between">
      <formula>10</formula>
      <formula>10</formula>
    </cfRule>
  </conditionalFormatting>
  <conditionalFormatting sqref="E100">
    <cfRule type="colorScale" priority="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6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534" priority="609" stopIfTrue="1" operator="between">
      <formula>8</formula>
      <formula>8.9</formula>
    </cfRule>
    <cfRule type="cellIs" dxfId="533" priority="608" operator="between">
      <formula>7</formula>
      <formula>7.9</formula>
    </cfRule>
    <cfRule type="cellIs" dxfId="532" priority="607" operator="between">
      <formula>10.1</formula>
      <formula>10.6</formula>
    </cfRule>
    <cfRule type="cellIs" dxfId="531" priority="610" operator="between">
      <formula>9</formula>
      <formula>9.9</formula>
    </cfRule>
    <cfRule type="containsBlanks" dxfId="530" priority="612" stopIfTrue="1">
      <formula>LEN(TRIM(E101))=0</formula>
    </cfRule>
    <cfRule type="cellIs" dxfId="529" priority="611" stopIfTrue="1" operator="between">
      <formula>10</formula>
      <formula>10</formula>
    </cfRule>
  </conditionalFormatting>
  <conditionalFormatting sqref="E116">
    <cfRule type="colorScale" priority="548">
      <colorScale>
        <cfvo type="num" val="5"/>
        <cfvo type="num" val="10"/>
        <color rgb="FFFF494D"/>
        <color rgb="FF00FF66"/>
      </colorScale>
    </cfRule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7:E125">
    <cfRule type="cellIs" dxfId="528" priority="542" operator="between">
      <formula>7</formula>
      <formula>7.9</formula>
    </cfRule>
    <cfRule type="cellIs" dxfId="527" priority="541" operator="between">
      <formula>10.1</formula>
      <formula>10.6</formula>
    </cfRule>
    <cfRule type="cellIs" dxfId="526" priority="540" operator="between">
      <formula>6</formula>
      <formula>6.9</formula>
    </cfRule>
    <cfRule type="cellIs" dxfId="525" priority="543" stopIfTrue="1" operator="between">
      <formula>8</formula>
      <formula>8.9</formula>
    </cfRule>
    <cfRule type="cellIs" dxfId="524" priority="544" operator="between">
      <formula>9</formula>
      <formula>9.9</formula>
    </cfRule>
    <cfRule type="cellIs" dxfId="523" priority="545" stopIfTrue="1" operator="between">
      <formula>10</formula>
      <formula>10</formula>
    </cfRule>
    <cfRule type="containsBlanks" dxfId="522" priority="546" stopIfTrue="1">
      <formula>LEN(TRIM(E117))=0</formula>
    </cfRule>
  </conditionalFormatting>
  <conditionalFormatting sqref="E127">
    <cfRule type="colorScale" priority="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5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521" priority="509" operator="between">
      <formula>7</formula>
      <formula>7.9</formula>
    </cfRule>
    <cfRule type="cellIs" dxfId="520" priority="510" stopIfTrue="1" operator="between">
      <formula>8</formula>
      <formula>8.9</formula>
    </cfRule>
    <cfRule type="cellIs" dxfId="519" priority="511" operator="between">
      <formula>9</formula>
      <formula>9.9</formula>
    </cfRule>
    <cfRule type="cellIs" dxfId="518" priority="508" operator="between">
      <formula>10.1</formula>
      <formula>10.6</formula>
    </cfRule>
    <cfRule type="cellIs" dxfId="517" priority="507" operator="between">
      <formula>6</formula>
      <formula>6.9</formula>
    </cfRule>
    <cfRule type="cellIs" dxfId="516" priority="512" stopIfTrue="1" operator="between">
      <formula>10</formula>
      <formula>10</formula>
    </cfRule>
    <cfRule type="containsBlanks" dxfId="515" priority="513" stopIfTrue="1">
      <formula>LEN(TRIM(E128))=0</formula>
    </cfRule>
  </conditionalFormatting>
  <conditionalFormatting sqref="E145">
    <cfRule type="colorScale" priority="428">
      <colorScale>
        <cfvo type="num" val="5"/>
        <cfvo type="num" val="10"/>
        <color rgb="FFFF494D"/>
        <color rgb="FF00FF66"/>
      </colorScale>
    </cfRule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6:E158">
    <cfRule type="cellIs" dxfId="514" priority="421" operator="between">
      <formula>10.1</formula>
      <formula>10.6</formula>
    </cfRule>
    <cfRule type="cellIs" dxfId="513" priority="420" operator="between">
      <formula>6</formula>
      <formula>6.9</formula>
    </cfRule>
    <cfRule type="containsBlanks" dxfId="512" priority="426" stopIfTrue="1">
      <formula>LEN(TRIM(E146))=0</formula>
    </cfRule>
    <cfRule type="cellIs" dxfId="511" priority="425" stopIfTrue="1" operator="between">
      <formula>10</formula>
      <formula>10</formula>
    </cfRule>
    <cfRule type="cellIs" dxfId="510" priority="424" operator="between">
      <formula>9</formula>
      <formula>9.9</formula>
    </cfRule>
    <cfRule type="cellIs" dxfId="509" priority="423" stopIfTrue="1" operator="between">
      <formula>8</formula>
      <formula>8.9</formula>
    </cfRule>
    <cfRule type="cellIs" dxfId="508" priority="422" operator="between">
      <formula>7</formula>
      <formula>7.9</formula>
    </cfRule>
  </conditionalFormatting>
  <conditionalFormatting sqref="E160">
    <cfRule type="colorScale" priority="3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2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507" priority="388" operator="between">
      <formula>9</formula>
      <formula>9.9</formula>
    </cfRule>
    <cfRule type="containsBlanks" dxfId="506" priority="390" stopIfTrue="1">
      <formula>LEN(TRIM(E161))=0</formula>
    </cfRule>
    <cfRule type="cellIs" dxfId="505" priority="389" stopIfTrue="1" operator="between">
      <formula>10</formula>
      <formula>10</formula>
    </cfRule>
    <cfRule type="cellIs" dxfId="504" priority="386" operator="between">
      <formula>7</formula>
      <formula>7.9</formula>
    </cfRule>
    <cfRule type="cellIs" dxfId="503" priority="385" operator="between">
      <formula>10.1</formula>
      <formula>10.6</formula>
    </cfRule>
    <cfRule type="cellIs" dxfId="502" priority="384" operator="between">
      <formula>6</formula>
      <formula>6.9</formula>
    </cfRule>
    <cfRule type="cellIs" dxfId="501" priority="387" stopIfTrue="1" operator="between">
      <formula>8</formula>
      <formula>8.9</formula>
    </cfRule>
  </conditionalFormatting>
  <conditionalFormatting sqref="E171">
    <cfRule type="colorScale" priority="347">
      <colorScale>
        <cfvo type="num" val="5"/>
        <cfvo type="num" val="10"/>
        <color rgb="FFFF494D"/>
        <color rgb="FF00FF66"/>
      </colorScale>
    </cfRule>
    <cfRule type="colorScale" priority="3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2:E183">
    <cfRule type="cellIs" dxfId="500" priority="342" stopIfTrue="1" operator="between">
      <formula>8</formula>
      <formula>8.9</formula>
    </cfRule>
    <cfRule type="cellIs" dxfId="499" priority="339" operator="between">
      <formula>6</formula>
      <formula>6.9</formula>
    </cfRule>
    <cfRule type="cellIs" dxfId="498" priority="340" operator="between">
      <formula>10.1</formula>
      <formula>10.6</formula>
    </cfRule>
    <cfRule type="cellIs" dxfId="497" priority="341" operator="between">
      <formula>7</formula>
      <formula>7.9</formula>
    </cfRule>
    <cfRule type="containsBlanks" dxfId="496" priority="345" stopIfTrue="1">
      <formula>LEN(TRIM(E172))=0</formula>
    </cfRule>
    <cfRule type="cellIs" dxfId="495" priority="344" stopIfTrue="1" operator="between">
      <formula>10</formula>
      <formula>10</formula>
    </cfRule>
    <cfRule type="cellIs" dxfId="494" priority="343" operator="between">
      <formula>9</formula>
      <formula>9.9</formula>
    </cfRule>
  </conditionalFormatting>
  <conditionalFormatting sqref="E185">
    <cfRule type="colorScale" priority="285">
      <colorScale>
        <cfvo type="num" val="5"/>
        <cfvo type="num" val="10"/>
        <color rgb="FFFF494D"/>
        <color rgb="FF00FF66"/>
      </colorScale>
    </cfRule>
    <cfRule type="colorScale" priority="2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6:E198">
    <cfRule type="cellIs" dxfId="493" priority="277" operator="between">
      <formula>6</formula>
      <formula>6.9</formula>
    </cfRule>
    <cfRule type="cellIs" dxfId="492" priority="278" operator="between">
      <formula>10.1</formula>
      <formula>10.6</formula>
    </cfRule>
    <cfRule type="cellIs" dxfId="491" priority="279" operator="between">
      <formula>7</formula>
      <formula>7.9</formula>
    </cfRule>
    <cfRule type="cellIs" dxfId="490" priority="280" stopIfTrue="1" operator="between">
      <formula>8</formula>
      <formula>8.9</formula>
    </cfRule>
    <cfRule type="cellIs" dxfId="489" priority="281" operator="between">
      <formula>9</formula>
      <formula>9.9</formula>
    </cfRule>
    <cfRule type="cellIs" dxfId="488" priority="282" stopIfTrue="1" operator="between">
      <formula>10</formula>
      <formula>10</formula>
    </cfRule>
    <cfRule type="containsBlanks" dxfId="487" priority="283" stopIfTrue="1">
      <formula>LEN(TRIM(E186))=0</formula>
    </cfRule>
  </conditionalFormatting>
  <conditionalFormatting sqref="E200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1:E210">
    <cfRule type="containsBlanks" dxfId="486" priority="229" stopIfTrue="1">
      <formula>LEN(TRIM(E201))=0</formula>
    </cfRule>
    <cfRule type="cellIs" dxfId="485" priority="228" stopIfTrue="1" operator="between">
      <formula>10</formula>
      <formula>10</formula>
    </cfRule>
    <cfRule type="cellIs" dxfId="484" priority="227" operator="between">
      <formula>9</formula>
      <formula>9.9</formula>
    </cfRule>
    <cfRule type="cellIs" dxfId="483" priority="226" stopIfTrue="1" operator="between">
      <formula>8</formula>
      <formula>8.9</formula>
    </cfRule>
    <cfRule type="cellIs" dxfId="482" priority="225" operator="between">
      <formula>7</formula>
      <formula>7.9</formula>
    </cfRule>
    <cfRule type="cellIs" dxfId="481" priority="224" operator="between">
      <formula>10.1</formula>
      <formula>11</formula>
    </cfRule>
    <cfRule type="cellIs" dxfId="480" priority="223" operator="between">
      <formula>6</formula>
      <formula>6.9</formula>
    </cfRule>
  </conditionalFormatting>
  <conditionalFormatting sqref="E212">
    <cfRule type="colorScale" priority="1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479" priority="182" operator="between">
      <formula>9</formula>
      <formula>9.9</formula>
    </cfRule>
    <cfRule type="cellIs" dxfId="478" priority="183" stopIfTrue="1" operator="between">
      <formula>10</formula>
      <formula>10</formula>
    </cfRule>
    <cfRule type="cellIs" dxfId="477" priority="181" stopIfTrue="1" operator="between">
      <formula>8</formula>
      <formula>8.9</formula>
    </cfRule>
    <cfRule type="cellIs" dxfId="476" priority="180" operator="between">
      <formula>7</formula>
      <formula>7.9</formula>
    </cfRule>
    <cfRule type="cellIs" dxfId="475" priority="179" operator="between">
      <formula>10.1</formula>
      <formula>10.6</formula>
    </cfRule>
    <cfRule type="cellIs" dxfId="474" priority="178" operator="between">
      <formula>6</formula>
      <formula>6.9</formula>
    </cfRule>
    <cfRule type="containsBlanks" dxfId="473" priority="184" stopIfTrue="1">
      <formula>LEN(TRIM(E213))=0</formula>
    </cfRule>
  </conditionalFormatting>
  <conditionalFormatting sqref="E228">
    <cfRule type="colorScale" priority="146">
      <colorScale>
        <cfvo type="num" val="5"/>
        <cfvo type="num" val="10"/>
        <color rgb="FFFF494D"/>
        <color rgb="FF00FF66"/>
      </colorScale>
    </cfRule>
    <cfRule type="colorScale" priority="1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29:E234">
    <cfRule type="cellIs" dxfId="472" priority="138" operator="between">
      <formula>6</formula>
      <formula>6.9</formula>
    </cfRule>
    <cfRule type="containsBlanks" dxfId="471" priority="144" stopIfTrue="1">
      <formula>LEN(TRIM(E229))=0</formula>
    </cfRule>
    <cfRule type="cellIs" dxfId="470" priority="143" stopIfTrue="1" operator="between">
      <formula>10</formula>
      <formula>10</formula>
    </cfRule>
    <cfRule type="cellIs" dxfId="469" priority="142" operator="between">
      <formula>9</formula>
      <formula>9.9</formula>
    </cfRule>
    <cfRule type="cellIs" dxfId="468" priority="141" stopIfTrue="1" operator="between">
      <formula>8</formula>
      <formula>8.9</formula>
    </cfRule>
    <cfRule type="cellIs" dxfId="467" priority="139" operator="between">
      <formula>10.1</formula>
      <formula>10.6</formula>
    </cfRule>
    <cfRule type="cellIs" dxfId="466" priority="140" operator="between">
      <formula>7</formula>
      <formula>7.9</formula>
    </cfRule>
  </conditionalFormatting>
  <conditionalFormatting sqref="E236">
    <cfRule type="colorScale" priority="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">
      <colorScale>
        <cfvo type="num" val="5"/>
        <cfvo type="num" val="10"/>
        <color rgb="FFFF494D"/>
        <color rgb="FF00FF66"/>
      </colorScale>
    </cfRule>
  </conditionalFormatting>
  <conditionalFormatting sqref="E237:E251 E254:E263">
    <cfRule type="cellIs" dxfId="465" priority="101" operator="between">
      <formula>9</formula>
      <formula>9.9</formula>
    </cfRule>
    <cfRule type="containsBlanks" dxfId="464" priority="103" stopIfTrue="1">
      <formula>LEN(TRIM(E237))=0</formula>
    </cfRule>
    <cfRule type="cellIs" dxfId="463" priority="97" operator="between">
      <formula>6</formula>
      <formula>6.9</formula>
    </cfRule>
    <cfRule type="cellIs" dxfId="462" priority="98" operator="between">
      <formula>10.1</formula>
      <formula>10.6</formula>
    </cfRule>
    <cfRule type="cellIs" dxfId="461" priority="99" operator="between">
      <formula>7</formula>
      <formula>7.9</formula>
    </cfRule>
    <cfRule type="cellIs" dxfId="460" priority="100" stopIfTrue="1" operator="between">
      <formula>8</formula>
      <formula>8.9</formula>
    </cfRule>
    <cfRule type="cellIs" dxfId="459" priority="102" stopIfTrue="1" operator="between">
      <formula>10</formula>
      <formula>10</formula>
    </cfRule>
  </conditionalFormatting>
  <conditionalFormatting sqref="E253">
    <cfRule type="colorScale" priority="40">
      <colorScale>
        <cfvo type="num" val="5"/>
        <cfvo type="num" val="10"/>
        <color rgb="FFFF494D"/>
        <color rgb="FF00FF66"/>
      </colorScale>
    </cfRule>
    <cfRule type="colorScale" priority="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:H15">
    <cfRule type="cellIs" dxfId="458" priority="979" operator="between">
      <formula>9</formula>
      <formula>9.9</formula>
    </cfRule>
    <cfRule type="cellIs" dxfId="457" priority="978" stopIfTrue="1" operator="between">
      <formula>8</formula>
      <formula>8.9</formula>
    </cfRule>
    <cfRule type="cellIs" dxfId="456" priority="977" operator="between">
      <formula>7</formula>
      <formula>7.9</formula>
    </cfRule>
    <cfRule type="cellIs" dxfId="455" priority="980" stopIfTrue="1" operator="between">
      <formula>10</formula>
      <formula>10</formula>
    </cfRule>
  </conditionalFormatting>
  <conditionalFormatting sqref="H18:H28">
    <cfRule type="cellIs" dxfId="454" priority="981" operator="between">
      <formula>7</formula>
      <formula>7.9</formula>
    </cfRule>
    <cfRule type="cellIs" dxfId="453" priority="982" stopIfTrue="1" operator="between">
      <formula>8</formula>
      <formula>8.9</formula>
    </cfRule>
    <cfRule type="cellIs" dxfId="452" priority="983" operator="between">
      <formula>9</formula>
      <formula>9.9</formula>
    </cfRule>
    <cfRule type="cellIs" dxfId="451" priority="984" stopIfTrue="1" operator="between">
      <formula>10</formula>
      <formula>10</formula>
    </cfRule>
  </conditionalFormatting>
  <conditionalFormatting sqref="H30">
    <cfRule type="colorScale" priority="1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6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450" priority="844" operator="between">
      <formula>7</formula>
      <formula>7.9</formula>
    </cfRule>
    <cfRule type="cellIs" dxfId="449" priority="843" operator="between">
      <formula>10.1</formula>
      <formula>10.6</formula>
    </cfRule>
    <cfRule type="cellIs" dxfId="448" priority="845" stopIfTrue="1" operator="between">
      <formula>8</formula>
      <formula>8.9</formula>
    </cfRule>
    <cfRule type="cellIs" dxfId="447" priority="846" operator="between">
      <formula>9</formula>
      <formula>9.9</formula>
    </cfRule>
    <cfRule type="cellIs" dxfId="446" priority="847" stopIfTrue="1" operator="between">
      <formula>10</formula>
      <formula>10</formula>
    </cfRule>
    <cfRule type="containsBlanks" dxfId="445" priority="848" stopIfTrue="1">
      <formula>LEN(TRIM(H31))=0</formula>
    </cfRule>
  </conditionalFormatting>
  <conditionalFormatting sqref="H47">
    <cfRule type="colorScale" priority="1198">
      <colorScale>
        <cfvo type="num" val="5"/>
        <cfvo type="num" val="10"/>
        <color rgb="FFFF494D"/>
        <color rgb="FF00FF66"/>
      </colorScale>
    </cfRule>
    <cfRule type="colorScale" priority="1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ontainsBlanks" dxfId="444" priority="842" stopIfTrue="1">
      <formula>LEN(TRIM(H48))=0</formula>
    </cfRule>
    <cfRule type="cellIs" dxfId="443" priority="837" operator="between">
      <formula>10.1</formula>
      <formula>10.6</formula>
    </cfRule>
    <cfRule type="cellIs" dxfId="442" priority="838" operator="between">
      <formula>7</formula>
      <formula>7.9</formula>
    </cfRule>
    <cfRule type="cellIs" dxfId="441" priority="841" stopIfTrue="1" operator="between">
      <formula>10</formula>
      <formula>10</formula>
    </cfRule>
    <cfRule type="cellIs" dxfId="440" priority="839" stopIfTrue="1" operator="between">
      <formula>8</formula>
      <formula>8.9</formula>
    </cfRule>
    <cfRule type="cellIs" dxfId="439" priority="840" operator="between">
      <formula>9</formula>
      <formula>9.9</formula>
    </cfRule>
  </conditionalFormatting>
  <conditionalFormatting sqref="H57">
    <cfRule type="colorScale" priority="780">
      <colorScale>
        <cfvo type="num" val="5"/>
        <cfvo type="num" val="10"/>
        <color rgb="FFFF494D"/>
        <color rgb="FF00FF66"/>
      </colorScale>
    </cfRule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438" priority="711" operator="between">
      <formula>7</formula>
      <formula>7.9</formula>
    </cfRule>
    <cfRule type="cellIs" dxfId="437" priority="713" operator="between">
      <formula>9</formula>
      <formula>9.9</formula>
    </cfRule>
    <cfRule type="cellIs" dxfId="436" priority="712" stopIfTrue="1" operator="between">
      <formula>8</formula>
      <formula>8.9</formula>
    </cfRule>
    <cfRule type="cellIs" dxfId="435" priority="714" stopIfTrue="1" operator="between">
      <formula>10</formula>
      <formula>10</formula>
    </cfRule>
    <cfRule type="cellIs" dxfId="434" priority="710" operator="between">
      <formula>10.1</formula>
      <formula>10.6</formula>
    </cfRule>
    <cfRule type="cellIs" dxfId="433" priority="709" operator="between">
      <formula>6</formula>
      <formula>6.9</formula>
    </cfRule>
    <cfRule type="containsBlanks" dxfId="432" priority="715" stopIfTrue="1">
      <formula>LEN(TRIM(H58))=0</formula>
    </cfRule>
  </conditionalFormatting>
  <conditionalFormatting sqref="H69">
    <cfRule type="colorScale" priority="7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5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431" priority="738" operator="between">
      <formula>10.1</formula>
      <formula>10.6</formula>
    </cfRule>
    <cfRule type="cellIs" dxfId="430" priority="739" operator="between">
      <formula>7</formula>
      <formula>7.9</formula>
    </cfRule>
    <cfRule type="cellIs" dxfId="429" priority="740" stopIfTrue="1" operator="between">
      <formula>8</formula>
      <formula>8.9</formula>
    </cfRule>
    <cfRule type="cellIs" dxfId="428" priority="741" operator="between">
      <formula>9</formula>
      <formula>9.9</formula>
    </cfRule>
    <cfRule type="cellIs" dxfId="427" priority="742" stopIfTrue="1" operator="between">
      <formula>10</formula>
      <formula>10</formula>
    </cfRule>
    <cfRule type="containsBlanks" dxfId="426" priority="743" stopIfTrue="1">
      <formula>LEN(TRIM(H70))=0</formula>
    </cfRule>
  </conditionalFormatting>
  <conditionalFormatting sqref="H83">
    <cfRule type="colorScale" priority="676">
      <colorScale>
        <cfvo type="num" val="5"/>
        <cfvo type="num" val="10"/>
        <color rgb="FFFF494D"/>
        <color rgb="FF00FF66"/>
      </colorScale>
    </cfRule>
    <cfRule type="colorScale" priority="6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425" priority="666" operator="between">
      <formula>9</formula>
      <formula>9.9</formula>
    </cfRule>
    <cfRule type="cellIs" dxfId="424" priority="662" operator="between">
      <formula>6</formula>
      <formula>6.9</formula>
    </cfRule>
    <cfRule type="cellIs" dxfId="423" priority="663" operator="between">
      <formula>10.1</formula>
      <formula>10.6</formula>
    </cfRule>
    <cfRule type="cellIs" dxfId="422" priority="664" operator="between">
      <formula>7</formula>
      <formula>7.9</formula>
    </cfRule>
    <cfRule type="cellIs" dxfId="421" priority="665" stopIfTrue="1" operator="between">
      <formula>8</formula>
      <formula>8.9</formula>
    </cfRule>
    <cfRule type="cellIs" dxfId="420" priority="667" stopIfTrue="1" operator="between">
      <formula>10</formula>
      <formula>10</formula>
    </cfRule>
    <cfRule type="containsBlanks" dxfId="419" priority="668" stopIfTrue="1">
      <formula>LEN(TRIM(H84))=0</formula>
    </cfRule>
  </conditionalFormatting>
  <conditionalFormatting sqref="H97">
    <cfRule type="colorScale" priority="6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0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418" priority="618" stopIfTrue="1" operator="between">
      <formula>10</formula>
      <formula>10</formula>
    </cfRule>
    <cfRule type="containsBlanks" dxfId="417" priority="619" stopIfTrue="1">
      <formula>LEN(TRIM(H98))=0</formula>
    </cfRule>
    <cfRule type="cellIs" dxfId="416" priority="617" operator="between">
      <formula>9</formula>
      <formula>9.9</formula>
    </cfRule>
    <cfRule type="cellIs" dxfId="415" priority="616" stopIfTrue="1" operator="between">
      <formula>8</formula>
      <formula>8.9</formula>
    </cfRule>
    <cfRule type="cellIs" dxfId="414" priority="615" operator="between">
      <formula>7</formula>
      <formula>7.9</formula>
    </cfRule>
    <cfRule type="cellIs" dxfId="413" priority="614" operator="between">
      <formula>10.1</formula>
      <formula>10.6</formula>
    </cfRule>
    <cfRule type="cellIs" dxfId="412" priority="613" operator="between">
      <formula>6</formula>
      <formula>6.9</formula>
    </cfRule>
  </conditionalFormatting>
  <conditionalFormatting sqref="H110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411" priority="593" stopIfTrue="1" operator="between">
      <formula>10</formula>
      <formula>10</formula>
    </cfRule>
    <cfRule type="containsBlanks" dxfId="410" priority="594" stopIfTrue="1">
      <formula>LEN(TRIM(H111))=0</formula>
    </cfRule>
    <cfRule type="cellIs" dxfId="409" priority="592" operator="between">
      <formula>9</formula>
      <formula>9.9</formula>
    </cfRule>
    <cfRule type="cellIs" dxfId="408" priority="591" stopIfTrue="1" operator="between">
      <formula>8</formula>
      <formula>8.9</formula>
    </cfRule>
    <cfRule type="cellIs" dxfId="407" priority="590" operator="between">
      <formula>7</formula>
      <formula>7.9</formula>
    </cfRule>
    <cfRule type="cellIs" dxfId="406" priority="589" operator="between">
      <formula>10.1</formula>
      <formula>10.6</formula>
    </cfRule>
  </conditionalFormatting>
  <conditionalFormatting sqref="H125">
    <cfRule type="colorScale" priority="524">
      <colorScale>
        <cfvo type="num" val="5"/>
        <cfvo type="num" val="10"/>
        <color rgb="FFFF494D"/>
        <color rgb="FF00FF66"/>
      </colorScale>
    </cfRule>
    <cfRule type="colorScale" priority="5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405" priority="521" stopIfTrue="1" operator="between">
      <formula>10</formula>
      <formula>10</formula>
    </cfRule>
    <cfRule type="cellIs" dxfId="404" priority="516" operator="between">
      <formula>6</formula>
      <formula>6.9</formula>
    </cfRule>
    <cfRule type="cellIs" dxfId="403" priority="517" operator="between">
      <formula>10.1</formula>
      <formula>10.6</formula>
    </cfRule>
    <cfRule type="cellIs" dxfId="402" priority="518" operator="between">
      <formula>7</formula>
      <formula>7.9</formula>
    </cfRule>
    <cfRule type="cellIs" dxfId="401" priority="519" stopIfTrue="1" operator="between">
      <formula>8</formula>
      <formula>8.9</formula>
    </cfRule>
    <cfRule type="cellIs" dxfId="400" priority="520" operator="between">
      <formula>9</formula>
      <formula>9.9</formula>
    </cfRule>
    <cfRule type="containsBlanks" dxfId="399" priority="522" stopIfTrue="1">
      <formula>LEN(TRIM(H126))=0</formula>
    </cfRule>
  </conditionalFormatting>
  <conditionalFormatting sqref="H131">
    <cfRule type="colorScale" priority="4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1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398" priority="488" stopIfTrue="1" operator="between">
      <formula>10</formula>
      <formula>10</formula>
    </cfRule>
    <cfRule type="cellIs" dxfId="397" priority="487" operator="between">
      <formula>9</formula>
      <formula>9.9</formula>
    </cfRule>
    <cfRule type="cellIs" dxfId="396" priority="486" stopIfTrue="1" operator="between">
      <formula>8</formula>
      <formula>8.9</formula>
    </cfRule>
    <cfRule type="cellIs" dxfId="395" priority="485" operator="between">
      <formula>7</formula>
      <formula>7.9</formula>
    </cfRule>
    <cfRule type="cellIs" dxfId="394" priority="484" operator="between">
      <formula>10.1</formula>
      <formula>10.6</formula>
    </cfRule>
    <cfRule type="cellIs" dxfId="393" priority="483" operator="between">
      <formula>6</formula>
      <formula>6.9</formula>
    </cfRule>
    <cfRule type="containsBlanks" dxfId="392" priority="489" stopIfTrue="1">
      <formula>LEN(TRIM(H132))=0</formula>
    </cfRule>
  </conditionalFormatting>
  <conditionalFormatting sqref="H149">
    <cfRule type="colorScale" priority="419">
      <colorScale>
        <cfvo type="num" val="5"/>
        <cfvo type="num" val="10"/>
        <color rgb="FFFF494D"/>
        <color rgb="FF00FF66"/>
      </colorScale>
    </cfRule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391" priority="412" operator="between">
      <formula>10.1</formula>
      <formula>10.6</formula>
    </cfRule>
    <cfRule type="cellIs" dxfId="390" priority="411" operator="between">
      <formula>6</formula>
      <formula>6.9</formula>
    </cfRule>
    <cfRule type="containsBlanks" dxfId="389" priority="417" stopIfTrue="1">
      <formula>LEN(TRIM(H150))=0</formula>
    </cfRule>
    <cfRule type="cellIs" dxfId="388" priority="416" stopIfTrue="1" operator="between">
      <formula>10</formula>
      <formula>10</formula>
    </cfRule>
    <cfRule type="cellIs" dxfId="387" priority="415" operator="between">
      <formula>9</formula>
      <formula>9.9</formula>
    </cfRule>
    <cfRule type="cellIs" dxfId="386" priority="414" stopIfTrue="1" operator="between">
      <formula>8</formula>
      <formula>8.9</formula>
    </cfRule>
    <cfRule type="cellIs" dxfId="385" priority="413" operator="between">
      <formula>7</formula>
      <formula>7.9</formula>
    </cfRule>
  </conditionalFormatting>
  <conditionalFormatting sqref="H165">
    <cfRule type="colorScale" priority="3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8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ontainsBlanks" dxfId="384" priority="365" stopIfTrue="1">
      <formula>LEN(TRIM(H166))=0</formula>
    </cfRule>
    <cfRule type="cellIs" dxfId="383" priority="359" operator="between">
      <formula>6</formula>
      <formula>6.9</formula>
    </cfRule>
    <cfRule type="cellIs" dxfId="382" priority="360" operator="between">
      <formula>10.1</formula>
      <formula>10.6</formula>
    </cfRule>
    <cfRule type="cellIs" dxfId="381" priority="361" operator="between">
      <formula>7</formula>
      <formula>7.9</formula>
    </cfRule>
    <cfRule type="cellIs" dxfId="380" priority="362" stopIfTrue="1" operator="between">
      <formula>8</formula>
      <formula>8.9</formula>
    </cfRule>
    <cfRule type="cellIs" dxfId="379" priority="363" operator="between">
      <formula>9</formula>
      <formula>9.9</formula>
    </cfRule>
    <cfRule type="cellIs" dxfId="378" priority="364" stopIfTrue="1" operator="between">
      <formula>10</formula>
      <formula>10</formula>
    </cfRule>
  </conditionalFormatting>
  <conditionalFormatting sqref="H177">
    <cfRule type="colorScale" priority="318">
      <colorScale>
        <cfvo type="num" val="5"/>
        <cfvo type="num" val="10"/>
        <color rgb="FFFF494D"/>
        <color rgb="FF00FF66"/>
      </colorScale>
    </cfRule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377" priority="315" stopIfTrue="1" operator="between">
      <formula>10</formula>
      <formula>10</formula>
    </cfRule>
    <cfRule type="cellIs" dxfId="376" priority="310" operator="between">
      <formula>6</formula>
      <formula>6.9</formula>
    </cfRule>
    <cfRule type="cellIs" dxfId="375" priority="311" operator="between">
      <formula>10.1</formula>
      <formula>10.6</formula>
    </cfRule>
    <cfRule type="cellIs" dxfId="374" priority="312" operator="between">
      <formula>7</formula>
      <formula>7.9</formula>
    </cfRule>
    <cfRule type="cellIs" dxfId="373" priority="313" stopIfTrue="1" operator="between">
      <formula>8</formula>
      <formula>8.9</formula>
    </cfRule>
    <cfRule type="cellIs" dxfId="372" priority="314" operator="between">
      <formula>9</formula>
      <formula>9.9</formula>
    </cfRule>
    <cfRule type="containsBlanks" dxfId="371" priority="316" stopIfTrue="1">
      <formula>LEN(TRIM(H178))=0</formula>
    </cfRule>
  </conditionalFormatting>
  <conditionalFormatting sqref="H191"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370" priority="252" operator="between">
      <formula>7</formula>
      <formula>7.9</formula>
    </cfRule>
    <cfRule type="cellIs" dxfId="369" priority="250" operator="between">
      <formula>6</formula>
      <formula>6.9</formula>
    </cfRule>
    <cfRule type="cellIs" dxfId="368" priority="251" operator="between">
      <formula>10.1</formula>
      <formula>10.6</formula>
    </cfRule>
    <cfRule type="containsBlanks" dxfId="367" priority="256" stopIfTrue="1">
      <formula>LEN(TRIM(H192))=0</formula>
    </cfRule>
    <cfRule type="cellIs" dxfId="366" priority="255" stopIfTrue="1" operator="between">
      <formula>10</formula>
      <formula>10</formula>
    </cfRule>
    <cfRule type="cellIs" dxfId="365" priority="254" operator="between">
      <formula>9</formula>
      <formula>9.9</formula>
    </cfRule>
    <cfRule type="cellIs" dxfId="364" priority="253" stopIfTrue="1" operator="between">
      <formula>8</formula>
      <formula>8.9</formula>
    </cfRule>
  </conditionalFormatting>
  <conditionalFormatting sqref="H202">
    <cfRule type="colorScale" priority="210">
      <colorScale>
        <cfvo type="num" val="5"/>
        <cfvo type="num" val="10"/>
        <color rgb="FFFF494D"/>
        <color rgb="FF00FF66"/>
      </colorScale>
    </cfRule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ontainsBlanks" dxfId="363" priority="217" stopIfTrue="1">
      <formula>LEN(TRIM(H203))=0</formula>
    </cfRule>
    <cfRule type="cellIs" dxfId="362" priority="216" stopIfTrue="1" operator="between">
      <formula>10</formula>
      <formula>10</formula>
    </cfRule>
    <cfRule type="cellIs" dxfId="361" priority="215" operator="between">
      <formula>9</formula>
      <formula>9.9</formula>
    </cfRule>
    <cfRule type="cellIs" dxfId="360" priority="214" stopIfTrue="1" operator="between">
      <formula>8</formula>
      <formula>8.9</formula>
    </cfRule>
    <cfRule type="cellIs" dxfId="359" priority="213" operator="between">
      <formula>7</formula>
      <formula>7.9</formula>
    </cfRule>
    <cfRule type="cellIs" dxfId="358" priority="212" operator="between">
      <formula>10.1</formula>
      <formula>11</formula>
    </cfRule>
    <cfRule type="cellIs" dxfId="357" priority="211" operator="between">
      <formula>6</formula>
      <formula>6.9</formula>
    </cfRule>
  </conditionalFormatting>
  <conditionalFormatting sqref="H215">
    <cfRule type="colorScale" priority="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56" priority="161" operator="between">
      <formula>10.1</formula>
      <formula>10.6</formula>
    </cfRule>
    <cfRule type="cellIs" dxfId="355" priority="162" operator="between">
      <formula>7</formula>
      <formula>7.9</formula>
    </cfRule>
    <cfRule type="cellIs" dxfId="354" priority="163" stopIfTrue="1" operator="between">
      <formula>8</formula>
      <formula>8.9</formula>
    </cfRule>
    <cfRule type="cellIs" dxfId="353" priority="164" operator="between">
      <formula>9</formula>
      <formula>9.9</formula>
    </cfRule>
    <cfRule type="cellIs" dxfId="352" priority="165" stopIfTrue="1" operator="between">
      <formula>10</formula>
      <formula>10</formula>
    </cfRule>
    <cfRule type="containsBlanks" dxfId="351" priority="166" stopIfTrue="1">
      <formula>LEN(TRIM(H216))=0</formula>
    </cfRule>
    <cfRule type="cellIs" dxfId="350" priority="160" operator="between">
      <formula>6</formula>
      <formula>6.9</formula>
    </cfRule>
  </conditionalFormatting>
  <conditionalFormatting sqref="H229">
    <cfRule type="colorScale" priority="128">
      <colorScale>
        <cfvo type="num" val="5"/>
        <cfvo type="num" val="10"/>
        <color rgb="FFFF494D"/>
        <color rgb="FF00FF66"/>
      </colorScale>
    </cfRule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349" priority="120" operator="between">
      <formula>6</formula>
      <formula>6.9</formula>
    </cfRule>
    <cfRule type="cellIs" dxfId="348" priority="121" operator="between">
      <formula>10.1</formula>
      <formula>10.6</formula>
    </cfRule>
    <cfRule type="cellIs" dxfId="347" priority="122" operator="between">
      <formula>7</formula>
      <formula>7.9</formula>
    </cfRule>
    <cfRule type="cellIs" dxfId="346" priority="123" stopIfTrue="1" operator="between">
      <formula>8</formula>
      <formula>8.9</formula>
    </cfRule>
    <cfRule type="cellIs" dxfId="345" priority="124" operator="between">
      <formula>9</formula>
      <formula>9.9</formula>
    </cfRule>
    <cfRule type="cellIs" dxfId="344" priority="125" stopIfTrue="1" operator="between">
      <formula>10</formula>
      <formula>10</formula>
    </cfRule>
    <cfRule type="containsBlanks" dxfId="343" priority="126" stopIfTrue="1">
      <formula>LEN(TRIM(H230))=0</formula>
    </cfRule>
  </conditionalFormatting>
  <conditionalFormatting sqref="H246">
    <cfRule type="colorScale" priority="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342" priority="72" operator="between">
      <formula>7</formula>
      <formula>7.9</formula>
    </cfRule>
    <cfRule type="cellIs" dxfId="341" priority="71" operator="between">
      <formula>10.1</formula>
      <formula>10.6</formula>
    </cfRule>
    <cfRule type="cellIs" dxfId="340" priority="70" operator="between">
      <formula>6</formula>
      <formula>6.9</formula>
    </cfRule>
    <cfRule type="cellIs" dxfId="339" priority="73" stopIfTrue="1" operator="between">
      <formula>8</formula>
      <formula>8.9</formula>
    </cfRule>
    <cfRule type="cellIs" dxfId="338" priority="74" operator="between">
      <formula>9</formula>
      <formula>9.9</formula>
    </cfRule>
    <cfRule type="cellIs" dxfId="337" priority="75" stopIfTrue="1" operator="between">
      <formula>10</formula>
      <formula>10</formula>
    </cfRule>
    <cfRule type="containsBlanks" dxfId="336" priority="76" stopIfTrue="1">
      <formula>LEN(TRIM(H247))=0</formula>
    </cfRule>
  </conditionalFormatting>
  <conditionalFormatting sqref="H258">
    <cfRule type="colorScale" priority="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335" priority="30" operator="between">
      <formula>6</formula>
      <formula>6.9</formula>
    </cfRule>
    <cfRule type="cellIs" dxfId="334" priority="31" operator="between">
      <formula>10.1</formula>
      <formula>10.6</formula>
    </cfRule>
    <cfRule type="cellIs" dxfId="333" priority="32" operator="between">
      <formula>7</formula>
      <formula>7.9</formula>
    </cfRule>
    <cfRule type="cellIs" dxfId="332" priority="33" stopIfTrue="1" operator="between">
      <formula>8</formula>
      <formula>8.9</formula>
    </cfRule>
    <cfRule type="cellIs" dxfId="331" priority="34" operator="between">
      <formula>9</formula>
      <formula>9.9</formula>
    </cfRule>
    <cfRule type="cellIs" dxfId="330" priority="35" stopIfTrue="1" operator="between">
      <formula>10</formula>
      <formula>10</formula>
    </cfRule>
    <cfRule type="containsBlanks" dxfId="329" priority="36" stopIfTrue="1">
      <formula>LEN(TRIM(H259))=0</formula>
    </cfRule>
  </conditionalFormatting>
  <conditionalFormatting sqref="K3:K12">
    <cfRule type="containsBlanks" dxfId="328" priority="884" stopIfTrue="1">
      <formula>LEN(TRIM(K3))=0</formula>
    </cfRule>
    <cfRule type="cellIs" dxfId="327" priority="883" stopIfTrue="1" operator="between">
      <formula>10</formula>
      <formula>10</formula>
    </cfRule>
    <cfRule type="cellIs" dxfId="326" priority="882" operator="between">
      <formula>9</formula>
      <formula>9.9</formula>
    </cfRule>
    <cfRule type="cellIs" dxfId="325" priority="881" stopIfTrue="1" operator="between">
      <formula>8</formula>
      <formula>8.9</formula>
    </cfRule>
    <cfRule type="cellIs" dxfId="324" priority="880" operator="between">
      <formula>7</formula>
      <formula>7.9</formula>
    </cfRule>
    <cfRule type="cellIs" dxfId="323" priority="879" operator="between">
      <formula>10.1</formula>
      <formula>10.6</formula>
    </cfRule>
  </conditionalFormatting>
  <conditionalFormatting sqref="K15:K23">
    <cfRule type="cellIs" dxfId="322" priority="289" operator="between">
      <formula>9</formula>
      <formula>9.9</formula>
    </cfRule>
    <cfRule type="cellIs" dxfId="321" priority="287" operator="between">
      <formula>7</formula>
      <formula>7.9</formula>
    </cfRule>
    <cfRule type="cellIs" dxfId="320" priority="288" stopIfTrue="1" operator="between">
      <formula>8</formula>
      <formula>8.9</formula>
    </cfRule>
    <cfRule type="cellIs" dxfId="319" priority="290" stopIfTrue="1" operator="between">
      <formula>10</formula>
      <formula>10</formula>
    </cfRule>
  </conditionalFormatting>
  <conditionalFormatting sqref="K23">
    <cfRule type="cellIs" dxfId="318" priority="286" operator="between">
      <formula>10.1</formula>
      <formula>10.6</formula>
    </cfRule>
    <cfRule type="containsBlanks" dxfId="317" priority="291" stopIfTrue="1">
      <formula>LEN(TRIM(K23))=0</formula>
    </cfRule>
  </conditionalFormatting>
  <conditionalFormatting sqref="K26:K38">
    <cfRule type="containsBlanks" dxfId="316" priority="918" stopIfTrue="1">
      <formula>LEN(TRIM(K26))=0</formula>
    </cfRule>
    <cfRule type="cellIs" dxfId="315" priority="914" operator="between">
      <formula>7</formula>
      <formula>7.9</formula>
    </cfRule>
    <cfRule type="cellIs" dxfId="314" priority="917" stopIfTrue="1" operator="between">
      <formula>10</formula>
      <formula>10</formula>
    </cfRule>
    <cfRule type="cellIs" dxfId="313" priority="916" operator="between">
      <formula>9</formula>
      <formula>9.9</formula>
    </cfRule>
    <cfRule type="cellIs" dxfId="312" priority="915" stopIfTrue="1" operator="between">
      <formula>8</formula>
      <formula>8.9</formula>
    </cfRule>
  </conditionalFormatting>
  <conditionalFormatting sqref="K40"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7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11" priority="819" operator="between">
      <formula>10.1</formula>
      <formula>10.6</formula>
    </cfRule>
    <cfRule type="cellIs" dxfId="310" priority="820" operator="between">
      <formula>7</formula>
      <formula>7.9</formula>
    </cfRule>
    <cfRule type="containsBlanks" dxfId="309" priority="824" stopIfTrue="1">
      <formula>LEN(TRIM(K41))=0</formula>
    </cfRule>
    <cfRule type="cellIs" dxfId="308" priority="823" stopIfTrue="1" operator="between">
      <formula>10</formula>
      <formula>10</formula>
    </cfRule>
    <cfRule type="cellIs" dxfId="307" priority="822" operator="between">
      <formula>9</formula>
      <formula>9.9</formula>
    </cfRule>
    <cfRule type="cellIs" dxfId="306" priority="821" stopIfTrue="1" operator="between">
      <formula>8</formula>
      <formula>8.9</formula>
    </cfRule>
  </conditionalFormatting>
  <conditionalFormatting sqref="K54">
    <cfRule type="colorScale" priority="788">
      <colorScale>
        <cfvo type="num" val="5"/>
        <cfvo type="num" val="10"/>
        <color rgb="FFFF494D"/>
        <color rgb="FF00FF66"/>
      </colorScale>
    </cfRule>
    <cfRule type="colorScale" priority="7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305" priority="785" stopIfTrue="1" operator="between">
      <formula>10</formula>
      <formula>10</formula>
    </cfRule>
    <cfRule type="cellIs" dxfId="304" priority="784" operator="between">
      <formula>9</formula>
      <formula>9.9</formula>
    </cfRule>
    <cfRule type="containsBlanks" dxfId="303" priority="786" stopIfTrue="1">
      <formula>LEN(TRIM(K55))=0</formula>
    </cfRule>
    <cfRule type="cellIs" dxfId="302" priority="781" operator="between">
      <formula>10.1</formula>
      <formula>10.6</formula>
    </cfRule>
    <cfRule type="cellIs" dxfId="301" priority="782" operator="between">
      <formula>7</formula>
      <formula>7.9</formula>
    </cfRule>
    <cfRule type="cellIs" dxfId="300" priority="783" stopIfTrue="1" operator="between">
      <formula>8</formula>
      <formula>8.9</formula>
    </cfRule>
  </conditionalFormatting>
  <conditionalFormatting sqref="K66">
    <cfRule type="colorScale" priority="761">
      <colorScale>
        <cfvo type="num" val="5"/>
        <cfvo type="num" val="10"/>
        <color rgb="FFFF494D"/>
        <color rgb="FF00FF66"/>
      </colorScale>
    </cfRule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299" priority="758" stopIfTrue="1" operator="between">
      <formula>10</formula>
      <formula>10</formula>
    </cfRule>
    <cfRule type="containsBlanks" dxfId="298" priority="759" stopIfTrue="1">
      <formula>LEN(TRIM(K67))=0</formula>
    </cfRule>
    <cfRule type="cellIs" dxfId="297" priority="755" operator="between">
      <formula>7</formula>
      <formula>7.9</formula>
    </cfRule>
    <cfRule type="cellIs" dxfId="296" priority="757" operator="between">
      <formula>9</formula>
      <formula>9.9</formula>
    </cfRule>
    <cfRule type="cellIs" dxfId="295" priority="756" stopIfTrue="1" operator="between">
      <formula>8</formula>
      <formula>8.9</formula>
    </cfRule>
    <cfRule type="cellIs" dxfId="294" priority="754" operator="between">
      <formula>10.1</formula>
      <formula>10.6</formula>
    </cfRule>
  </conditionalFormatting>
  <conditionalFormatting sqref="K77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293" priority="703" stopIfTrue="1" operator="between">
      <formula>8</formula>
      <formula>8.9</formula>
    </cfRule>
    <cfRule type="cellIs" dxfId="292" priority="704" operator="between">
      <formula>9</formula>
      <formula>9.9</formula>
    </cfRule>
    <cfRule type="cellIs" dxfId="291" priority="705" stopIfTrue="1" operator="between">
      <formula>10</formula>
      <formula>10</formula>
    </cfRule>
    <cfRule type="containsBlanks" dxfId="290" priority="706" stopIfTrue="1">
      <formula>LEN(TRIM(K78))=0</formula>
    </cfRule>
    <cfRule type="cellIs" dxfId="289" priority="702" operator="between">
      <formula>7</formula>
      <formula>7.9</formula>
    </cfRule>
    <cfRule type="cellIs" dxfId="288" priority="701" operator="between">
      <formula>10.1</formula>
      <formula>10.6</formula>
    </cfRule>
  </conditionalFormatting>
  <conditionalFormatting sqref="K90">
    <cfRule type="colorScale" priority="6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5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287" priority="656" operator="between">
      <formula>10.1</formula>
      <formula>10.6</formula>
    </cfRule>
    <cfRule type="containsBlanks" dxfId="286" priority="661" stopIfTrue="1">
      <formula>LEN(TRIM(K91))=0</formula>
    </cfRule>
    <cfRule type="cellIs" dxfId="285" priority="660" stopIfTrue="1" operator="between">
      <formula>10</formula>
      <formula>10</formula>
    </cfRule>
    <cfRule type="cellIs" dxfId="284" priority="659" operator="between">
      <formula>9</formula>
      <formula>9.9</formula>
    </cfRule>
    <cfRule type="cellIs" dxfId="283" priority="658" stopIfTrue="1" operator="between">
      <formula>8</formula>
      <formula>8.9</formula>
    </cfRule>
    <cfRule type="cellIs" dxfId="282" priority="657" operator="between">
      <formula>7</formula>
      <formula>7.9</formula>
    </cfRule>
  </conditionalFormatting>
  <conditionalFormatting sqref="K98">
    <cfRule type="colorScale" priority="621">
      <colorScale>
        <cfvo type="num" val="5"/>
        <cfvo type="num" val="10"/>
        <color rgb="FFFF494D"/>
        <color rgb="FF00FF66"/>
      </colorScale>
    </cfRule>
    <cfRule type="colorScale" priority="6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281" priority="626" operator="between">
      <formula>9</formula>
      <formula>9.9</formula>
    </cfRule>
    <cfRule type="cellIs" dxfId="280" priority="625" stopIfTrue="1" operator="between">
      <formula>8</formula>
      <formula>8.9</formula>
    </cfRule>
    <cfRule type="cellIs" dxfId="279" priority="624" operator="between">
      <formula>7</formula>
      <formula>7.9</formula>
    </cfRule>
    <cfRule type="cellIs" dxfId="278" priority="623" operator="between">
      <formula>10.1</formula>
      <formula>10.6</formula>
    </cfRule>
    <cfRule type="cellIs" dxfId="277" priority="622" operator="between">
      <formula>6</formula>
      <formula>6.9</formula>
    </cfRule>
    <cfRule type="cellIs" dxfId="276" priority="627" stopIfTrue="1" operator="between">
      <formula>10</formula>
      <formula>10</formula>
    </cfRule>
    <cfRule type="containsBlanks" dxfId="275" priority="628" stopIfTrue="1">
      <formula>LEN(TRIM(K99))=0</formula>
    </cfRule>
  </conditionalFormatting>
  <conditionalFormatting sqref="K111">
    <cfRule type="colorScale" priority="588">
      <colorScale>
        <cfvo type="num" val="5"/>
        <cfvo type="num" val="10"/>
        <color rgb="FFFF494D"/>
        <color rgb="FF00FF66"/>
      </colorScale>
    </cfRule>
    <cfRule type="colorScale" priority="5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ontainsBlanks" dxfId="274" priority="580" stopIfTrue="1">
      <formula>LEN(TRIM(K112))=0</formula>
    </cfRule>
    <cfRule type="cellIs" dxfId="273" priority="579" stopIfTrue="1" operator="between">
      <formula>10</formula>
      <formula>10</formula>
    </cfRule>
    <cfRule type="cellIs" dxfId="272" priority="578" operator="between">
      <formula>9</formula>
      <formula>9.9</formula>
    </cfRule>
    <cfRule type="cellIs" dxfId="271" priority="576" operator="between">
      <formula>7</formula>
      <formula>7.9</formula>
    </cfRule>
    <cfRule type="cellIs" dxfId="270" priority="575" operator="between">
      <formula>10.1</formula>
      <formula>10.6</formula>
    </cfRule>
    <cfRule type="cellIs" dxfId="269" priority="577" stopIfTrue="1" operator="between">
      <formula>8</formula>
      <formula>8.9</formula>
    </cfRule>
  </conditionalFormatting>
  <conditionalFormatting sqref="K114">
    <cfRule type="cellIs" dxfId="268" priority="574" operator="between">
      <formula>6</formula>
      <formula>6.9</formula>
    </cfRule>
  </conditionalFormatting>
  <conditionalFormatting sqref="K124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267" priority="532" operator="between">
      <formula>10.1</formula>
      <formula>10.6</formula>
    </cfRule>
    <cfRule type="cellIs" dxfId="266" priority="534" stopIfTrue="1" operator="between">
      <formula>8</formula>
      <formula>8.9</formula>
    </cfRule>
    <cfRule type="cellIs" dxfId="265" priority="535" operator="between">
      <formula>9</formula>
      <formula>9.9</formula>
    </cfRule>
    <cfRule type="cellIs" dxfId="264" priority="536" stopIfTrue="1" operator="between">
      <formula>10</formula>
      <formula>10</formula>
    </cfRule>
    <cfRule type="cellIs" dxfId="263" priority="533" operator="between">
      <formula>7</formula>
      <formula>7.9</formula>
    </cfRule>
    <cfRule type="containsBlanks" dxfId="262" priority="537" stopIfTrue="1">
      <formula>LEN(TRIM(K125))=0</formula>
    </cfRule>
  </conditionalFormatting>
  <conditionalFormatting sqref="K125:K134">
    <cfRule type="cellIs" dxfId="261" priority="525" operator="between">
      <formula>6</formula>
      <formula>6.9</formula>
    </cfRule>
    <cfRule type="cellIs" dxfId="260" priority="526" operator="between">
      <formula>10.1</formula>
      <formula>10.6</formula>
    </cfRule>
    <cfRule type="cellIs" dxfId="259" priority="527" operator="between">
      <formula>7</formula>
      <formula>7.9</formula>
    </cfRule>
    <cfRule type="cellIs" dxfId="258" priority="528" stopIfTrue="1" operator="between">
      <formula>8</formula>
      <formula>8.9</formula>
    </cfRule>
    <cfRule type="cellIs" dxfId="257" priority="529" operator="between">
      <formula>9</formula>
      <formula>9.9</formula>
    </cfRule>
    <cfRule type="cellIs" dxfId="256" priority="530" stopIfTrue="1" operator="between">
      <formula>10</formula>
      <formula>10</formula>
    </cfRule>
    <cfRule type="containsBlanks" dxfId="255" priority="531" stopIfTrue="1">
      <formula>LEN(TRIM(K125))=0</formula>
    </cfRule>
  </conditionalFormatting>
  <conditionalFormatting sqref="K136"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6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54" priority="467" operator="between">
      <formula>6</formula>
      <formula>6.9</formula>
    </cfRule>
    <cfRule type="cellIs" dxfId="253" priority="468" operator="between">
      <formula>10.1</formula>
      <formula>10.6</formula>
    </cfRule>
    <cfRule type="cellIs" dxfId="252" priority="469" operator="between">
      <formula>7</formula>
      <formula>7.9</formula>
    </cfRule>
    <cfRule type="cellIs" dxfId="251" priority="470" stopIfTrue="1" operator="between">
      <formula>8</formula>
      <formula>8.9</formula>
    </cfRule>
    <cfRule type="cellIs" dxfId="250" priority="471" operator="between">
      <formula>9</formula>
      <formula>9.9</formula>
    </cfRule>
    <cfRule type="cellIs" dxfId="249" priority="472" stopIfTrue="1" operator="between">
      <formula>10</formula>
      <formula>10</formula>
    </cfRule>
    <cfRule type="containsBlanks" dxfId="248" priority="473" stopIfTrue="1">
      <formula>LEN(TRIM(K137))=0</formula>
    </cfRule>
  </conditionalFormatting>
  <conditionalFormatting sqref="K149">
    <cfRule type="colorScale" priority="403">
      <colorScale>
        <cfvo type="num" val="5"/>
        <cfvo type="num" val="10"/>
        <color rgb="FFFF494D"/>
        <color rgb="FF00FF66"/>
      </colorScale>
    </cfRule>
    <cfRule type="colorScale" priority="4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ontainsBlanks" dxfId="247" priority="410" stopIfTrue="1">
      <formula>LEN(TRIM(K150))=0</formula>
    </cfRule>
    <cfRule type="cellIs" dxfId="246" priority="407" stopIfTrue="1" operator="between">
      <formula>8</formula>
      <formula>8.9</formula>
    </cfRule>
    <cfRule type="cellIs" dxfId="245" priority="406" operator="between">
      <formula>7</formula>
      <formula>7.9</formula>
    </cfRule>
    <cfRule type="cellIs" dxfId="244" priority="405" operator="between">
      <formula>10.1</formula>
      <formula>10.6</formula>
    </cfRule>
    <cfRule type="cellIs" dxfId="243" priority="404" operator="between">
      <formula>6</formula>
      <formula>6.9</formula>
    </cfRule>
    <cfRule type="cellIs" dxfId="242" priority="408" operator="between">
      <formula>9</formula>
      <formula>9.9</formula>
    </cfRule>
    <cfRule type="cellIs" dxfId="241" priority="409" stopIfTrue="1" operator="between">
      <formula>10</formula>
      <formula>10</formula>
    </cfRule>
  </conditionalFormatting>
  <conditionalFormatting sqref="K165">
    <cfRule type="colorScale" priority="356">
      <colorScale>
        <cfvo type="num" val="5"/>
        <cfvo type="num" val="10"/>
        <color rgb="FFFF494D"/>
        <color rgb="FF00FF66"/>
      </colorScale>
    </cfRule>
    <cfRule type="colorScale" priority="3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240" priority="348" operator="between">
      <formula>6</formula>
      <formula>6.9</formula>
    </cfRule>
    <cfRule type="containsBlanks" dxfId="239" priority="354" stopIfTrue="1">
      <formula>LEN(TRIM(K166))=0</formula>
    </cfRule>
    <cfRule type="cellIs" dxfId="238" priority="353" stopIfTrue="1" operator="between">
      <formula>10</formula>
      <formula>10</formula>
    </cfRule>
    <cfRule type="cellIs" dxfId="237" priority="352" operator="between">
      <formula>9</formula>
      <formula>9.9</formula>
    </cfRule>
    <cfRule type="cellIs" dxfId="236" priority="351" stopIfTrue="1" operator="between">
      <formula>8</formula>
      <formula>8.9</formula>
    </cfRule>
    <cfRule type="cellIs" dxfId="235" priority="350" operator="between">
      <formula>7</formula>
      <formula>7.9</formula>
    </cfRule>
    <cfRule type="cellIs" dxfId="234" priority="349" operator="between">
      <formula>10.1</formula>
      <formula>10.6</formula>
    </cfRule>
  </conditionalFormatting>
  <conditionalFormatting sqref="K175"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0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ontainsBlanks" dxfId="233" priority="327" stopIfTrue="1">
      <formula>LEN(TRIM(K176))=0</formula>
    </cfRule>
    <cfRule type="cellIs" dxfId="232" priority="326" stopIfTrue="1" operator="between">
      <formula>10</formula>
      <formula>10</formula>
    </cfRule>
    <cfRule type="cellIs" dxfId="231" priority="325" operator="between">
      <formula>9</formula>
      <formula>9.9</formula>
    </cfRule>
    <cfRule type="cellIs" dxfId="230" priority="324" stopIfTrue="1" operator="between">
      <formula>8</formula>
      <formula>8.9</formula>
    </cfRule>
    <cfRule type="cellIs" dxfId="229" priority="323" operator="between">
      <formula>7</formula>
      <formula>7.9</formula>
    </cfRule>
    <cfRule type="cellIs" dxfId="228" priority="322" operator="between">
      <formula>10.1</formula>
      <formula>10.6</formula>
    </cfRule>
    <cfRule type="cellIs" dxfId="227" priority="321" operator="between">
      <formula>6</formula>
      <formula>6.9</formula>
    </cfRule>
  </conditionalFormatting>
  <conditionalFormatting sqref="K182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26" priority="301" operator="between">
      <formula>6</formula>
      <formula>6.9</formula>
    </cfRule>
    <cfRule type="containsBlanks" dxfId="225" priority="307" stopIfTrue="1">
      <formula>LEN(TRIM(K183))=0</formula>
    </cfRule>
    <cfRule type="cellIs" dxfId="224" priority="306" stopIfTrue="1" operator="between">
      <formula>10</formula>
      <formula>10</formula>
    </cfRule>
    <cfRule type="cellIs" dxfId="223" priority="305" operator="between">
      <formula>9</formula>
      <formula>9.9</formula>
    </cfRule>
    <cfRule type="cellIs" dxfId="222" priority="304" stopIfTrue="1" operator="between">
      <formula>8</formula>
      <formula>8.9</formula>
    </cfRule>
    <cfRule type="cellIs" dxfId="221" priority="303" operator="between">
      <formula>7</formula>
      <formula>7.9</formula>
    </cfRule>
    <cfRule type="cellIs" dxfId="220" priority="302" operator="between">
      <formula>10.1</formula>
      <formula>10.6</formula>
    </cfRule>
  </conditionalFormatting>
  <conditionalFormatting sqref="K189">
    <cfRule type="colorScale" priority="260">
      <colorScale>
        <cfvo type="num" val="5"/>
        <cfvo type="num" val="10"/>
        <color rgb="FFFF494D"/>
        <color rgb="FF00FF66"/>
      </colorScale>
    </cfRule>
    <cfRule type="colorScale" priority="2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219" priority="261" operator="between">
      <formula>6</formula>
      <formula>6.9</formula>
    </cfRule>
    <cfRule type="cellIs" dxfId="218" priority="262" operator="between">
      <formula>10.1</formula>
      <formula>10.6</formula>
    </cfRule>
    <cfRule type="cellIs" dxfId="217" priority="263" operator="between">
      <formula>7</formula>
      <formula>7.9</formula>
    </cfRule>
    <cfRule type="cellIs" dxfId="216" priority="264" stopIfTrue="1" operator="between">
      <formula>8</formula>
      <formula>8.9</formula>
    </cfRule>
    <cfRule type="cellIs" dxfId="215" priority="265" operator="between">
      <formula>9</formula>
      <formula>9.9</formula>
    </cfRule>
    <cfRule type="cellIs" dxfId="214" priority="266" stopIfTrue="1" operator="between">
      <formula>10</formula>
      <formula>10</formula>
    </cfRule>
    <cfRule type="containsBlanks" dxfId="213" priority="267" stopIfTrue="1">
      <formula>LEN(TRIM(K190))=0</formula>
    </cfRule>
  </conditionalFormatting>
  <conditionalFormatting sqref="K199">
    <cfRule type="colorScale" priority="240">
      <colorScale>
        <cfvo type="num" val="5"/>
        <cfvo type="num" val="10"/>
        <color rgb="FFFF494D"/>
        <color rgb="FF00FF66"/>
      </colorScale>
    </cfRule>
    <cfRule type="colorScale" priority="2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212" priority="233" operator="between">
      <formula>10.1</formula>
      <formula>10.6</formula>
    </cfRule>
    <cfRule type="cellIs" dxfId="211" priority="234" operator="between">
      <formula>7</formula>
      <formula>7.9</formula>
    </cfRule>
    <cfRule type="cellIs" dxfId="210" priority="232" operator="between">
      <formula>6</formula>
      <formula>6.9</formula>
    </cfRule>
    <cfRule type="containsBlanks" dxfId="209" priority="238" stopIfTrue="1">
      <formula>LEN(TRIM(K200))=0</formula>
    </cfRule>
    <cfRule type="cellIs" dxfId="208" priority="237" stopIfTrue="1" operator="between">
      <formula>10</formula>
      <formula>10</formula>
    </cfRule>
    <cfRule type="cellIs" dxfId="207" priority="236" operator="between">
      <formula>9</formula>
      <formula>9.9</formula>
    </cfRule>
    <cfRule type="cellIs" dxfId="206" priority="235" stopIfTrue="1" operator="between">
      <formula>8</formula>
      <formula>8.9</formula>
    </cfRule>
  </conditionalFormatting>
  <conditionalFormatting sqref="K208">
    <cfRule type="colorScale" priority="201">
      <colorScale>
        <cfvo type="num" val="5"/>
        <cfvo type="num" val="10"/>
        <color rgb="FFFF494D"/>
        <color rgb="FF00FF66"/>
      </colorScale>
    </cfRule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205" priority="203" operator="between">
      <formula>10.1</formula>
      <formula>11</formula>
    </cfRule>
    <cfRule type="cellIs" dxfId="204" priority="202" operator="between">
      <formula>6</formula>
      <formula>6.9</formula>
    </cfRule>
    <cfRule type="containsBlanks" dxfId="203" priority="208" stopIfTrue="1">
      <formula>LEN(TRIM(K209))=0</formula>
    </cfRule>
    <cfRule type="cellIs" dxfId="202" priority="207" stopIfTrue="1" operator="between">
      <formula>10</formula>
      <formula>10</formula>
    </cfRule>
    <cfRule type="cellIs" dxfId="201" priority="206" operator="between">
      <formula>9</formula>
      <formula>9.9</formula>
    </cfRule>
    <cfRule type="cellIs" dxfId="200" priority="205" stopIfTrue="1" operator="between">
      <formula>8</formula>
      <formula>8.9</formula>
    </cfRule>
    <cfRule type="cellIs" dxfId="199" priority="204" operator="between">
      <formula>7</formula>
      <formula>7.9</formula>
    </cfRule>
  </conditionalFormatting>
  <conditionalFormatting sqref="K219">
    <cfRule type="colorScale" priority="157">
      <colorScale>
        <cfvo type="num" val="5"/>
        <cfvo type="num" val="10"/>
        <color rgb="FFFF494D"/>
        <color rgb="FF00FF66"/>
      </colorScale>
    </cfRule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198" priority="153" operator="between">
      <formula>9</formula>
      <formula>9.9</formula>
    </cfRule>
    <cfRule type="containsBlanks" dxfId="197" priority="155" stopIfTrue="1">
      <formula>LEN(TRIM(K220))=0</formula>
    </cfRule>
    <cfRule type="cellIs" dxfId="196" priority="151" operator="between">
      <formula>7</formula>
      <formula>7.9</formula>
    </cfRule>
    <cfRule type="cellIs" dxfId="195" priority="150" operator="between">
      <formula>10.1</formula>
      <formula>10.6</formula>
    </cfRule>
    <cfRule type="cellIs" dxfId="194" priority="149" operator="between">
      <formula>6</formula>
      <formula>6.9</formula>
    </cfRule>
    <cfRule type="cellIs" dxfId="193" priority="154" stopIfTrue="1" operator="between">
      <formula>10</formula>
      <formula>10</formula>
    </cfRule>
    <cfRule type="cellIs" dxfId="192" priority="152" stopIfTrue="1" operator="between">
      <formula>8</formula>
      <formula>8.9</formula>
    </cfRule>
  </conditionalFormatting>
  <conditionalFormatting sqref="K237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191" priority="86" operator="between">
      <formula>6</formula>
      <formula>6.9</formula>
    </cfRule>
    <cfRule type="containsBlanks" dxfId="190" priority="92" stopIfTrue="1">
      <formula>LEN(TRIM(K238))=0</formula>
    </cfRule>
    <cfRule type="cellIs" dxfId="189" priority="91" stopIfTrue="1" operator="between">
      <formula>10</formula>
      <formula>10</formula>
    </cfRule>
    <cfRule type="cellIs" dxfId="188" priority="90" operator="between">
      <formula>9</formula>
      <formula>9.9</formula>
    </cfRule>
    <cfRule type="cellIs" dxfId="187" priority="89" stopIfTrue="1" operator="between">
      <formula>8</formula>
      <formula>8.9</formula>
    </cfRule>
    <cfRule type="cellIs" dxfId="186" priority="88" operator="between">
      <formula>7</formula>
      <formula>7.9</formula>
    </cfRule>
    <cfRule type="cellIs" dxfId="185" priority="87" operator="between">
      <formula>10.1</formula>
      <formula>10.6</formula>
    </cfRule>
  </conditionalFormatting>
  <conditionalFormatting sqref="K252">
    <cfRule type="colorScale" priority="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184" priority="41" operator="between">
      <formula>6</formula>
      <formula>6.9</formula>
    </cfRule>
    <cfRule type="cellIs" dxfId="183" priority="42" operator="between">
      <formula>10.1</formula>
      <formula>10.6</formula>
    </cfRule>
    <cfRule type="cellIs" dxfId="182" priority="43" operator="between">
      <formula>7</formula>
      <formula>7.9</formula>
    </cfRule>
    <cfRule type="cellIs" dxfId="181" priority="45" operator="between">
      <formula>9</formula>
      <formula>9.9</formula>
    </cfRule>
    <cfRule type="cellIs" dxfId="180" priority="46" stopIfTrue="1" operator="between">
      <formula>10</formula>
      <formula>10</formula>
    </cfRule>
    <cfRule type="containsBlanks" dxfId="179" priority="47" stopIfTrue="1">
      <formula>LEN(TRIM(K253))=0</formula>
    </cfRule>
    <cfRule type="cellIs" dxfId="178" priority="44" stopIfTrue="1" operator="between">
      <formula>8</formula>
      <formula>8.9</formula>
    </cfRule>
  </conditionalFormatting>
  <conditionalFormatting sqref="K264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ontainsBlanks" dxfId="177" priority="18" stopIfTrue="1">
      <formula>LEN(TRIM(K265))=0</formula>
    </cfRule>
    <cfRule type="cellIs" dxfId="176" priority="17" stopIfTrue="1" operator="between">
      <formula>10</formula>
      <formula>10</formula>
    </cfRule>
    <cfRule type="cellIs" dxfId="175" priority="16" operator="between">
      <formula>9</formula>
      <formula>9.9</formula>
    </cfRule>
    <cfRule type="cellIs" dxfId="174" priority="15" stopIfTrue="1" operator="between">
      <formula>8</formula>
      <formula>8.9</formula>
    </cfRule>
    <cfRule type="cellIs" dxfId="173" priority="14" operator="between">
      <formula>7</formula>
      <formula>7.9</formula>
    </cfRule>
    <cfRule type="cellIs" dxfId="172" priority="13" operator="between">
      <formula>10.1</formula>
      <formula>10.6</formula>
    </cfRule>
    <cfRule type="cellIs" dxfId="171" priority="12" operator="between">
      <formula>6</formula>
      <formula>6.9</formula>
    </cfRule>
  </conditionalFormatting>
  <conditionalFormatting sqref="M28">
    <cfRule type="colorScale" priority="1277">
      <colorScale>
        <cfvo type="num" val="5"/>
        <cfvo type="num" val="10"/>
        <color rgb="FFFF494D"/>
        <color rgb="FF00FF66"/>
      </colorScale>
    </cfRule>
    <cfRule type="colorScale" priority="1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2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8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70" priority="874" operator="between">
      <formula>7</formula>
      <formula>7.9</formula>
    </cfRule>
    <cfRule type="cellIs" dxfId="169" priority="873" operator="between">
      <formula>10.1</formula>
      <formula>10.6</formula>
    </cfRule>
    <cfRule type="cellIs" dxfId="168" priority="876" operator="between">
      <formula>9</formula>
      <formula>9.9</formula>
    </cfRule>
    <cfRule type="cellIs" dxfId="167" priority="877" stopIfTrue="1" operator="between">
      <formula>10</formula>
      <formula>10</formula>
    </cfRule>
    <cfRule type="containsBlanks" dxfId="166" priority="878" stopIfTrue="1">
      <formula>LEN(TRIM(N3))=0</formula>
    </cfRule>
    <cfRule type="cellIs" dxfId="165" priority="875" stopIfTrue="1" operator="between">
      <formula>8</formula>
      <formula>8.9</formula>
    </cfRule>
  </conditionalFormatting>
  <conditionalFormatting sqref="N15:N26">
    <cfRule type="cellIs" dxfId="164" priority="1005" operator="between">
      <formula>7</formula>
      <formula>7.9</formula>
    </cfRule>
    <cfRule type="cellIs" dxfId="163" priority="1006" stopIfTrue="1" operator="between">
      <formula>8</formula>
      <formula>8.9</formula>
    </cfRule>
    <cfRule type="cellIs" dxfId="162" priority="1007" operator="between">
      <formula>9</formula>
      <formula>9.9</formula>
    </cfRule>
    <cfRule type="cellIs" dxfId="161" priority="1008" stopIfTrue="1" operator="between">
      <formula>10</formula>
      <formula>10</formula>
    </cfRule>
  </conditionalFormatting>
  <conditionalFormatting sqref="N28"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1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60" priority="1012" stopIfTrue="1" operator="between">
      <formula>10</formula>
      <formula>10</formula>
    </cfRule>
    <cfRule type="cellIs" dxfId="159" priority="1011" operator="between">
      <formula>9</formula>
      <formula>9.9</formula>
    </cfRule>
    <cfRule type="cellIs" dxfId="158" priority="1009" operator="between">
      <formula>7</formula>
      <formula>7.9</formula>
    </cfRule>
    <cfRule type="cellIs" dxfId="157" priority="1010" stopIfTrue="1" operator="between">
      <formula>8</formula>
      <formula>8.9</formula>
    </cfRule>
  </conditionalFormatting>
  <conditionalFormatting sqref="N39">
    <cfRule type="colorScale" priority="1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4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56" priority="816" operator="between">
      <formula>9</formula>
      <formula>9.9</formula>
    </cfRule>
    <cfRule type="cellIs" dxfId="155" priority="814" operator="between">
      <formula>7</formula>
      <formula>7.9</formula>
    </cfRule>
    <cfRule type="cellIs" dxfId="154" priority="813" operator="between">
      <formula>10.1</formula>
      <formula>10.6</formula>
    </cfRule>
    <cfRule type="cellIs" dxfId="153" priority="817" stopIfTrue="1" operator="between">
      <formula>10</formula>
      <formula>10</formula>
    </cfRule>
    <cfRule type="containsBlanks" dxfId="152" priority="818" stopIfTrue="1">
      <formula>LEN(TRIM(N40))=0</formula>
    </cfRule>
    <cfRule type="cellIs" dxfId="151" priority="815" stopIfTrue="1" operator="between">
      <formula>8</formula>
      <formula>8.9</formula>
    </cfRule>
  </conditionalFormatting>
  <conditionalFormatting sqref="N54">
    <cfRule type="colorScale" priority="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2">
      <colorScale>
        <cfvo type="num" val="5"/>
        <cfvo type="num" val="10"/>
        <color rgb="FFFF494D"/>
        <color rgb="FF00FF66"/>
      </colorScale>
    </cfRule>
  </conditionalFormatting>
  <conditionalFormatting sqref="N55:N65">
    <cfRule type="containsBlanks" dxfId="150" priority="800" stopIfTrue="1">
      <formula>LEN(TRIM(N55))=0</formula>
    </cfRule>
    <cfRule type="cellIs" dxfId="149" priority="799" stopIfTrue="1" operator="between">
      <formula>10</formula>
      <formula>10</formula>
    </cfRule>
    <cfRule type="cellIs" dxfId="148" priority="798" operator="between">
      <formula>9</formula>
      <formula>9.9</formula>
    </cfRule>
    <cfRule type="cellIs" dxfId="147" priority="797" stopIfTrue="1" operator="between">
      <formula>8</formula>
      <formula>8.9</formula>
    </cfRule>
    <cfRule type="cellIs" dxfId="146" priority="796" operator="between">
      <formula>7</formula>
      <formula>7.9</formula>
    </cfRule>
    <cfRule type="cellIs" dxfId="145" priority="795" operator="between">
      <formula>10.1</formula>
      <formula>10.6</formula>
    </cfRule>
  </conditionalFormatting>
  <conditionalFormatting sqref="N67">
    <cfRule type="colorScale" priority="7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3">
      <colorScale>
        <cfvo type="num" val="5"/>
        <cfvo type="num" val="10"/>
        <color rgb="FFFF494D"/>
        <color rgb="FF00FF66"/>
      </colorScale>
    </cfRule>
  </conditionalFormatting>
  <conditionalFormatting sqref="N68:N77">
    <cfRule type="containsBlanks" dxfId="144" priority="751" stopIfTrue="1">
      <formula>LEN(TRIM(N68))=0</formula>
    </cfRule>
    <cfRule type="cellIs" dxfId="143" priority="750" stopIfTrue="1" operator="between">
      <formula>10</formula>
      <formula>10</formula>
    </cfRule>
    <cfRule type="cellIs" dxfId="142" priority="749" operator="between">
      <formula>9</formula>
      <formula>9.9</formula>
    </cfRule>
    <cfRule type="cellIs" dxfId="141" priority="748" stopIfTrue="1" operator="between">
      <formula>8</formula>
      <formula>8.9</formula>
    </cfRule>
    <cfRule type="cellIs" dxfId="140" priority="747" operator="between">
      <formula>7</formula>
      <formula>7.9</formula>
    </cfRule>
    <cfRule type="cellIs" dxfId="139" priority="746" operator="between">
      <formula>10.1</formula>
      <formula>10.6</formula>
    </cfRule>
  </conditionalFormatting>
  <conditionalFormatting sqref="N79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38" priority="679" stopIfTrue="1" operator="between">
      <formula>8</formula>
      <formula>8.9</formula>
    </cfRule>
    <cfRule type="cellIs" dxfId="137" priority="678" operator="between">
      <formula>7</formula>
      <formula>7.9</formula>
    </cfRule>
    <cfRule type="cellIs" dxfId="136" priority="677" operator="between">
      <formula>10.1</formula>
      <formula>10.6</formula>
    </cfRule>
    <cfRule type="cellIs" dxfId="135" priority="680" operator="between">
      <formula>9</formula>
      <formula>9.9</formula>
    </cfRule>
    <cfRule type="cellIs" dxfId="134" priority="681" stopIfTrue="1" operator="between">
      <formula>10</formula>
      <formula>10</formula>
    </cfRule>
    <cfRule type="containsBlanks" dxfId="133" priority="682" stopIfTrue="1">
      <formula>LEN(TRIM(N80))=0</formula>
    </cfRule>
  </conditionalFormatting>
  <conditionalFormatting sqref="N93">
    <cfRule type="colorScale" priority="639">
      <colorScale>
        <cfvo type="num" val="5"/>
        <cfvo type="num" val="10"/>
        <color rgb="FFFF494D"/>
        <color rgb="FF00FF66"/>
      </colorScale>
    </cfRule>
    <cfRule type="colorScale" priority="6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132" priority="645" stopIfTrue="1">
      <formula>LEN(TRIM(N94))=0</formula>
    </cfRule>
    <cfRule type="cellIs" dxfId="131" priority="644" stopIfTrue="1" operator="between">
      <formula>10</formula>
      <formula>10</formula>
    </cfRule>
    <cfRule type="cellIs" dxfId="130" priority="643" operator="between">
      <formula>9</formula>
      <formula>9.9</formula>
    </cfRule>
    <cfRule type="cellIs" dxfId="129" priority="642" stopIfTrue="1" operator="between">
      <formula>8</formula>
      <formula>8.9</formula>
    </cfRule>
    <cfRule type="cellIs" dxfId="128" priority="641" operator="between">
      <formula>7</formula>
      <formula>7.9</formula>
    </cfRule>
    <cfRule type="cellIs" dxfId="127" priority="640" operator="between">
      <formula>10.1</formula>
      <formula>10.6</formula>
    </cfRule>
  </conditionalFormatting>
  <conditionalFormatting sqref="N112"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3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26" priority="566" operator="between">
      <formula>10.1</formula>
      <formula>10.6</formula>
    </cfRule>
    <cfRule type="cellIs" dxfId="125" priority="567" operator="between">
      <formula>7</formula>
      <formula>7.9</formula>
    </cfRule>
    <cfRule type="cellIs" dxfId="124" priority="568" stopIfTrue="1" operator="between">
      <formula>8</formula>
      <formula>8.9</formula>
    </cfRule>
    <cfRule type="cellIs" dxfId="123" priority="569" operator="between">
      <formula>9</formula>
      <formula>9.9</formula>
    </cfRule>
    <cfRule type="cellIs" dxfId="122" priority="570" stopIfTrue="1" operator="between">
      <formula>10</formula>
      <formula>10</formula>
    </cfRule>
    <cfRule type="containsBlanks" dxfId="121" priority="571" stopIfTrue="1">
      <formula>LEN(TRIM(N113))=0</formula>
    </cfRule>
  </conditionalFormatting>
  <conditionalFormatting sqref="N127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20" priority="499" operator="between">
      <formula>10.1</formula>
      <formula>10.6</formula>
    </cfRule>
    <cfRule type="containsBlanks" dxfId="119" priority="504" stopIfTrue="1">
      <formula>LEN(TRIM(N128))=0</formula>
    </cfRule>
    <cfRule type="cellIs" dxfId="118" priority="503" stopIfTrue="1" operator="between">
      <formula>10</formula>
      <formula>10</formula>
    </cfRule>
    <cfRule type="cellIs" dxfId="117" priority="501" stopIfTrue="1" operator="between">
      <formula>8</formula>
      <formula>8.9</formula>
    </cfRule>
    <cfRule type="cellIs" dxfId="116" priority="500" operator="between">
      <formula>7</formula>
      <formula>7.9</formula>
    </cfRule>
    <cfRule type="cellIs" dxfId="115" priority="492" operator="between">
      <formula>6</formula>
      <formula>6.9</formula>
    </cfRule>
    <cfRule type="cellIs" dxfId="114" priority="493" operator="between">
      <formula>10.1</formula>
      <formula>10.6</formula>
    </cfRule>
    <cfRule type="cellIs" dxfId="113" priority="494" operator="between">
      <formula>7</formula>
      <formula>7.9</formula>
    </cfRule>
    <cfRule type="cellIs" dxfId="112" priority="495" stopIfTrue="1" operator="between">
      <formula>8</formula>
      <formula>8.9</formula>
    </cfRule>
    <cfRule type="cellIs" dxfId="111" priority="496" operator="between">
      <formula>9</formula>
      <formula>9.9</formula>
    </cfRule>
    <cfRule type="cellIs" dxfId="110" priority="497" stopIfTrue="1" operator="between">
      <formula>10</formula>
      <formula>10</formula>
    </cfRule>
    <cfRule type="containsBlanks" dxfId="109" priority="498" stopIfTrue="1">
      <formula>LEN(TRIM(N128))=0</formula>
    </cfRule>
    <cfRule type="cellIs" dxfId="108" priority="502" operator="between">
      <formula>9</formula>
      <formula>9.9</formula>
    </cfRule>
  </conditionalFormatting>
  <conditionalFormatting sqref="N137">
    <cfRule type="colorScale" priority="464">
      <colorScale>
        <cfvo type="num" val="5"/>
        <cfvo type="num" val="10"/>
        <color rgb="FFFF494D"/>
        <color rgb="FF00FF66"/>
      </colorScale>
    </cfRule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107" priority="461" stopIfTrue="1" operator="between">
      <formula>10</formula>
      <formula>10</formula>
    </cfRule>
    <cfRule type="cellIs" dxfId="106" priority="460" operator="between">
      <formula>9</formula>
      <formula>9.9</formula>
    </cfRule>
    <cfRule type="cellIs" dxfId="105" priority="459" stopIfTrue="1" operator="between">
      <formula>8</formula>
      <formula>8.9</formula>
    </cfRule>
    <cfRule type="cellIs" dxfId="104" priority="458" operator="between">
      <formula>7</formula>
      <formula>7.9</formula>
    </cfRule>
    <cfRule type="cellIs" dxfId="103" priority="457" operator="between">
      <formula>10.1</formula>
      <formula>10.6</formula>
    </cfRule>
    <cfRule type="cellIs" dxfId="102" priority="456" operator="between">
      <formula>6</formula>
      <formula>6.9</formula>
    </cfRule>
    <cfRule type="containsBlanks" dxfId="101" priority="462" stopIfTrue="1">
      <formula>LEN(TRIM(N138))=0</formula>
    </cfRule>
  </conditionalFormatting>
  <conditionalFormatting sqref="N144">
    <cfRule type="colorScale" priority="455">
      <colorScale>
        <cfvo type="num" val="5"/>
        <cfvo type="num" val="10"/>
        <color rgb="FFFF494D"/>
        <color rgb="FF00FF66"/>
      </colorScale>
    </cfRule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100" priority="451" operator="between">
      <formula>9</formula>
      <formula>9.9</formula>
    </cfRule>
    <cfRule type="cellIs" dxfId="99" priority="447" operator="between">
      <formula>6</formula>
      <formula>6.9</formula>
    </cfRule>
    <cfRule type="cellIs" dxfId="98" priority="448" operator="between">
      <formula>10.1</formula>
      <formula>10.6</formula>
    </cfRule>
    <cfRule type="cellIs" dxfId="97" priority="449" operator="between">
      <formula>7</formula>
      <formula>7.9</formula>
    </cfRule>
    <cfRule type="cellIs" dxfId="96" priority="450" stopIfTrue="1" operator="between">
      <formula>8</formula>
      <formula>8.9</formula>
    </cfRule>
    <cfRule type="containsBlanks" dxfId="95" priority="453" stopIfTrue="1">
      <formula>LEN(TRIM(N145))=0</formula>
    </cfRule>
    <cfRule type="cellIs" dxfId="94" priority="452" stopIfTrue="1" operator="between">
      <formula>10</formula>
      <formula>10</formula>
    </cfRule>
  </conditionalFormatting>
  <conditionalFormatting sqref="N152">
    <cfRule type="colorScale" priority="4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1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93" priority="397" operator="between">
      <formula>9</formula>
      <formula>9.9</formula>
    </cfRule>
    <cfRule type="cellIs" dxfId="92" priority="396" stopIfTrue="1" operator="between">
      <formula>8</formula>
      <formula>8.9</formula>
    </cfRule>
    <cfRule type="cellIs" dxfId="91" priority="395" operator="between">
      <formula>7</formula>
      <formula>7.9</formula>
    </cfRule>
    <cfRule type="cellIs" dxfId="90" priority="394" operator="between">
      <formula>10.1</formula>
      <formula>10.6</formula>
    </cfRule>
    <cfRule type="cellIs" dxfId="89" priority="393" operator="between">
      <formula>6</formula>
      <formula>6.9</formula>
    </cfRule>
    <cfRule type="containsBlanks" dxfId="88" priority="399" stopIfTrue="1">
      <formula>LEN(TRIM(N153))=0</formula>
    </cfRule>
    <cfRule type="cellIs" dxfId="87" priority="398" stopIfTrue="1" operator="between">
      <formula>10</formula>
      <formula>10</formula>
    </cfRule>
  </conditionalFormatting>
  <conditionalFormatting sqref="N161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ontainsBlanks" dxfId="86" priority="383" stopIfTrue="1">
      <formula>LEN(TRIM(N162))=0</formula>
    </cfRule>
    <cfRule type="cellIs" dxfId="85" priority="380" stopIfTrue="1" operator="between">
      <formula>8</formula>
      <formula>8.9</formula>
    </cfRule>
    <cfRule type="cellIs" dxfId="84" priority="381" operator="between">
      <formula>9</formula>
      <formula>9.9</formula>
    </cfRule>
    <cfRule type="cellIs" dxfId="83" priority="377" operator="between">
      <formula>6</formula>
      <formula>6.9</formula>
    </cfRule>
    <cfRule type="cellIs" dxfId="82" priority="378" operator="between">
      <formula>10.1</formula>
      <formula>10.6</formula>
    </cfRule>
    <cfRule type="cellIs" dxfId="81" priority="382" stopIfTrue="1" operator="between">
      <formula>10</formula>
      <formula>10</formula>
    </cfRule>
    <cfRule type="cellIs" dxfId="80" priority="379" operator="between">
      <formula>7</formula>
      <formula>7.9</formula>
    </cfRule>
  </conditionalFormatting>
  <conditionalFormatting sqref="N182">
    <cfRule type="colorScale" priority="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9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2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79" priority="268" operator="between">
      <formula>6</formula>
      <formula>6.9</formula>
    </cfRule>
    <cfRule type="containsBlanks" dxfId="78" priority="274" stopIfTrue="1">
      <formula>LEN(TRIM(N186))=0</formula>
    </cfRule>
    <cfRule type="cellIs" dxfId="77" priority="269" operator="between">
      <formula>10.1</formula>
      <formula>10.6</formula>
    </cfRule>
    <cfRule type="cellIs" dxfId="76" priority="270" operator="between">
      <formula>7</formula>
      <formula>7.9</formula>
    </cfRule>
    <cfRule type="cellIs" dxfId="75" priority="271" stopIfTrue="1" operator="between">
      <formula>8</formula>
      <formula>8.9</formula>
    </cfRule>
    <cfRule type="cellIs" dxfId="74" priority="272" operator="between">
      <formula>9</formula>
      <formula>9.9</formula>
    </cfRule>
    <cfRule type="cellIs" dxfId="73" priority="273" stopIfTrue="1" operator="between">
      <formula>10</formula>
      <formula>10</formula>
    </cfRule>
  </conditionalFormatting>
  <conditionalFormatting sqref="N211">
    <cfRule type="colorScale" priority="1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72" priority="186" operator="between">
      <formula>10.1</formula>
      <formula>11</formula>
    </cfRule>
    <cfRule type="cellIs" dxfId="71" priority="185" operator="between">
      <formula>6</formula>
      <formula>6.9</formula>
    </cfRule>
    <cfRule type="cellIs" dxfId="70" priority="187" operator="between">
      <formula>7</formula>
      <formula>7.9</formula>
    </cfRule>
    <cfRule type="cellIs" dxfId="69" priority="188" stopIfTrue="1" operator="between">
      <formula>8</formula>
      <formula>8.9</formula>
    </cfRule>
    <cfRule type="cellIs" dxfId="68" priority="189" operator="between">
      <formula>9</formula>
      <formula>9.9</formula>
    </cfRule>
    <cfRule type="cellIs" dxfId="67" priority="190" stopIfTrue="1" operator="between">
      <formula>10</formula>
      <formula>10</formula>
    </cfRule>
    <cfRule type="containsBlanks" dxfId="66" priority="191" stopIfTrue="1">
      <formula>LEN(TRIM(N212))=0</formula>
    </cfRule>
  </conditionalFormatting>
  <conditionalFormatting sqref="N228">
    <cfRule type="colorScale" priority="130">
      <colorScale>
        <cfvo type="num" val="5"/>
        <cfvo type="num" val="10"/>
        <color rgb="FFFF494D"/>
        <color rgb="FF00FF66"/>
      </colorScale>
    </cfRule>
    <cfRule type="colorScale" priority="1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65" priority="136" stopIfTrue="1" operator="between">
      <formula>10</formula>
      <formula>10</formula>
    </cfRule>
    <cfRule type="containsBlanks" dxfId="64" priority="137" stopIfTrue="1">
      <formula>LEN(TRIM(N229))=0</formula>
    </cfRule>
    <cfRule type="cellIs" dxfId="63" priority="135" operator="between">
      <formula>9</formula>
      <formula>9.9</formula>
    </cfRule>
    <cfRule type="cellIs" dxfId="62" priority="134" stopIfTrue="1" operator="between">
      <formula>8</formula>
      <formula>8.9</formula>
    </cfRule>
    <cfRule type="cellIs" dxfId="61" priority="133" operator="between">
      <formula>7</formula>
      <formula>7.9</formula>
    </cfRule>
    <cfRule type="cellIs" dxfId="60" priority="132" operator="between">
      <formula>10.1</formula>
      <formula>11</formula>
    </cfRule>
    <cfRule type="cellIs" dxfId="59" priority="131" operator="between">
      <formula>6</formula>
      <formula>6.9</formula>
    </cfRule>
  </conditionalFormatting>
  <conditionalFormatting sqref="N240"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ontainsBlanks" dxfId="58" priority="83" stopIfTrue="1">
      <formula>LEN(TRIM(N241))=0</formula>
    </cfRule>
    <cfRule type="cellIs" dxfId="57" priority="77" operator="between">
      <formula>6</formula>
      <formula>6.9</formula>
    </cfRule>
    <cfRule type="cellIs" dxfId="56" priority="78" operator="between">
      <formula>10.1</formula>
      <formula>10.6</formula>
    </cfRule>
    <cfRule type="cellIs" dxfId="55" priority="79" operator="between">
      <formula>7</formula>
      <formula>7.9</formula>
    </cfRule>
    <cfRule type="cellIs" dxfId="54" priority="80" stopIfTrue="1" operator="between">
      <formula>8</formula>
      <formula>8.9</formula>
    </cfRule>
    <cfRule type="cellIs" dxfId="53" priority="81" operator="between">
      <formula>9</formula>
      <formula>9.9</formula>
    </cfRule>
    <cfRule type="cellIs" dxfId="52" priority="82" stopIfTrue="1" operator="between">
      <formula>10</formula>
      <formula>10</formula>
    </cfRule>
  </conditionalFormatting>
  <conditionalFormatting sqref="N249">
    <cfRule type="colorScale" priority="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51" priority="53" stopIfTrue="1" operator="between">
      <formula>8</formula>
      <formula>8.9</formula>
    </cfRule>
    <cfRule type="cellIs" dxfId="50" priority="52" operator="between">
      <formula>7</formula>
      <formula>7.9</formula>
    </cfRule>
    <cfRule type="cellIs" dxfId="49" priority="51" operator="between">
      <formula>10.1</formula>
      <formula>10.6</formula>
    </cfRule>
    <cfRule type="cellIs" dxfId="48" priority="50" operator="between">
      <formula>6</formula>
      <formula>6.9</formula>
    </cfRule>
    <cfRule type="cellIs" dxfId="47" priority="54" operator="between">
      <formula>9</formula>
      <formula>9.9</formula>
    </cfRule>
    <cfRule type="containsBlanks" dxfId="46" priority="56" stopIfTrue="1">
      <formula>LEN(TRIM(N250))=0</formula>
    </cfRule>
    <cfRule type="cellIs" dxfId="45" priority="55" stopIfTrue="1" operator="between">
      <formula>10</formula>
      <formula>10</formula>
    </cfRule>
  </conditionalFormatting>
  <conditionalFormatting sqref="AS3:AS9">
    <cfRule type="cellIs" dxfId="44" priority="944" operator="between">
      <formula>10</formula>
      <formula>10</formula>
    </cfRule>
    <cfRule type="cellIs" dxfId="43" priority="943" operator="between">
      <formula>9</formula>
      <formula>9.9</formula>
    </cfRule>
    <cfRule type="cellIs" dxfId="42" priority="942" operator="between">
      <formula>8</formula>
      <formula>8.9</formula>
    </cfRule>
    <cfRule type="cellIs" dxfId="41" priority="941" operator="between">
      <formula>7</formula>
      <formula>7.9</formula>
    </cfRule>
  </conditionalFormatting>
  <conditionalFormatting sqref="E266:E275">
    <cfRule type="cellIs" dxfId="4" priority="3" operator="between">
      <formula>6</formula>
      <formula>6.9</formula>
    </cfRule>
    <cfRule type="cellIs" dxfId="1" priority="4" operator="between">
      <formula>10.1</formula>
      <formula>10.6</formula>
    </cfRule>
    <cfRule type="cellIs" dxfId="0" priority="5" operator="between">
      <formula>7</formula>
      <formula>7.9</formula>
    </cfRule>
    <cfRule type="cellIs" dxfId="6" priority="6" stopIfTrue="1" operator="between">
      <formula>8</formula>
      <formula>8.9</formula>
    </cfRule>
    <cfRule type="cellIs" dxfId="5" priority="7" operator="between">
      <formula>9</formula>
      <formula>9.9</formula>
    </cfRule>
    <cfRule type="cellIs" dxfId="3" priority="8" stopIfTrue="1" operator="between">
      <formula>10</formula>
      <formula>10</formula>
    </cfRule>
    <cfRule type="containsBlanks" dxfId="2" priority="9" stopIfTrue="1">
      <formula>LEN(TRIM(E266))=0</formula>
    </cfRule>
  </conditionalFormatting>
  <conditionalFormatting sqref="E265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" customHeight="1" x14ac:dyDescent="0.25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" customHeight="1" x14ac:dyDescent="0.2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" customHeight="1" x14ac:dyDescent="0.2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" customHeight="1" x14ac:dyDescent="0.2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" customHeight="1" x14ac:dyDescent="0.2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" customHeight="1" x14ac:dyDescent="0.2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" customHeight="1" x14ac:dyDescent="0.2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" customHeight="1" x14ac:dyDescent="0.2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" customHeight="1" x14ac:dyDescent="0.2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" customHeight="1" x14ac:dyDescent="0.2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" customHeight="1" x14ac:dyDescent="0.2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" customHeight="1" x14ac:dyDescent="0.2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" customHeight="1" x14ac:dyDescent="0.2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" customHeight="1" x14ac:dyDescent="0.2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" customHeight="1" x14ac:dyDescent="0.2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" customHeight="1" x14ac:dyDescent="0.2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" customHeight="1" x14ac:dyDescent="0.2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" customHeight="1" x14ac:dyDescent="0.2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" customHeight="1" x14ac:dyDescent="0.2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" customHeight="1" x14ac:dyDescent="0.2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" customHeight="1" x14ac:dyDescent="0.2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" customHeight="1" x14ac:dyDescent="0.2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" customHeight="1" x14ac:dyDescent="0.2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" customHeight="1" x14ac:dyDescent="0.2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" customHeight="1" x14ac:dyDescent="0.2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" customHeight="1" x14ac:dyDescent="0.2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" customHeight="1" x14ac:dyDescent="0.2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" customHeight="1" x14ac:dyDescent="0.2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" customHeight="1" x14ac:dyDescent="0.2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" customHeight="1" x14ac:dyDescent="0.2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" customHeight="1" x14ac:dyDescent="0.2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" customHeight="1" x14ac:dyDescent="0.2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" customHeight="1" x14ac:dyDescent="0.2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" customHeight="1" x14ac:dyDescent="0.2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" customHeight="1" x14ac:dyDescent="0.2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" customHeight="1" x14ac:dyDescent="0.2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" customHeight="1" x14ac:dyDescent="0.2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" customHeight="1" x14ac:dyDescent="0.2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" customHeight="1" x14ac:dyDescent="0.2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" customHeight="1" x14ac:dyDescent="0.2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" customHeight="1" x14ac:dyDescent="0.2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" customHeight="1" x14ac:dyDescent="0.2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" customHeight="1" x14ac:dyDescent="0.2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" customHeight="1" x14ac:dyDescent="0.2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" customHeight="1" x14ac:dyDescent="0.2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" customHeight="1" x14ac:dyDescent="0.2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" customHeight="1" x14ac:dyDescent="0.2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" customHeight="1" x14ac:dyDescent="0.2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" customHeight="1" x14ac:dyDescent="0.2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" customHeight="1" x14ac:dyDescent="0.2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" customHeight="1" x14ac:dyDescent="0.2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" customHeight="1" x14ac:dyDescent="0.2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" customHeight="1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40" priority="17" operator="equal">
      <formula>10</formula>
    </cfRule>
  </conditionalFormatting>
  <conditionalFormatting sqref="C6">
    <cfRule type="containsBlanks" dxfId="39" priority="18">
      <formula>LEN(TRIM(C6))=0</formula>
    </cfRule>
  </conditionalFormatting>
  <conditionalFormatting sqref="C8">
    <cfRule type="containsBlanks" dxfId="38" priority="20">
      <formula>LEN(TRIM(C8))=0</formula>
    </cfRule>
  </conditionalFormatting>
  <conditionalFormatting sqref="C10">
    <cfRule type="containsBlanks" dxfId="37" priority="22">
      <formula>LEN(TRIM(C10))=0</formula>
    </cfRule>
  </conditionalFormatting>
  <conditionalFormatting sqref="C12">
    <cfRule type="containsBlanks" dxfId="36" priority="24">
      <formula>LEN(TRIM(C12))=0</formula>
    </cfRule>
  </conditionalFormatting>
  <conditionalFormatting sqref="C14">
    <cfRule type="containsBlanks" dxfId="35" priority="26">
      <formula>LEN(TRIM(C14))=0</formula>
    </cfRule>
  </conditionalFormatting>
  <conditionalFormatting sqref="C16">
    <cfRule type="containsBlanks" dxfId="34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33" priority="3" operator="equal">
      <formula>10</formula>
    </cfRule>
  </conditionalFormatting>
  <conditionalFormatting sqref="C26">
    <cfRule type="containsBlanks" dxfId="32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31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30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9" priority="15" operator="equal">
      <formula>10</formula>
    </cfRule>
  </conditionalFormatting>
  <conditionalFormatting sqref="F12">
    <cfRule type="containsBlanks" dxfId="28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27" priority="5" operator="equal">
      <formula>10</formula>
    </cfRule>
  </conditionalFormatting>
  <conditionalFormatting sqref="F28">
    <cfRule type="containsBlanks" dxfId="26" priority="6">
      <formula>LEN(TRIM(F28))=0</formula>
    </cfRule>
  </conditionalFormatting>
  <conditionalFormatting sqref="F33:F41">
    <cfRule type="cellIs" dxfId="25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23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22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1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0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19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18" priority="1" operator="equal">
      <formula>10</formula>
    </cfRule>
  </conditionalFormatting>
  <conditionalFormatting sqref="L23">
    <cfRule type="containsBlanks" dxfId="17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16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15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14" priority="9" operator="equal">
      <formula>10</formula>
    </cfRule>
  </conditionalFormatting>
  <conditionalFormatting sqref="O4">
    <cfRule type="containsBlanks" dxfId="13" priority="12">
      <formula>LEN(TRIM(O4))=0</formula>
    </cfRule>
  </conditionalFormatting>
  <conditionalFormatting sqref="O6">
    <cfRule type="containsBlanks" dxfId="12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1" priority="10">
      <formula>LEN(TRIM(O14))=0</formula>
    </cfRule>
  </conditionalFormatting>
  <conditionalFormatting sqref="O17:O27">
    <cfRule type="cellIs" dxfId="10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4" operator="equal">
      <formula>10</formula>
    </cfRule>
  </conditionalFormatting>
  <conditionalFormatting sqref="O42">
    <cfRule type="containsBlanks" dxfId="8" priority="8">
      <formula>LEN(TRIM(O42))=0</formula>
    </cfRule>
  </conditionalFormatting>
  <conditionalFormatting sqref="O42:O51">
    <cfRule type="cellIs" dxfId="7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2026-03-16T19:25:54Z</dcterms:modified>
</cp:coreProperties>
</file>