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8A1195D-B28D-4A07-A5C6-7EDDC410EE63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8" i="4" l="1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<sst xmlns="http://schemas.openxmlformats.org/spreadsheetml/2006/main" count="2690" uniqueCount="2120">
  <si>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</si>
  <si>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</si>
  <si>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</si>
  <si>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</si>
  <si>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</si>
  <si>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</si>
  <si>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</si>
  <si>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</si>
  <si>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</si>
  <si>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</si>
  <si>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</si>
  <si>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</si>
  <si>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</si>
  <si>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</si>
  <si>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</si>
  <si>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</si>
  <si>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</si>
  <si>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</si>
  <si>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</si>
  <si>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</si>
  <si>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</si>
  <si>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</si>
  <si>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</si>
  <si>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</si>
  <si>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</si>
  <si>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</si>
  <si>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</si>
  <si>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</si>
  <si>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</si>
  <si>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</si>
  <si>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</si>
  <si>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</si>
  <si>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</si>
  <si>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</si>
  <si>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</si>
  <si>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</si>
  <si>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</si>
  <si>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</si>
  <si>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</si>
  <si>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</si>
  <si>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</si>
  <si>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</si>
  <si>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</si>
  <si>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</si>
  <si>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</si>
  <si>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</si>
  <si>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</si>
  <si>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</si>
  <si>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</si>
  <si>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</si>
  <si>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</si>
  <si>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</si>
  <si>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</si>
  <si>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</si>
  <si>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</si>
  <si>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</si>
  <si>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</si>
  <si>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</si>
  <si>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</si>
  <si>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</si>
  <si>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</si>
  <si>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</si>
  <si>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</si>
  <si>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</si>
  <si>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</si>
  <si>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</si>
  <si>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</si>
  <si>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</si>
  <si>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</si>
  <si>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</si>
  <si>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</si>
  <si>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</si>
  <si>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</si>
  <si>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</si>
  <si>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</si>
  <si>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</si>
  <si>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</si>
  <si>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</si>
  <si>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</si>
  <si>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</si>
  <si>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</si>
  <si>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</si>
  <si>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</si>
  <si>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</si>
  <si>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</si>
  <si>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</si>
  <si>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</si>
  <si>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</si>
  <si>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</si>
  <si>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</si>
  <si>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</si>
  <si>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</si>
  <si>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</si>
  <si>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</si>
  <si>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</si>
  <si>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</si>
  <si>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</si>
  <si>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</si>
  <si>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</si>
  <si>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</si>
  <si>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</si>
  <si>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</si>
  <si>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</si>
  <si>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</si>
  <si>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</si>
  <si>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</si>
  <si>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</si>
  <si>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</si>
  <si>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</si>
  <si>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</si>
  <si>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</si>
  <si>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</si>
  <si>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</si>
  <si>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</si>
  <si>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</si>
  <si>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</si>
  <si>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</si>
  <si>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</si>
  <si>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</si>
  <si>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</si>
  <si>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</si>
  <si>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</si>
  <si>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</si>
  <si>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</si>
  <si>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</si>
  <si>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</si>
  <si>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</si>
  <si>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</si>
  <si>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</si>
  <si>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</si>
  <si>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</si>
  <si>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</si>
  <si>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</si>
  <si>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</si>
  <si>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</si>
  <si>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</si>
  <si>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</si>
  <si>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</si>
  <si>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</si>
  <si>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</si>
  <si>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</si>
  <si>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</si>
  <si>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</si>
  <si>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</si>
  <si>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</si>
  <si>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</si>
  <si>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</si>
  <si>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</si>
  <si>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</si>
  <si>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</si>
  <si>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</si>
  <si>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</si>
  <si>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</si>
  <si>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</si>
  <si>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</si>
  <si>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</si>
  <si>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</si>
  <si>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</si>
  <si>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</si>
  <si>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</si>
  <si>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</si>
  <si>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</si>
  <si>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</si>
  <si>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</si>
  <si>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</si>
  <si>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</si>
  <si>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</si>
  <si>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</si>
  <si>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</si>
  <si>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</si>
  <si>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</si>
  <si>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</si>
  <si>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</si>
  <si>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</si>
  <si>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</si>
  <si>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</si>
  <si>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</si>
  <si>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</si>
  <si>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</si>
  <si>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</si>
  <si>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</si>
  <si>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</si>
  <si>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</si>
  <si>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</si>
  <si>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</si>
  <si>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</si>
  <si>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</si>
  <si>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</si>
  <si>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</si>
  <si>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</si>
  <si>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</si>
  <si>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</si>
  <si>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</si>
  <si>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</si>
  <si>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</si>
  <si>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</si>
  <si>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</si>
  <si>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</si>
  <si>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</si>
  <si>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</si>
  <si>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</si>
  <si>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</si>
  <si>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</si>
  <si>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</si>
  <si>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</si>
  <si>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</si>
  <si>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</si>
  <si>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</si>
  <si>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</si>
  <si>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</si>
  <si>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</si>
  <si>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</si>
  <si>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</si>
  <si>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</si>
  <si>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</si>
  <si>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</si>
  <si>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</si>
  <si>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</si>
  <si>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</si>
  <si>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</si>
  <si>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</si>
  <si>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</si>
  <si>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</si>
  <si>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</si>
  <si>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</si>
  <si>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</si>
  <si>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</si>
  <si>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</si>
  <si>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</si>
  <si>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</si>
  <si>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</si>
  <si>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</si>
  <si>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</si>
  <si>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</si>
  <si>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</si>
  <si>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</si>
  <si>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</si>
  <si>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</si>
  <si>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</si>
  <si>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</si>
  <si>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</si>
  <si>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</si>
  <si>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</si>
  <si>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</si>
  <si>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</si>
  <si>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</si>
  <si>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</si>
  <si>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</si>
  <si>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</si>
  <si>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</si>
  <si>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</si>
  <si>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</si>
  <si>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</si>
  <si>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</si>
  <si>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</si>
  <si>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</si>
  <si>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</si>
  <si>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</si>
  <si>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</si>
  <si>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</si>
  <si>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</si>
  <si>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</si>
  <si>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</si>
  <si>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</si>
  <si>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</si>
  <si>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</si>
  <si>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</si>
  <si>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</si>
  <si>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</si>
  <si>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</si>
  <si>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</si>
  <si>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</si>
  <si>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</si>
  <si>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</si>
  <si>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</si>
  <si>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</si>
  <si>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</si>
  <si>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</si>
  <si>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</si>
  <si>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</si>
  <si>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</si>
  <si>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</si>
  <si>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</si>
  <si>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</si>
  <si>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</si>
  <si>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</si>
  <si>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</si>
  <si>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</si>
  <si>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</si>
  <si>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</si>
  <si>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</si>
  <si>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</si>
  <si>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</si>
  <si>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</si>
  <si>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</si>
  <si>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</si>
  <si>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</si>
  <si>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</si>
  <si>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</si>
  <si>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</si>
  <si>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</si>
  <si>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</si>
  <si>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</si>
  <si>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</si>
  <si>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</si>
  <si>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</si>
  <si>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</si>
  <si>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</si>
  <si>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</si>
  <si>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</si>
  <si>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</si>
  <si>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</si>
  <si>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</si>
  <si>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</si>
  <si>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</si>
  <si>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</si>
  <si>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</si>
  <si>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</si>
  <si>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</si>
  <si>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</si>
  <si>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</si>
  <si>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</si>
  <si>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</si>
  <si>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</si>
  <si>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</si>
  <si>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</si>
  <si>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</si>
  <si>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</si>
  <si>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</si>
  <si>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</si>
  <si>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</si>
  <si>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</si>
  <si>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</si>
  <si>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</si>
  <si>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</si>
  <si>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</si>
  <si>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</si>
  <si>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</si>
  <si>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</si>
  <si>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</si>
  <si>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</si>
  <si>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</si>
  <si>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</si>
  <si>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</si>
  <si>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</si>
  <si>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</si>
  <si>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</si>
  <si>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</si>
  <si>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</si>
  <si>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</si>
  <si>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</si>
  <si>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</si>
  <si>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</si>
  <si>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</si>
  <si>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</si>
  <si>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</si>
  <si>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</si>
  <si>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</si>
  <si>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</si>
  <si>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</si>
  <si>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</si>
  <si>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</si>
  <si>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</si>
  <si>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</si>
  <si>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</si>
  <si>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</si>
  <si>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</si>
  <si>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</si>
  <si>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</si>
  <si>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</si>
  <si>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</si>
  <si>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</si>
  <si>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</si>
  <si>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</si>
  <si>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</si>
  <si>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</si>
  <si>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</si>
  <si>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</si>
  <si>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</si>
  <si>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</si>
  <si>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</si>
  <si>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</si>
  <si>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</si>
  <si>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</si>
  <si>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</si>
  <si>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</si>
  <si>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</si>
  <si>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</si>
  <si>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</si>
  <si>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</si>
  <si>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</si>
  <si>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</si>
  <si>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</si>
  <si>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</si>
  <si>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</si>
  <si>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</si>
  <si>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</si>
  <si>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</si>
  <si>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</si>
  <si>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</si>
  <si>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</si>
  <si>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</si>
  <si>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</si>
  <si>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</si>
  <si>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</si>
  <si>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</si>
  <si>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</si>
  <si>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</si>
  <si>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</si>
  <si>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</si>
  <si>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</si>
  <si>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</si>
  <si>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</si>
  <si>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</si>
  <si>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</si>
  <si>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</si>
  <si>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</si>
  <si>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</si>
  <si>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</si>
  <si>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</si>
  <si>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</si>
  <si>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</si>
  <si>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</si>
  <si>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</si>
  <si>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</si>
  <si>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</si>
  <si>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</si>
  <si>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</si>
  <si>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</si>
  <si>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</si>
  <si>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</si>
  <si>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</si>
  <si>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</si>
  <si>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</si>
  <si>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</si>
  <si>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</si>
  <si>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</si>
  <si>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</si>
  <si>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</si>
  <si>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</si>
  <si>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</si>
  <si>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</si>
  <si>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</si>
  <si>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</si>
  <si>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</si>
  <si>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</si>
  <si>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</si>
  <si>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</si>
  <si>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</si>
  <si>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</si>
  <si>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</si>
  <si>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</si>
  <si>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</si>
  <si>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</si>
  <si>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</si>
  <si>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</si>
  <si>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</si>
  <si>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</si>
  <si>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</si>
  <si>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</si>
  <si>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</si>
  <si>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</si>
  <si>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</si>
  <si>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</si>
  <si>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</si>
  <si>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</si>
  <si>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</si>
  <si>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</si>
  <si>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</si>
  <si>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</si>
  <si>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</si>
  <si>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</si>
  <si>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</si>
  <si>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</si>
  <si>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</si>
  <si>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</si>
  <si>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</si>
  <si>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</si>
  <si>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</si>
  <si>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</si>
  <si>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</si>
  <si>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</si>
  <si>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</si>
  <si>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</si>
  <si>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</si>
  <si>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</si>
  <si>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</si>
  <si>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</si>
  <si>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</si>
  <si>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</si>
  <si>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</si>
  <si>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</si>
  <si>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</si>
  <si>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</si>
  <si>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</si>
  <si>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</si>
  <si>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</si>
  <si>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</si>
  <si>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</si>
  <si>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</si>
  <si>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</si>
  <si>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</si>
  <si>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</si>
  <si>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</si>
  <si>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</si>
  <si>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</si>
  <si>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</si>
  <si>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</si>
  <si>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</si>
  <si>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</si>
  <si>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</si>
  <si>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</si>
  <si>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</si>
  <si>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</si>
  <si>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</si>
  <si>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</si>
  <si>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</si>
  <si>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</si>
  <si>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</si>
  <si>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</si>
  <si>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</si>
  <si>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</si>
  <si>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</si>
  <si>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</si>
  <si>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</si>
  <si>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</si>
  <si>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</si>
  <si>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</si>
  <si>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</si>
  <si>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</si>
  <si>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</si>
  <si>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</si>
  <si>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</si>
  <si>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</si>
  <si>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</si>
  <si>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</si>
  <si>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</si>
  <si>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</si>
  <si>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</si>
  <si>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</si>
  <si>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</si>
  <si>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</si>
  <si>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</si>
  <si>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</si>
  <si>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</si>
  <si>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</si>
  <si>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</si>
  <si>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</si>
  <si>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</si>
  <si>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</si>
  <si>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</si>
  <si>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</si>
  <si>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</si>
  <si>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</si>
  <si>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</si>
  <si>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</si>
  <si>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</si>
  <si>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</si>
  <si>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</si>
  <si>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</si>
  <si>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</si>
  <si>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</si>
  <si>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</si>
  <si>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</si>
  <si>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</si>
  <si>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</si>
  <si>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</si>
  <si>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</si>
  <si>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</si>
  <si>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</si>
  <si>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</si>
  <si>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</si>
  <si>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</si>
  <si>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</si>
  <si>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</si>
  <si>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</si>
  <si>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</si>
  <si>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</si>
  <si>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</si>
  <si>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</si>
  <si>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</si>
  <si>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</si>
  <si>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</si>
  <si>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</si>
  <si>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</si>
  <si>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</si>
  <si>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</si>
  <si>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</si>
  <si>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</si>
  <si>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</si>
  <si>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</si>
  <si>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</si>
  <si>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</si>
  <si>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</si>
  <si>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</si>
  <si>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</si>
  <si>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</si>
  <si>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</si>
  <si>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</si>
  <si>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</si>
  <si>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</si>
  <si>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</si>
  <si>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</si>
  <si>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</si>
  <si>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</si>
  <si>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</si>
  <si>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</si>
  <si>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</si>
  <si>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</si>
  <si>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</si>
  <si>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</si>
  <si>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</si>
  <si>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</si>
  <si>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</si>
  <si>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</si>
  <si>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</si>
  <si>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</si>
  <si>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</si>
  <si>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</si>
  <si>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</si>
  <si>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</si>
  <si>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</si>
  <si>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</si>
  <si>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</si>
  <si>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</si>
  <si>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</si>
  <si>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</si>
  <si>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</si>
  <si>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</si>
  <si>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</si>
  <si>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</si>
  <si>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</si>
  <si>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</si>
  <si>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</si>
  <si>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</si>
  <si>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</si>
  <si>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</si>
  <si>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</si>
  <si>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</si>
  <si>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</si>
  <si>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</si>
  <si>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</si>
  <si>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</si>
  <si>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</si>
  <si>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</si>
  <si>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</si>
  <si>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</si>
  <si>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</si>
  <si>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</si>
  <si>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</si>
  <si>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</si>
  <si>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</si>
  <si>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</si>
  <si>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</si>
  <si>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</si>
  <si>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</si>
  <si>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</si>
  <si>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</si>
  <si>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</si>
  <si>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</si>
  <si>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</si>
  <si>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</si>
  <si>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</si>
  <si>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</si>
  <si>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</si>
  <si>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</si>
  <si>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</si>
  <si>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</si>
  <si>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</si>
  <si>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</si>
  <si>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</si>
  <si>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</si>
  <si>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</si>
  <si>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</si>
  <si>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</si>
  <si>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</si>
  <si>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</si>
  <si>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</si>
  <si>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</si>
  <si>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</si>
  <si>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</si>
  <si>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</si>
  <si>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</si>
  <si>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</si>
  <si>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</si>
  <si>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</si>
  <si>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</si>
  <si>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</si>
  <si>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</si>
  <si>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</si>
  <si>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</si>
  <si>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</si>
  <si>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</si>
  <si>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</si>
  <si>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</si>
  <si>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</si>
  <si>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</si>
  <si>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</si>
  <si>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</si>
  <si>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</si>
  <si>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</si>
  <si>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</si>
  <si>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</si>
  <si>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</si>
  <si>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</si>
  <si>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</si>
  <si>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</si>
  <si>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</si>
  <si>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</si>
  <si>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</si>
  <si>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</si>
  <si>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</si>
  <si>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</si>
  <si>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</si>
  <si>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</si>
  <si>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</si>
  <si>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</si>
  <si>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</si>
  <si>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</si>
  <si>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</si>
  <si>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</si>
  <si>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</si>
  <si>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</si>
  <si>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</si>
  <si>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</si>
  <si>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</si>
  <si>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</si>
  <si>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</si>
  <si>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</si>
  <si>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</si>
  <si>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</si>
  <si>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</si>
  <si>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</si>
  <si>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</si>
  <si>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</si>
  <si>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</si>
  <si>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</si>
  <si>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</si>
  <si>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</si>
  <si>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</si>
  <si>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</si>
  <si>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</si>
  <si>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</si>
  <si>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</si>
  <si>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</si>
  <si>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</si>
  <si>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</si>
  <si>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</si>
  <si>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</si>
  <si>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</si>
  <si>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</si>
  <si>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</si>
  <si>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</si>
  <si>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</si>
  <si>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</si>
  <si>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</si>
  <si>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</si>
  <si>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</si>
  <si>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</si>
  <si>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</si>
  <si>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</si>
  <si>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</si>
  <si>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</si>
  <si>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</si>
  <si>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</si>
  <si>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</si>
  <si>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</si>
  <si>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</si>
  <si>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</si>
  <si>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</si>
  <si>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</si>
  <si>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</si>
  <si>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</si>
  <si>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</si>
  <si>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</si>
  <si>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</si>
  <si>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</si>
  <si>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</si>
  <si>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</si>
  <si>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</si>
  <si>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</si>
  <si>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</si>
  <si>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</si>
  <si>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</si>
  <si>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</si>
  <si>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</si>
  <si>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</si>
  <si>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</si>
  <si>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</si>
  <si>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</si>
  <si>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</si>
  <si>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</si>
  <si>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</si>
  <si>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</si>
  <si>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</si>
  <si>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</si>
  <si>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</si>
  <si>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</si>
  <si>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</si>
  <si>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</si>
  <si>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</si>
  <si>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</si>
  <si>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</si>
  <si>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</si>
  <si>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</si>
  <si>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</si>
  <si>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</si>
  <si>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</si>
  <si>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</si>
  <si>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</si>
  <si>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</si>
  <si>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</si>
  <si>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</si>
  <si>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</si>
  <si>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</si>
  <si>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</si>
  <si>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</si>
  <si>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</si>
  <si>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</si>
  <si>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</si>
  <si>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</si>
  <si>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</si>
  <si>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</si>
  <si>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</si>
  <si>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</si>
  <si>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</si>
  <si>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</si>
  <si>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</si>
  <si>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</si>
  <si>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</si>
  <si>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</si>
  <si>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</si>
  <si>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</si>
  <si>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</si>
  <si>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</si>
  <si>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</si>
  <si>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</si>
  <si>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</si>
  <si>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</si>
  <si>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</si>
  <si>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</si>
  <si>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</si>
  <si>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</si>
  <si>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</si>
  <si>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</si>
  <si>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</si>
  <si>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</si>
  <si>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</si>
  <si>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</si>
  <si>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</si>
  <si>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</si>
  <si>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</si>
  <si>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</si>
  <si>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</si>
  <si>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</si>
  <si>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</si>
  <si>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</si>
  <si>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</si>
  <si>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</si>
  <si>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</si>
  <si>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</si>
  <si>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</si>
  <si>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</si>
  <si>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</si>
  <si>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</si>
  <si>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</si>
  <si>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</si>
  <si>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</si>
  <si>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</si>
  <si>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</si>
  <si>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</si>
  <si>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</si>
  <si>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</si>
  <si>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</si>
  <si>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</si>
  <si>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</si>
  <si>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</si>
  <si>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</si>
  <si>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</si>
  <si>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</si>
  <si>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</si>
  <si>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</si>
  <si>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</si>
  <si>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</si>
  <si>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</si>
  <si>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</si>
  <si>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</si>
  <si>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</si>
  <si>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</si>
  <si>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</si>
  <si>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</si>
  <si>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</si>
  <si>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</si>
  <si>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</si>
  <si>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</si>
  <si>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</si>
  <si>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</si>
  <si>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</si>
  <si>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</si>
  <si>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</si>
  <si>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</si>
  <si>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</si>
  <si>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</si>
  <si>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</si>
  <si>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</si>
  <si>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</si>
  <si>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</si>
  <si>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</si>
  <si>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</si>
  <si>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</si>
  <si>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</si>
  <si>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</si>
  <si>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</si>
  <si>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</si>
  <si>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</si>
  <si>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</si>
  <si>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</si>
  <si>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</si>
  <si>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</si>
  <si>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</si>
  <si>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</si>
  <si>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</si>
  <si>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</si>
  <si>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</si>
  <si>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</si>
  <si>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</si>
  <si>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</si>
  <si>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</si>
  <si>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</si>
  <si>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</si>
  <si>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</si>
  <si>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</si>
  <si>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</si>
  <si>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</si>
  <si>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</si>
  <si>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</si>
  <si>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</si>
  <si>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</si>
  <si>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</si>
  <si>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</si>
  <si>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</si>
  <si>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</si>
  <si>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</si>
  <si>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</si>
  <si>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</si>
  <si>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</si>
  <si>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</si>
  <si>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</si>
  <si>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</si>
  <si>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</si>
  <si>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</si>
  <si>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</si>
  <si>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</si>
  <si>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</si>
  <si>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</si>
  <si>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</si>
  <si>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</si>
  <si>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</si>
  <si>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</si>
  <si>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</si>
  <si>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</si>
  <si>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</si>
  <si>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</si>
  <si>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</si>
  <si>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</si>
  <si>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</si>
  <si>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</si>
  <si>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</si>
  <si>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</si>
  <si>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</si>
  <si>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</si>
  <si>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</si>
  <si>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</si>
  <si>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</si>
  <si>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</si>
  <si>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</si>
  <si>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</si>
  <si>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</si>
  <si>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</si>
  <si>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</si>
  <si>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</si>
  <si>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</si>
  <si>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</si>
  <si>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</si>
  <si>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</si>
  <si>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</si>
  <si>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</si>
  <si>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</si>
  <si>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</si>
  <si>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</si>
  <si>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</si>
  <si>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</si>
  <si>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</si>
  <si>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</si>
  <si>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</si>
  <si>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</si>
  <si>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</si>
  <si>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</si>
  <si>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</si>
  <si>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</si>
  <si>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</si>
  <si>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</si>
  <si>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</si>
  <si>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</si>
  <si>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</si>
  <si>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</si>
  <si>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</si>
  <si>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</si>
  <si>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</si>
  <si>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</si>
  <si>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</si>
  <si>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</si>
  <si>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</si>
  <si>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</si>
  <si>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</si>
  <si>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</si>
  <si>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</si>
  <si>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</si>
  <si>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</si>
  <si>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</si>
  <si>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</si>
  <si>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</si>
  <si>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</si>
  <si>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</si>
  <si>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</si>
  <si>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</si>
  <si>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</si>
  <si>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</si>
  <si>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</si>
  <si>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</si>
  <si>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</si>
  <si>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</si>
  <si>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</si>
  <si>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</si>
  <si>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</si>
  <si>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</si>
  <si>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</si>
  <si>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</si>
  <si>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</si>
  <si>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</si>
  <si>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</si>
  <si>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</si>
  <si>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</si>
  <si>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</si>
  <si>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</si>
  <si>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</si>
  <si>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</si>
  <si>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</si>
  <si>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</si>
  <si>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</si>
  <si>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</si>
  <si>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</si>
  <si>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</si>
  <si>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</si>
  <si>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</si>
  <si>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</si>
  <si>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</si>
  <si>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</si>
  <si>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</si>
  <si>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</si>
  <si>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</si>
  <si>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</si>
  <si>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</si>
  <si>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</si>
  <si>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</si>
  <si>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</si>
  <si>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</si>
  <si>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</si>
  <si>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</si>
  <si>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</si>
  <si>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</si>
  <si>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</si>
  <si>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</si>
  <si>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</si>
  <si>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</si>
  <si>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</si>
  <si>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</si>
  <si>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</si>
  <si>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</si>
  <si>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</si>
  <si>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</si>
  <si>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</si>
  <si>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</si>
  <si>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</si>
  <si>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</si>
  <si>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</si>
  <si>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</si>
  <si>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</si>
  <si>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</si>
  <si>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</si>
  <si>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</si>
  <si>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</si>
  <si>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</si>
  <si>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</si>
  <si>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</si>
  <si>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</si>
  <si>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</si>
  <si>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</si>
  <si>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</si>
  <si>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</si>
  <si>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</si>
  <si>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</si>
  <si>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</si>
  <si>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</si>
  <si>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</si>
  <si>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</si>
  <si>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</si>
  <si>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</si>
  <si>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</si>
  <si>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</si>
  <si>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</si>
  <si>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</si>
  <si>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</si>
  <si>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</si>
  <si>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</si>
  <si>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</si>
  <si>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</si>
  <si>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</si>
  <si>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</si>
  <si>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</si>
  <si>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</si>
  <si>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</si>
  <si>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</si>
  <si>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</si>
  <si>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</si>
  <si>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</si>
  <si>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</si>
  <si>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</si>
  <si>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</si>
  <si>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</si>
  <si>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</si>
  <si>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</si>
  <si>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</si>
  <si>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</si>
  <si>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</si>
  <si>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</si>
  <si>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</si>
  <si>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</si>
  <si>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</si>
  <si>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</si>
  <si>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</si>
  <si>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</si>
  <si>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</si>
  <si>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</si>
  <si>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</si>
  <si>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</si>
  <si>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</si>
  <si>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</si>
  <si>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</si>
  <si>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</si>
  <si>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</si>
  <si>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</si>
  <si>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</si>
  <si>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</si>
  <si>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</si>
  <si>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</si>
  <si>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</si>
  <si>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</si>
  <si>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</si>
  <si>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</si>
  <si>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</si>
  <si>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</si>
  <si>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</si>
  <si>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</si>
  <si>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</si>
  <si>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</si>
  <si>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</si>
  <si>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</si>
  <si>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</si>
  <si>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</si>
  <si>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</si>
  <si>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</si>
  <si>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</si>
  <si>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</si>
  <si>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</si>
  <si>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</si>
  <si>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</si>
  <si>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</si>
  <si>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</si>
  <si>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</si>
  <si>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</si>
  <si>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</si>
  <si>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</si>
  <si>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</si>
  <si>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</si>
  <si>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</si>
  <si>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</si>
  <si>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</si>
  <si>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</si>
  <si>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</si>
  <si>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</si>
  <si>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</si>
  <si>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</si>
  <si>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</si>
  <si>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</si>
  <si>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</si>
  <si>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</si>
  <si>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</si>
  <si>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</si>
  <si>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</si>
  <si>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</si>
  <si>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</si>
  <si>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</si>
  <si>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</si>
  <si>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</si>
  <si>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</si>
  <si>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</si>
  <si>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</si>
  <si>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</si>
  <si>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</si>
  <si>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</si>
  <si>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</si>
  <si>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</si>
  <si>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</si>
  <si>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</si>
  <si>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</si>
  <si>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</si>
  <si>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</si>
  <si>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</si>
  <si>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</si>
  <si>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</si>
  <si>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</si>
  <si>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</si>
  <si>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</si>
  <si>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</si>
  <si>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</si>
  <si>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</si>
  <si>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</si>
  <si>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</si>
  <si>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</si>
  <si>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</si>
  <si>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</si>
  <si>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</si>
  <si>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</si>
  <si>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</si>
  <si>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</si>
  <si>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</si>
  <si>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</si>
  <si>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</si>
  <si>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</si>
  <si>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</si>
  <si>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</si>
  <si>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</si>
  <si>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</si>
  <si>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</si>
  <si>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</si>
  <si>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</si>
  <si>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</si>
  <si>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</si>
  <si>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</si>
  <si>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</si>
  <si>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</si>
  <si>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</si>
  <si>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</si>
  <si>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</si>
  <si>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</si>
  <si>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</si>
  <si>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</si>
  <si>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</si>
  <si>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</si>
  <si>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</si>
  <si>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</si>
  <si>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</si>
  <si>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</si>
  <si>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</si>
  <si>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</si>
  <si>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</si>
  <si>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</si>
  <si>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</si>
  <si>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</si>
  <si>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</si>
  <si>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</si>
  <si>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</si>
  <si>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</si>
  <si>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</si>
  <si>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</si>
  <si>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</si>
  <si>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</si>
  <si>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</si>
  <si>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</si>
  <si>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</si>
  <si>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</si>
  <si>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</si>
  <si>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</si>
  <si>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</si>
  <si>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</si>
  <si>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</si>
  <si>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</si>
  <si>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</si>
  <si>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</si>
  <si>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</si>
  <si>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</si>
  <si>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</si>
  <si>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</si>
  <si>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</si>
  <si>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</si>
  <si>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</si>
  <si>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</si>
  <si>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</si>
  <si>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</si>
  <si>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</si>
  <si>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</si>
  <si>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</si>
  <si>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</si>
  <si>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</si>
  <si>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</si>
  <si>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</si>
  <si>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</si>
  <si>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</si>
  <si>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</si>
  <si>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</si>
  <si>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</si>
  <si>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</si>
  <si>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</si>
  <si>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</si>
  <si>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</si>
  <si>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</si>
  <si>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</si>
  <si>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</si>
  <si>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</si>
  <si>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</si>
  <si>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</si>
  <si>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</si>
  <si>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</si>
  <si>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</si>
  <si>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</si>
  <si>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</si>
  <si>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</si>
  <si>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</si>
  <si>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</si>
  <si>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</si>
  <si>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</si>
  <si>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</si>
  <si>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</si>
  <si>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</si>
  <si>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</si>
  <si>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</si>
  <si>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</si>
  <si>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</si>
  <si>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</si>
  <si>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</si>
  <si>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</si>
  <si>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</si>
  <si>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</si>
  <si>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</si>
  <si>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</si>
  <si>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</si>
  <si>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</si>
  <si>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</si>
  <si>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</si>
  <si>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</si>
  <si>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</si>
  <si>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</si>
  <si>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</si>
  <si>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</si>
  <si>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</si>
  <si>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</si>
  <si>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</si>
  <si>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</si>
  <si>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</si>
  <si>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</si>
  <si>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</si>
  <si>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</si>
  <si>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</si>
  <si>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</si>
  <si>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</si>
  <si>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</si>
  <si>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</si>
  <si>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</si>
  <si>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</si>
  <si>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</si>
  <si>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</si>
  <si>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</si>
  <si>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</si>
  <si>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</si>
  <si>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</si>
  <si>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</si>
  <si>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</si>
  <si>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</si>
  <si>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</si>
  <si>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</si>
  <si>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</si>
  <si>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</si>
  <si>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</si>
  <si>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</si>
  <si>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</si>
  <si>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</si>
  <si>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</si>
  <si>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</si>
  <si>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</si>
  <si>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</si>
  <si>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</si>
  <si>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</si>
  <si>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</si>
  <si>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</si>
  <si>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</si>
  <si>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</si>
  <si>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</si>
  <si>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</si>
  <si>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</si>
  <si>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</si>
  <si>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</si>
  <si>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</si>
  <si>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</si>
  <si>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</si>
  <si>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</si>
  <si>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</si>
  <si>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</si>
  <si>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</si>
  <si>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</si>
  <si>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</si>
  <si>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</si>
  <si>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</si>
  <si>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</si>
  <si>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</si>
  <si>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</si>
  <si>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</si>
  <si>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</si>
  <si>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</si>
  <si>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</si>
  <si>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</si>
  <si>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</si>
  <si>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</si>
  <si>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</si>
  <si>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</si>
  <si>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</si>
  <si>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</si>
  <si>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</si>
  <si>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</si>
  <si>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</si>
  <si>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</si>
  <si>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</si>
  <si>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</si>
  <si>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</si>
  <si>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</si>
  <si>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</si>
  <si>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</si>
  <si>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</si>
  <si>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</si>
  <si>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</si>
  <si>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</si>
  <si>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</si>
  <si>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</si>
  <si>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</si>
  <si>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</si>
  <si>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</si>
  <si>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</si>
  <si>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</si>
  <si>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</si>
  <si>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</si>
  <si>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</si>
  <si>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</si>
  <si>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</si>
  <si>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</si>
  <si>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</si>
  <si>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</si>
  <si>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</si>
  <si>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</si>
  <si>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</si>
  <si>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</si>
  <si>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</si>
  <si>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</si>
  <si>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</si>
  <si>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</si>
  <si>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</si>
  <si>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</si>
  <si>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</si>
  <si>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</si>
  <si>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</si>
  <si>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</si>
  <si>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</si>
  <si>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</si>
  <si>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</si>
  <si>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</si>
  <si>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</si>
  <si>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</si>
  <si>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</si>
  <si>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</si>
  <si>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</si>
  <si>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</si>
  <si>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</si>
  <si>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</si>
  <si>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</si>
  <si>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</si>
  <si>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</si>
  <si>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</si>
  <si>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</si>
  <si>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</si>
  <si>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</si>
  <si>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</si>
  <si>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</si>
  <si>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</si>
  <si>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</si>
  <si>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</si>
  <si>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</si>
  <si>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</si>
  <si>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</si>
  <si>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</si>
  <si>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</si>
  <si>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</si>
  <si>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</si>
  <si>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</si>
  <si>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</si>
  <si>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</si>
  <si>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</si>
  <si>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</si>
  <si>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</si>
  <si>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</si>
  <si>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</si>
  <si>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</si>
  <si>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</si>
  <si>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</si>
  <si>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</si>
  <si>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</si>
  <si>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</si>
  <si>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</si>
  <si>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</si>
  <si>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</si>
  <si>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</si>
  <si>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</si>
  <si>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</si>
  <si>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</si>
  <si>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</si>
  <si>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</si>
  <si>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</si>
  <si>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</si>
  <si>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</si>
  <si>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</si>
  <si>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</si>
  <si>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</si>
  <si>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</si>
  <si>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</si>
  <si>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</si>
  <si>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</si>
  <si>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</si>
  <si>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</si>
  <si>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</si>
  <si>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</si>
  <si>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</si>
  <si>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</si>
  <si>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</si>
  <si>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</si>
  <si>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</si>
  <si>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</si>
  <si>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</si>
  <si>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</si>
  <si>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</si>
  <si>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</si>
  <si>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</si>
  <si>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</si>
  <si>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</si>
  <si>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</si>
  <si>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</si>
  <si>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</si>
  <si>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</si>
  <si>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</si>
  <si>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</si>
  <si>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</si>
  <si>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</si>
  <si>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</si>
  <si>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</si>
  <si>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</si>
  <si>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</si>
  <si>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</si>
  <si>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</si>
  <si>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</si>
  <si>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</si>
  <si>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</si>
  <si>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</si>
  <si>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</si>
  <si>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</si>
  <si>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</si>
  <si>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</si>
  <si>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</si>
  <si>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</si>
  <si>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</si>
  <si>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</si>
  <si>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</si>
  <si>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</si>
  <si>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</si>
  <si>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</si>
  <si>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</si>
  <si>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</si>
  <si>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</si>
  <si>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</si>
  <si>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</si>
  <si>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</si>
  <si>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</si>
  <si>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</si>
  <si>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</si>
  <si>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</si>
  <si>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</si>
  <si>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</si>
  <si>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</si>
  <si>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</si>
  <si>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</si>
  <si>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</si>
  <si>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</si>
  <si>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</si>
  <si>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</si>
  <si>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</si>
  <si>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</si>
  <si>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</si>
  <si>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</si>
  <si>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</si>
  <si>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</si>
  <si>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</si>
  <si>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</si>
  <si>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</si>
  <si>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</si>
  <si>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</si>
  <si>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</si>
  <si>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</si>
  <si>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</si>
  <si>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</si>
  <si>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</si>
  <si>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</si>
  <si>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</si>
  <si>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</si>
  <si>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</si>
  <si>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</si>
  <si>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</si>
  <si>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</si>
  <si>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</si>
  <si>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</si>
  <si>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</si>
  <si>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</si>
  <si>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</si>
  <si>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</si>
  <si>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</si>
  <si>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</si>
  <si>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</si>
  <si>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</si>
  <si>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</si>
  <si>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</si>
  <si>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</si>
  <si>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</si>
  <si>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</si>
  <si>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</si>
  <si>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</si>
  <si>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</si>
  <si>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</si>
  <si>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</si>
  <si>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</si>
  <si>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</si>
  <si>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</si>
  <si>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</si>
  <si>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</si>
  <si>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</si>
  <si>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</si>
  <si>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</si>
  <si>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</si>
  <si>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</si>
  <si>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</si>
  <si>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</si>
  <si>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</si>
  <si>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</si>
  <si>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</si>
  <si>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</si>
  <si>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</si>
  <si>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</si>
  <si>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</si>
  <si>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</si>
  <si>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</si>
  <si>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</si>
  <si>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</si>
  <si>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</si>
  <si>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</si>
  <si>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</si>
  <si>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</si>
  <si>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</si>
  <si>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</si>
  <si>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</si>
  <si>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</si>
  <si>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</si>
  <si>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</si>
  <si>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</si>
  <si>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</si>
  <si>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</si>
  <si>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</si>
  <si>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</si>
  <si>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</si>
  <si>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</si>
  <si>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</si>
  <si>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</si>
  <si>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</si>
  <si>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</si>
  <si>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</si>
  <si>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</si>
  <si>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</si>
  <si>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</si>
  <si>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</si>
  <si>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</si>
  <si>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</si>
  <si>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</si>
  <si>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</si>
  <si>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</si>
  <si>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</si>
  <si>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</si>
  <si>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</si>
  <si>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</si>
  <si>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</si>
  <si>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</si>
  <si>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</si>
  <si>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</si>
  <si>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</si>
  <si>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</si>
  <si>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</si>
  <si>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</si>
  <si>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</si>
  <si>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</si>
  <si>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</si>
  <si>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</si>
  <si>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</si>
  <si>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</si>
  <si>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</si>
  <si>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</si>
  <si>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</si>
  <si>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</si>
  <si>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</si>
  <si>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</si>
  <si>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</si>
  <si>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</si>
  <si>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</si>
  <si>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</si>
  <si>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</si>
  <si>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</si>
  <si>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</si>
  <si>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</si>
  <si>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</si>
  <si>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</si>
  <si>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</si>
  <si>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</si>
  <si>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</si>
  <si>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</si>
  <si>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</si>
  <si>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</si>
  <si>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</si>
  <si>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</si>
  <si>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</si>
  <si>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</si>
  <si>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</si>
  <si>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</si>
  <si>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</si>
  <si>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</si>
  <si>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</si>
  <si>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</si>
  <si>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</si>
  <si>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</si>
  <si>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</si>
  <si>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</si>
  <si>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</si>
  <si>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</si>
  <si>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</si>
  <si>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</si>
  <si>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</si>
  <si>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</si>
  <si>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</si>
  <si>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</si>
  <si>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</si>
  <si>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</si>
  <si>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</si>
  <si>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</si>
  <si>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</si>
  <si>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</si>
  <si>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</si>
  <si>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</si>
  <si>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</si>
  <si>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</si>
  <si>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</si>
  <si>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</si>
  <si>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</si>
  <si>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</si>
  <si>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</si>
  <si>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</si>
  <si>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</si>
  <si>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</si>
  <si>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</si>
  <si>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</si>
  <si>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</si>
  <si>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</si>
  <si>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</si>
  <si>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</si>
  <si>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</si>
  <si>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</si>
  <si>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</si>
  <si>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</si>
  <si>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</si>
  <si>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</si>
  <si>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</si>
  <si>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</si>
  <si>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</si>
  <si>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</si>
  <si>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</si>
  <si>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</si>
  <si>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</si>
  <si>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</si>
  <si>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</si>
  <si>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</si>
  <si>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</si>
  <si>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</si>
  <si>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</si>
  <si>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</si>
  <si>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</si>
  <si>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</si>
  <si>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</si>
  <si>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</si>
  <si>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</si>
  <si>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</si>
  <si>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</si>
  <si>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</si>
  <si>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</si>
  <si>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</si>
  <si>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</si>
  <si>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</si>
  <si>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</si>
  <si>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</si>
  <si>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</si>
  <si>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</si>
  <si>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</si>
  <si>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</si>
  <si>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</si>
  <si>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</si>
  <si>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</si>
  <si>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</si>
  <si>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</si>
  <si>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</si>
  <si>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</si>
  <si>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</si>
  <si>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</si>
  <si>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</si>
  <si>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</si>
  <si>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</si>
  <si>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</si>
  <si>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</si>
  <si>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</si>
  <si>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</si>
  <si>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</si>
  <si>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</si>
  <si>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</si>
  <si>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</si>
  <si>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</si>
  <si>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</si>
  <si>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</si>
  <si>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</si>
  <si>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</si>
  <si>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</si>
  <si>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</si>
  <si>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</si>
  <si>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</si>
  <si>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</si>
  <si>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</si>
  <si>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</si>
  <si>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</si>
  <si>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</si>
  <si>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</si>
  <si>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</si>
  <si>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</si>
  <si>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</si>
  <si>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</si>
  <si>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</si>
  <si>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</si>
  <si>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</si>
  <si>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</si>
  <si>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</si>
  <si>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</si>
  <si>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</si>
  <si>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</si>
  <si>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</si>
  <si>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</si>
  <si>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</si>
  <si>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</si>
  <si>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</si>
  <si>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</si>
  <si>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</si>
  <si>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</si>
  <si>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</si>
  <si>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</si>
  <si>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</si>
  <si>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</si>
  <si>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</si>
  <si>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</si>
  <si>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</si>
  <si>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</si>
  <si>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</si>
  <si>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</si>
  <si>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</si>
  <si>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</si>
  <si>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</si>
  <si>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</si>
  <si>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</si>
  <si>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</si>
  <si>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</si>
  <si>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</si>
  <si>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</si>
  <si>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</si>
  <si>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</si>
  <si>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</si>
  <si>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</si>
  <si>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</si>
  <si>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</si>
  <si>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</si>
  <si>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</si>
  <si>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</si>
  <si>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</si>
  <si>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</si>
  <si>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</si>
  <si>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</si>
  <si>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</si>
  <si>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</si>
  <si>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</si>
  <si>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</si>
  <si>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</si>
  <si>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</si>
  <si>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</si>
  <si>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</si>
  <si>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</si>
  <si>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</si>
  <si>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</si>
  <si>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</si>
  <si>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</si>
  <si>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</si>
  <si>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</si>
  <si>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</si>
  <si>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</si>
  <si>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</si>
  <si>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</si>
  <si>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</si>
  <si>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</si>
  <si>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</si>
  <si>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</si>
  <si>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</si>
  <si>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</si>
  <si>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</si>
  <si>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</si>
  <si>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</si>
  <si>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</si>
  <si>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</si>
  <si>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</si>
  <si>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</si>
  <si>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</si>
  <si>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</si>
  <si>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</si>
  <si>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</si>
  <si>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</si>
  <si>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</si>
  <si>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</si>
  <si>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</si>
  <si>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</si>
  <si>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</si>
  <si>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</si>
  <si>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-0.82 ← sesgo alto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</si>
  <si>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</si>
  <si>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</si>
  <si>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</si>
  <si>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</si>
  <si>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</si>
  <si>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</si>
  <si>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</si>
  <si>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</si>
  <si>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</si>
  <si>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</si>
  <si>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</si>
  <si>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</si>
  <si>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</si>
  <si>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</si>
  <si>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</si>
  <si>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</si>
  <si>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</si>
  <si>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</si>
  <si>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</si>
  <si>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</si>
  <si>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</si>
  <si>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</si>
  <si>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</si>
  <si>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</si>
  <si>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</si>
  <si>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</si>
  <si>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</si>
  <si>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</si>
  <si>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</si>
  <si>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</si>
  <si>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</si>
  <si>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</si>
  <si>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</si>
  <si>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</si>
  <si>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</si>
  <si>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</si>
  <si>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</si>
  <si>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</si>
  <si>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</si>
  <si>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</si>
  <si>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</si>
  <si>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</si>
  <si>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</si>
  <si>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</si>
  <si>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</si>
  <si>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</si>
  <si>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</si>
  <si>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</si>
  <si>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</si>
  <si>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</si>
  <si>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</si>
  <si>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</si>
  <si>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</si>
  <si>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</si>
  <si>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</si>
  <si>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</si>
  <si>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</si>
  <si>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</si>
  <si>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</si>
  <si>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</si>
  <si>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</si>
  <si>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</si>
  <si>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</si>
  <si>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</si>
  <si>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</si>
  <si>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</si>
  <si>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</si>
  <si>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</si>
  <si>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</si>
  <si>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</si>
  <si>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</si>
  <si>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</si>
  <si>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</si>
  <si>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</si>
  <si>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</si>
  <si>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</si>
  <si>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</si>
  <si>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</si>
  <si>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</si>
  <si>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</si>
  <si>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</si>
  <si>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</si>
  <si>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</si>
  <si>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</si>
  <si>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</si>
  <si>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</si>
  <si>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12 álbumes · media 9.06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</si>
  <si>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</si>
  <si>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</si>
  <si>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</si>
  <si>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</si>
  <si>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</si>
  <si>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</si>
  <si>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</si>
  <si>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</si>
  <si>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</si>
  <si>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</si>
  <si>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</si>
  <si>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</si>
  <si>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</si>
  <si>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</si>
  <si>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</si>
  <si>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</si>
  <si>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</si>
  <si>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</si>
  <si>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</si>
  <si>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</si>
  <si>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</si>
  <si>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</si>
  <si>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</si>
  <si>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</si>
  <si>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</si>
  <si>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</si>
  <si>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</si>
  <si>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</si>
  <si>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</si>
  <si>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</si>
  <si>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</si>
  <si>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</si>
  <si>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</si>
  <si>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</si>
  <si>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</si>
  <si>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</si>
  <si>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</si>
  <si>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</si>
  <si>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</si>
  <si>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</si>
  <si>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</si>
  <si>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</si>
  <si>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</si>
  <si>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</si>
  <si>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</si>
  <si>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</si>
  <si>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24 álbumes · media 8.29</t>
  </si>
  <si>
    <t>r=-0.266 · ↓ débil</t>
  </si>
  <si>
    <t>r=0.022 · ≈ nula</t>
  </si>
  <si>
    <t>Duración (r=0.022)</t>
  </si>
  <si>
    <t>3rd EYE SCORE *</t>
  </si>
  <si>
    <t>roots rock, blues rock, classic rock</t>
  </si>
  <si>
    <t>15 (8.99)</t>
  </si>
  <si>
    <t>22 álbumes · media 8.61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</si>
  <si>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</si>
  <si>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</si>
  <si>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</si>
  <si>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</si>
  <si>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</si>
  <si>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</si>
  <si>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</si>
  <si>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</si>
  <si>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</si>
  <si>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</si>
  <si>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</si>
  <si>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8 (×277)</t>
  </si>
  <si>
    <t>4.02 ← colas pesadas</t>
  </si>
  <si>
    <t>8 (0.61%)</t>
  </si>
  <si>
    <t>24 (1.84%)</t>
  </si>
  <si>
    <t>187 (14.37%)</t>
  </si>
  <si>
    <t>540 (41.51%)</t>
  </si>
  <si>
    <t>312 (23.98%)</t>
  </si>
  <si>
    <t>230 (17.68%)</t>
  </si>
  <si>
    <t>126 de 127</t>
  </si>
  <si>
    <t>r=-0.175 · ≈ nula</t>
  </si>
  <si>
    <t>r=0.164 · ≈ nula</t>
  </si>
  <si>
    <t>r=0.156 · ≈ nula</t>
  </si>
  <si>
    <t>r=-0.181 · ≈ nula</t>
  </si>
  <si>
    <t>r=0.595 · ↑ moderada</t>
  </si>
  <si>
    <t>Notas ≥10 (r=0.595)</t>
  </si>
  <si>
    <t>atmospheric sludge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</si>
</sst>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</fonts>
  <fills count="19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  <xf numFmtId="0" fontId="28" fillId="192" borderId="0" xfId="0" applyFont="1" applyFill="1" applyAlignment="1">
      <alignment horizontal="center"/>
    </xf>
    <xf numFmtId="0" fontId="205" fillId="193" borderId="1" xfId="0" applyFont="1" applyFill="1" applyBorder="1" applyAlignment="1">
      <alignment vertical="center"/>
    </xf>
    <xf numFmtId="0" fontId="28" fillId="194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08" fillId="195" borderId="1" xfId="0" applyFont="1" applyFill="1" applyBorder="1" applyAlignment="1">
      <alignment vertical="center"/>
    </xf>
    <xf numFmtId="0" fontId="28" fillId="196" borderId="0" xfId="0" applyFont="1" applyFill="1" applyAlignment="1">
      <alignment horizontal="center"/>
    </xf>
    <xf numFmtId="0" fontId="150" fillId="197" borderId="1" xfId="0" applyFont="1" applyFill="1" applyBorder="1" applyAlignment="1">
      <alignment vertical="center"/>
    </xf>
  </cellXfs>
  <cellStyles count="1">
    <cellStyle name="Normal" xfId="0" builtinId="0"/>
  </cellStyles>
  <dxfs count="887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D9A601"/>
      <color rgb="FFE8D4C2"/>
      <color rgb="FF534E7E"/>
      <color rgb="FF302012"/>
      <color rgb="FF422100"/>
      <color rgb="FFFFF5EB"/>
      <color rgb="FF00004C"/>
      <color rgb="FFEFFFFF"/>
      <color rgb="FF340B04"/>
      <color rgb="FF90AE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912905" y="8498443"/>
              <a:ext cx="5402036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T1" zoomScale="80" zoomScaleNormal="80" workbookViewId="0">
      <pane ySplit="1" topLeftCell="A82" activePane="bottomLeft" state="frozen"/>
      <selection pane="bottomLeft" activeCell="AD98" sqref="AD98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7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3" t="s">
        <v>1357</v>
      </c>
      <c r="S1" s="293"/>
      <c r="T1" s="293"/>
      <c r="U1" s="293"/>
      <c r="V1" s="293"/>
      <c r="W1" s="293"/>
      <c r="X1" s="293"/>
      <c r="Y1" s="293"/>
      <c r="Z1" s="293"/>
      <c r="AA1" s="293"/>
      <c r="AB1" s="293"/>
      <c r="AC1" s="293"/>
      <c r="AD1" s="293"/>
      <c r="AG1" s="293" t="s">
        <v>1047</v>
      </c>
      <c r="AH1" s="293"/>
    </row>
    <row r="2" spans="1:41" ht="16.05" customHeight="1" thickBot="1">
      <c r="A2" s="113" t="s">
        <v>907</v>
      </c>
      <c r="B2" s="3">
        <f>ROUND(SUM(B3:B14)/COUNT(B3:B14), 2)</f>
        <v>9.89</v>
      </c>
      <c r="C2" s="4"/>
      <c r="D2" s="114" t="s">
        <v>908</v>
      </c>
      <c r="E2" s="14">
        <f>ROUND(SUM(E3:E12)/COUNT(E3:E12), 2)</f>
        <v>9.6999999999999993</v>
      </c>
      <c r="F2" s="4"/>
      <c r="G2" s="144" t="s">
        <v>1199</v>
      </c>
      <c r="H2" s="3">
        <f>ROUND(SUM(H3:H15)/COUNT(H3:H15), 2)</f>
        <v>8.73</v>
      </c>
      <c r="I2" s="4"/>
      <c r="J2" s="64" t="s">
        <v>455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2089</v>
      </c>
      <c r="W2" s="52" t="s">
        <v>526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786</v>
      </c>
      <c r="AC2" s="52" t="s">
        <v>2002</v>
      </c>
      <c r="AD2" s="52" t="s">
        <v>2003</v>
      </c>
      <c r="AG2" s="136" t="s">
        <v>1048</v>
      </c>
      <c r="AH2" s="136"/>
    </row>
    <row r="3" spans="1:41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1012</v>
      </c>
      <c r="T3" s="53" t="s">
        <v>1010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1013</v>
      </c>
      <c r="AC3" s="70">
        <v>1996</v>
      </c>
      <c r="AD3" s="70" t="s">
        <v>1954</v>
      </c>
      <c r="AG3" s="69" t="s">
        <v>1049</v>
      </c>
      <c r="AH3" s="137">
        <v>127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767</v>
      </c>
      <c r="AC4" s="71">
        <v>2001</v>
      </c>
      <c r="AD4" s="71" t="s">
        <v>1955</v>
      </c>
      <c r="AG4" s="53" t="s">
        <v>1050</v>
      </c>
      <c r="AH4" s="138">
        <v>82</v>
      </c>
      <c r="AK4" s="43"/>
      <c r="AL4" s="42">
        <v>10</v>
      </c>
      <c r="AM4" s="2" t="s">
        <v>1822</v>
      </c>
      <c r="AN4" t="s">
        <v>249</v>
      </c>
    </row>
    <row r="5" spans="1:41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1043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769</v>
      </c>
      <c r="AC5" s="70">
        <v>1975</v>
      </c>
      <c r="AD5" s="70" t="s">
        <v>1956</v>
      </c>
      <c r="AG5" s="69" t="s">
        <v>1051</v>
      </c>
      <c r="AH5" s="137">
        <v>1361</v>
      </c>
      <c r="AK5" s="47"/>
      <c r="AL5" s="42" t="s">
        <v>243</v>
      </c>
      <c r="AM5" s="2" t="s">
        <v>1823</v>
      </c>
      <c r="AN5" t="s">
        <v>250</v>
      </c>
    </row>
    <row r="6" spans="1:41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768</v>
      </c>
      <c r="AC6" s="71">
        <v>2007</v>
      </c>
      <c r="AD6" s="71" t="s">
        <v>1957</v>
      </c>
      <c r="AG6" s="53" t="s">
        <v>1052</v>
      </c>
      <c r="AH6" s="138">
        <v>1301</v>
      </c>
      <c r="AK6" s="46"/>
      <c r="AL6" s="42" t="s">
        <v>244</v>
      </c>
      <c r="AM6" s="2" t="s">
        <v>1824</v>
      </c>
      <c r="AN6" t="s">
        <v>251</v>
      </c>
    </row>
    <row r="7" spans="1:41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688</v>
      </c>
      <c r="T7" s="53" t="s">
        <v>689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1828</v>
      </c>
      <c r="AC7" s="70">
        <v>2026</v>
      </c>
      <c r="AD7" s="70" t="s">
        <v>1954</v>
      </c>
      <c r="AG7" s="69" t="s">
        <v>335</v>
      </c>
      <c r="AH7" s="137">
        <v>60</v>
      </c>
      <c r="AK7" s="44"/>
      <c r="AL7" s="42" t="s">
        <v>245</v>
      </c>
      <c r="AM7" s="2" t="s">
        <v>1825</v>
      </c>
      <c r="AN7" t="s">
        <v>252</v>
      </c>
    </row>
    <row r="8" spans="1:41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571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767</v>
      </c>
      <c r="AC8" s="71">
        <v>2006</v>
      </c>
      <c r="AD8" s="71" t="s">
        <v>1958</v>
      </c>
      <c r="AG8" s="53" t="s">
        <v>1053</v>
      </c>
      <c r="AH8" s="138">
        <v>10.72</v>
      </c>
      <c r="AK8" s="51"/>
      <c r="AL8" s="42" t="s">
        <v>323</v>
      </c>
      <c r="AM8" s="2" t="s">
        <v>1826</v>
      </c>
      <c r="AN8" t="s">
        <v>324</v>
      </c>
    </row>
    <row r="9" spans="1:41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767</v>
      </c>
      <c r="AC9" s="70">
        <v>1996</v>
      </c>
      <c r="AD9" s="70" t="s">
        <v>1959</v>
      </c>
      <c r="AG9" s="69" t="s">
        <v>1054</v>
      </c>
      <c r="AH9" s="167">
        <v>4.41E-2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768</v>
      </c>
      <c r="AC10" s="71">
        <v>1997</v>
      </c>
      <c r="AD10" s="71" t="s">
        <v>1960</v>
      </c>
    </row>
    <row r="11" spans="1:41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1265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1278</v>
      </c>
      <c r="AC11" s="70">
        <v>2019</v>
      </c>
      <c r="AD11" s="70" t="s">
        <v>1961</v>
      </c>
      <c r="AG11" s="136" t="s">
        <v>1055</v>
      </c>
      <c r="AH11" s="136"/>
      <c r="AI11" s="79"/>
      <c r="AK11" s="17" t="s">
        <v>163</v>
      </c>
      <c r="AL11" s="17"/>
      <c r="AO11" s="18">
        <f>ROUND(CORREL(V3:V123,Z3:Z123),3)</f>
        <v>-0.23400000000000001</v>
      </c>
    </row>
    <row r="12" spans="1:41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770</v>
      </c>
      <c r="AC12" s="71">
        <v>1973</v>
      </c>
      <c r="AD12" s="71" t="s">
        <v>1957</v>
      </c>
      <c r="AG12" s="53" t="s">
        <v>1056</v>
      </c>
      <c r="AH12" s="138">
        <v>8.59</v>
      </c>
      <c r="AK12" s="17" t="s">
        <v>1820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783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770</v>
      </c>
      <c r="AC13" s="70">
        <v>1977</v>
      </c>
      <c r="AD13" s="70" t="s">
        <v>1962</v>
      </c>
      <c r="AG13" s="69" t="s">
        <v>1057</v>
      </c>
      <c r="AH13" s="137">
        <v>8.5</v>
      </c>
      <c r="AK13" t="s">
        <v>1821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5"/>
      <c r="C14" s="4"/>
      <c r="D14" s="109" t="s">
        <v>903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905</v>
      </c>
      <c r="K14" s="3">
        <f>ROUND(SUM(K15:K23)/COUNT(K15:K23), 2)</f>
        <v>8.83</v>
      </c>
      <c r="L14" s="4"/>
      <c r="M14" s="112" t="s">
        <v>906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775</v>
      </c>
      <c r="AC14" s="71">
        <v>1971</v>
      </c>
      <c r="AD14" s="71" t="s">
        <v>1957</v>
      </c>
      <c r="AG14" s="53" t="s">
        <v>1058</v>
      </c>
      <c r="AH14" s="138" t="s">
        <v>2104</v>
      </c>
    </row>
    <row r="15" spans="1:41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1202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769</v>
      </c>
      <c r="AC15" s="70">
        <v>1969</v>
      </c>
      <c r="AD15" s="70" t="s">
        <v>1963</v>
      </c>
      <c r="AK15" t="s">
        <v>385</v>
      </c>
    </row>
    <row r="16" spans="1:41" ht="16.05" customHeight="1" thickBot="1">
      <c r="A16" s="110" t="s">
        <v>904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345</v>
      </c>
      <c r="T16" s="69" t="s">
        <v>56</v>
      </c>
      <c r="U16" s="71">
        <v>9.25</v>
      </c>
      <c r="V16" s="211">
        <v>9.3699999999999992</v>
      </c>
      <c r="W16" s="69">
        <v>9.25</v>
      </c>
      <c r="X16" s="69">
        <v>0.83</v>
      </c>
      <c r="Y16" s="69">
        <v>3</v>
      </c>
      <c r="Z16" s="69">
        <v>8</v>
      </c>
      <c r="AA16" s="69">
        <v>0</v>
      </c>
      <c r="AB16" s="69" t="s">
        <v>791</v>
      </c>
      <c r="AC16" s="71">
        <v>1986</v>
      </c>
      <c r="AD16" s="71" t="s">
        <v>1964</v>
      </c>
      <c r="AG16" s="136" t="s">
        <v>1059</v>
      </c>
      <c r="AH16" s="136"/>
    </row>
    <row r="17" spans="1:37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1200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337</v>
      </c>
      <c r="T17" s="53" t="s">
        <v>292</v>
      </c>
      <c r="U17" s="70">
        <v>9.15</v>
      </c>
      <c r="V17" s="211">
        <v>9.3699999999999992</v>
      </c>
      <c r="W17" s="53">
        <v>9</v>
      </c>
      <c r="X17" s="53">
        <v>1</v>
      </c>
      <c r="Y17" s="53">
        <v>4</v>
      </c>
      <c r="Z17" s="53">
        <v>11</v>
      </c>
      <c r="AA17" s="53">
        <v>1</v>
      </c>
      <c r="AB17" s="53" t="s">
        <v>872</v>
      </c>
      <c r="AC17" s="70">
        <v>2000</v>
      </c>
      <c r="AD17" s="70" t="s">
        <v>1965</v>
      </c>
      <c r="AG17" s="69" t="s">
        <v>1060</v>
      </c>
      <c r="AH17" s="137">
        <v>1.07</v>
      </c>
    </row>
    <row r="18" spans="1:37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341</v>
      </c>
      <c r="T18" s="69" t="s">
        <v>1021</v>
      </c>
      <c r="U18" s="71">
        <v>9.3000000000000007</v>
      </c>
      <c r="V18" s="212">
        <v>9.36</v>
      </c>
      <c r="W18" s="69">
        <v>9</v>
      </c>
      <c r="X18" s="69">
        <v>0.87</v>
      </c>
      <c r="Y18" s="69">
        <v>2</v>
      </c>
      <c r="Z18" s="69">
        <v>5</v>
      </c>
      <c r="AA18" s="69">
        <v>0</v>
      </c>
      <c r="AB18" s="69" t="s">
        <v>769</v>
      </c>
      <c r="AC18" s="71">
        <v>2024</v>
      </c>
      <c r="AD18" s="71" t="s">
        <v>1966</v>
      </c>
      <c r="AG18" s="53" t="s">
        <v>1061</v>
      </c>
      <c r="AH18" s="139">
        <v>0.1244</v>
      </c>
    </row>
    <row r="19" spans="1:37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346</v>
      </c>
      <c r="T19" s="53" t="s">
        <v>189</v>
      </c>
      <c r="U19" s="70">
        <v>9.2100000000000009</v>
      </c>
      <c r="V19" s="213">
        <v>9.34</v>
      </c>
      <c r="W19" s="53">
        <v>9.25</v>
      </c>
      <c r="X19" s="53">
        <v>0.85</v>
      </c>
      <c r="Y19" s="53">
        <v>5</v>
      </c>
      <c r="Z19" s="53">
        <v>13</v>
      </c>
      <c r="AA19" s="53">
        <v>1</v>
      </c>
      <c r="AB19" s="53" t="s">
        <v>772</v>
      </c>
      <c r="AC19" s="70">
        <v>2008</v>
      </c>
      <c r="AD19" s="70" t="s">
        <v>1967</v>
      </c>
      <c r="AG19" s="69" t="s">
        <v>1062</v>
      </c>
      <c r="AH19" s="137" t="s">
        <v>1843</v>
      </c>
    </row>
    <row r="20" spans="1:37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344</v>
      </c>
      <c r="T20" s="69" t="s">
        <v>132</v>
      </c>
      <c r="U20" s="71">
        <v>9.2100000000000009</v>
      </c>
      <c r="V20" s="214">
        <v>9.2799999999999994</v>
      </c>
      <c r="W20" s="69">
        <v>9</v>
      </c>
      <c r="X20" s="69">
        <v>0.8</v>
      </c>
      <c r="Y20" s="69">
        <v>2</v>
      </c>
      <c r="Z20" s="69">
        <v>7</v>
      </c>
      <c r="AA20" s="69">
        <v>0</v>
      </c>
      <c r="AB20" s="69" t="s">
        <v>792</v>
      </c>
      <c r="AC20" s="71">
        <v>2001</v>
      </c>
      <c r="AD20" s="71" t="s">
        <v>1955</v>
      </c>
      <c r="AG20" s="53" t="s">
        <v>1063</v>
      </c>
      <c r="AH20" s="138" t="s">
        <v>1880</v>
      </c>
    </row>
    <row r="21" spans="1:37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456</v>
      </c>
      <c r="T21" s="53" t="s">
        <v>36</v>
      </c>
      <c r="U21" s="70">
        <v>9.15</v>
      </c>
      <c r="V21" s="131">
        <v>9.23</v>
      </c>
      <c r="W21" s="53">
        <v>9</v>
      </c>
      <c r="X21" s="53">
        <v>0.78</v>
      </c>
      <c r="Y21" s="53">
        <v>3</v>
      </c>
      <c r="Z21" s="53">
        <v>10</v>
      </c>
      <c r="AA21" s="53">
        <v>0</v>
      </c>
      <c r="AB21" s="53" t="s">
        <v>769</v>
      </c>
      <c r="AC21" s="70">
        <v>1982</v>
      </c>
      <c r="AD21" s="70" t="s">
        <v>1957</v>
      </c>
      <c r="AK21" t="s">
        <v>278</v>
      </c>
    </row>
    <row r="22" spans="1:37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492</v>
      </c>
      <c r="T22" s="69" t="s">
        <v>510</v>
      </c>
      <c r="U22" s="71">
        <v>9.17</v>
      </c>
      <c r="V22" s="131">
        <v>9.23</v>
      </c>
      <c r="W22" s="69">
        <v>9</v>
      </c>
      <c r="X22" s="69">
        <v>0.69</v>
      </c>
      <c r="Y22" s="69">
        <v>1</v>
      </c>
      <c r="Z22" s="69">
        <v>6</v>
      </c>
      <c r="AA22" s="69">
        <v>0</v>
      </c>
      <c r="AB22" s="69" t="s">
        <v>771</v>
      </c>
      <c r="AC22" s="71">
        <v>2007</v>
      </c>
      <c r="AD22" s="71" t="s">
        <v>1968</v>
      </c>
      <c r="AG22" s="136" t="s">
        <v>1064</v>
      </c>
      <c r="AH22" s="136"/>
      <c r="AK22" t="s">
        <v>279</v>
      </c>
    </row>
    <row r="23" spans="1:37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345</v>
      </c>
      <c r="T23" s="53" t="s">
        <v>708</v>
      </c>
      <c r="U23" s="70">
        <v>9.1300000000000008</v>
      </c>
      <c r="V23" s="215">
        <v>9.2100000000000009</v>
      </c>
      <c r="W23" s="53">
        <v>9</v>
      </c>
      <c r="X23" s="53">
        <v>0.93</v>
      </c>
      <c r="Y23" s="53">
        <v>3</v>
      </c>
      <c r="Z23" s="53">
        <v>8</v>
      </c>
      <c r="AA23" s="53">
        <v>0</v>
      </c>
      <c r="AB23" s="53" t="s">
        <v>791</v>
      </c>
      <c r="AC23" s="70">
        <v>1984</v>
      </c>
      <c r="AD23" s="70" t="s">
        <v>1965</v>
      </c>
      <c r="AG23" s="69" t="s">
        <v>1065</v>
      </c>
      <c r="AH23" s="137" t="s">
        <v>1951</v>
      </c>
      <c r="AK23" t="s">
        <v>280</v>
      </c>
    </row>
    <row r="24" spans="1:37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924</v>
      </c>
      <c r="T24" s="69" t="s">
        <v>915</v>
      </c>
      <c r="U24" s="71">
        <v>9.06</v>
      </c>
      <c r="V24" s="141">
        <v>9.1</v>
      </c>
      <c r="W24" s="69">
        <v>8.75</v>
      </c>
      <c r="X24" s="69">
        <v>0.92</v>
      </c>
      <c r="Y24" s="69">
        <v>3</v>
      </c>
      <c r="Z24" s="69">
        <v>9</v>
      </c>
      <c r="AA24" s="69">
        <v>1</v>
      </c>
      <c r="AB24" s="69" t="s">
        <v>925</v>
      </c>
      <c r="AC24" s="71">
        <v>2021</v>
      </c>
      <c r="AD24" s="71" t="s">
        <v>1954</v>
      </c>
      <c r="AG24" s="53" t="s">
        <v>1066</v>
      </c>
      <c r="AH24" s="138" t="s">
        <v>2105</v>
      </c>
    </row>
    <row r="25" spans="1:37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902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347</v>
      </c>
      <c r="T25" s="53" t="s">
        <v>159</v>
      </c>
      <c r="U25" s="70">
        <v>9</v>
      </c>
      <c r="V25" s="141">
        <v>9.09</v>
      </c>
      <c r="W25" s="53">
        <v>9</v>
      </c>
      <c r="X25" s="53">
        <v>0.85</v>
      </c>
      <c r="Y25" s="53">
        <v>3</v>
      </c>
      <c r="Z25" s="53">
        <v>14</v>
      </c>
      <c r="AA25" s="53">
        <v>1</v>
      </c>
      <c r="AB25" s="53" t="s">
        <v>773</v>
      </c>
      <c r="AC25" s="70">
        <v>2001</v>
      </c>
      <c r="AD25" s="70" t="s">
        <v>1969</v>
      </c>
      <c r="AK25" t="s">
        <v>1827</v>
      </c>
    </row>
    <row r="26" spans="1:37" ht="16.05" customHeight="1" thickBot="1">
      <c r="A26" s="146" t="s">
        <v>1201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348</v>
      </c>
      <c r="T26" s="69" t="s">
        <v>265</v>
      </c>
      <c r="U26" s="71">
        <v>9</v>
      </c>
      <c r="V26" s="141">
        <v>9.09</v>
      </c>
      <c r="W26" s="69">
        <v>9</v>
      </c>
      <c r="X26" s="69">
        <v>0.82</v>
      </c>
      <c r="Y26" s="69">
        <v>2</v>
      </c>
      <c r="Z26" s="69">
        <v>9</v>
      </c>
      <c r="AA26" s="69">
        <v>0</v>
      </c>
      <c r="AB26" s="69" t="s">
        <v>791</v>
      </c>
      <c r="AC26" s="71">
        <v>1990</v>
      </c>
      <c r="AD26" s="71" t="s">
        <v>1970</v>
      </c>
      <c r="AG26" s="136" t="s">
        <v>1067</v>
      </c>
      <c r="AH26" s="136"/>
      <c r="AK26" t="s">
        <v>290</v>
      </c>
    </row>
    <row r="27" spans="1:37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345</v>
      </c>
      <c r="T27" s="53" t="s">
        <v>1146</v>
      </c>
      <c r="U27" s="70">
        <v>9</v>
      </c>
      <c r="V27" s="216">
        <v>9.08</v>
      </c>
      <c r="W27" s="53">
        <v>9</v>
      </c>
      <c r="X27" s="53">
        <v>0.88</v>
      </c>
      <c r="Y27" s="53">
        <v>2</v>
      </c>
      <c r="Z27" s="53">
        <v>9</v>
      </c>
      <c r="AA27" s="53">
        <v>0</v>
      </c>
      <c r="AB27" s="53" t="s">
        <v>791</v>
      </c>
      <c r="AC27" s="70">
        <v>1988</v>
      </c>
      <c r="AD27" s="70" t="s">
        <v>1971</v>
      </c>
      <c r="AG27" s="69" t="s">
        <v>1068</v>
      </c>
      <c r="AH27" s="137" t="s">
        <v>2106</v>
      </c>
    </row>
    <row r="28" spans="1:37" ht="16.05" customHeight="1" thickBot="1">
      <c r="A28" s="6" t="s">
        <v>109</v>
      </c>
      <c r="B28" s="264">
        <v>9</v>
      </c>
      <c r="C28" s="11"/>
      <c r="D28" s="9" t="s">
        <v>1916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492</v>
      </c>
      <c r="T28" s="69" t="s">
        <v>663</v>
      </c>
      <c r="U28" s="71">
        <v>8.94</v>
      </c>
      <c r="V28" s="217">
        <v>9.0399999999999991</v>
      </c>
      <c r="W28" s="69">
        <v>9</v>
      </c>
      <c r="X28" s="69">
        <v>0.86</v>
      </c>
      <c r="Y28" s="69">
        <v>2</v>
      </c>
      <c r="Z28" s="69">
        <v>9</v>
      </c>
      <c r="AA28" s="69">
        <v>0</v>
      </c>
      <c r="AB28" s="69" t="s">
        <v>771</v>
      </c>
      <c r="AC28" s="71">
        <v>2005</v>
      </c>
      <c r="AD28" s="71" t="s">
        <v>1972</v>
      </c>
      <c r="AG28" s="53" t="s">
        <v>1069</v>
      </c>
      <c r="AH28" s="138" t="s">
        <v>2107</v>
      </c>
      <c r="AK28" s="15"/>
    </row>
    <row r="29" spans="1:37" ht="16.05" customHeight="1" thickBot="1">
      <c r="A29" s="6" t="s">
        <v>442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344</v>
      </c>
      <c r="T29" s="53" t="s">
        <v>983</v>
      </c>
      <c r="U29" s="70">
        <v>9</v>
      </c>
      <c r="V29" s="217">
        <v>9.0399999999999991</v>
      </c>
      <c r="W29" s="53">
        <v>8.75</v>
      </c>
      <c r="X29" s="53">
        <v>0.87</v>
      </c>
      <c r="Y29" s="53">
        <v>2</v>
      </c>
      <c r="Z29" s="53">
        <v>8</v>
      </c>
      <c r="AA29" s="53">
        <v>0</v>
      </c>
      <c r="AB29" s="53" t="s">
        <v>792</v>
      </c>
      <c r="AC29" s="70">
        <v>2005</v>
      </c>
      <c r="AD29" s="70" t="s">
        <v>1973</v>
      </c>
      <c r="AG29" s="69" t="s">
        <v>1070</v>
      </c>
      <c r="AH29" s="137" t="s">
        <v>2108</v>
      </c>
      <c r="AK29" s="68" t="s">
        <v>527</v>
      </c>
    </row>
    <row r="30" spans="1:37" ht="16.05" customHeight="1" thickBot="1">
      <c r="A30" s="6" t="s">
        <v>111</v>
      </c>
      <c r="B30" s="264">
        <v>8.5</v>
      </c>
      <c r="C30" s="11"/>
      <c r="D30" s="105" t="s">
        <v>899</v>
      </c>
      <c r="E30" s="3">
        <f>ROUND(SUM(E31:E37)/COUNT(E31:E37), 2)</f>
        <v>9.2100000000000009</v>
      </c>
      <c r="F30" s="4"/>
      <c r="G30" s="103" t="s">
        <v>897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337</v>
      </c>
      <c r="T30" s="69" t="s">
        <v>444</v>
      </c>
      <c r="U30" s="71">
        <v>8.9600000000000009</v>
      </c>
      <c r="V30" s="156">
        <v>9.01</v>
      </c>
      <c r="W30" s="69">
        <v>8.75</v>
      </c>
      <c r="X30" s="69">
        <v>0.83</v>
      </c>
      <c r="Y30" s="69">
        <v>3</v>
      </c>
      <c r="Z30" s="69">
        <v>12</v>
      </c>
      <c r="AA30" s="69">
        <v>0</v>
      </c>
      <c r="AB30" s="69" t="s">
        <v>789</v>
      </c>
      <c r="AC30" s="71">
        <v>1995</v>
      </c>
      <c r="AD30" s="71" t="s">
        <v>1974</v>
      </c>
      <c r="AG30" s="53" t="s">
        <v>1071</v>
      </c>
      <c r="AH30" s="138" t="s">
        <v>2109</v>
      </c>
      <c r="AK30" s="15"/>
    </row>
    <row r="31" spans="1:37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1582</v>
      </c>
      <c r="T31" s="53" t="s">
        <v>1583</v>
      </c>
      <c r="U31" s="70">
        <v>8.67</v>
      </c>
      <c r="V31" s="218">
        <v>9</v>
      </c>
      <c r="W31" s="53">
        <v>8.5</v>
      </c>
      <c r="X31" s="53">
        <v>0.98</v>
      </c>
      <c r="Y31" s="53">
        <v>5</v>
      </c>
      <c r="Z31" s="53">
        <v>26</v>
      </c>
      <c r="AA31" s="53">
        <v>0</v>
      </c>
      <c r="AB31" s="53" t="s">
        <v>1584</v>
      </c>
      <c r="AC31" s="70">
        <v>2017</v>
      </c>
      <c r="AD31" s="70" t="s">
        <v>1963</v>
      </c>
      <c r="AG31" s="69" t="s">
        <v>1072</v>
      </c>
      <c r="AH31" s="137" t="s">
        <v>2110</v>
      </c>
      <c r="AK31" s="55" t="s">
        <v>365</v>
      </c>
    </row>
    <row r="32" spans="1:37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342</v>
      </c>
      <c r="T32" s="69" t="s">
        <v>1858</v>
      </c>
      <c r="U32" s="71">
        <v>8.92</v>
      </c>
      <c r="V32" s="277">
        <v>8.9700000000000006</v>
      </c>
      <c r="W32" s="69">
        <v>8.75</v>
      </c>
      <c r="X32" s="69">
        <v>0.79</v>
      </c>
      <c r="Y32" s="69">
        <v>1</v>
      </c>
      <c r="Z32" s="69">
        <v>6</v>
      </c>
      <c r="AA32" s="69">
        <v>0</v>
      </c>
      <c r="AB32" s="69" t="s">
        <v>1092</v>
      </c>
      <c r="AC32" s="71">
        <v>1971</v>
      </c>
      <c r="AD32" s="71" t="s">
        <v>1975</v>
      </c>
      <c r="AG32" s="53" t="s">
        <v>1073</v>
      </c>
      <c r="AH32" s="138" t="s">
        <v>2111</v>
      </c>
      <c r="AK32" t="s">
        <v>366</v>
      </c>
    </row>
    <row r="33" spans="1:37" ht="16.05" customHeight="1" thickBot="1">
      <c r="A33" s="104" t="s">
        <v>898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355</v>
      </c>
      <c r="T33" s="53" t="s">
        <v>1650</v>
      </c>
      <c r="U33" s="70">
        <v>8.94</v>
      </c>
      <c r="V33" s="219">
        <v>8.9499999999999993</v>
      </c>
      <c r="W33" s="53">
        <v>8.5</v>
      </c>
      <c r="X33" s="53">
        <v>0.76</v>
      </c>
      <c r="Y33" s="53">
        <v>2</v>
      </c>
      <c r="Z33" s="53">
        <v>10</v>
      </c>
      <c r="AA33" s="53">
        <v>1</v>
      </c>
      <c r="AB33" s="53" t="s">
        <v>1668</v>
      </c>
      <c r="AC33" s="70">
        <v>2000</v>
      </c>
      <c r="AD33" s="70" t="s">
        <v>1962</v>
      </c>
      <c r="AK33" t="s">
        <v>367</v>
      </c>
    </row>
    <row r="34" spans="1:37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356</v>
      </c>
      <c r="T34" s="69" t="s">
        <v>1895</v>
      </c>
      <c r="U34" s="71">
        <v>8.9600000000000009</v>
      </c>
      <c r="V34" s="282">
        <v>8.93</v>
      </c>
      <c r="W34" s="69">
        <v>9</v>
      </c>
      <c r="X34" s="69">
        <v>0.59</v>
      </c>
      <c r="Y34" s="69">
        <v>2</v>
      </c>
      <c r="Z34" s="69">
        <v>12</v>
      </c>
      <c r="AA34" s="69">
        <v>0</v>
      </c>
      <c r="AB34" s="69" t="s">
        <v>1896</v>
      </c>
      <c r="AC34" s="71">
        <v>2003</v>
      </c>
      <c r="AD34" s="71" t="s">
        <v>1976</v>
      </c>
      <c r="AG34" s="136" t="s">
        <v>1074</v>
      </c>
      <c r="AH34" s="136"/>
      <c r="AK34" t="s">
        <v>368</v>
      </c>
    </row>
    <row r="35" spans="1:37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1358</v>
      </c>
      <c r="T35" s="53" t="s">
        <v>1349</v>
      </c>
      <c r="U35" s="70">
        <v>8.9499999999999993</v>
      </c>
      <c r="V35" s="290">
        <v>8.91</v>
      </c>
      <c r="W35" s="53">
        <v>9</v>
      </c>
      <c r="X35" s="53">
        <v>0.54</v>
      </c>
      <c r="Y35" s="53">
        <v>1</v>
      </c>
      <c r="Z35" s="53">
        <v>11</v>
      </c>
      <c r="AA35" s="53">
        <v>0</v>
      </c>
      <c r="AB35" s="53" t="s">
        <v>1362</v>
      </c>
      <c r="AC35" s="70">
        <v>2025</v>
      </c>
      <c r="AD35" s="70" t="s">
        <v>1980</v>
      </c>
      <c r="AG35" s="69" t="s">
        <v>1075</v>
      </c>
      <c r="AH35" s="137" t="s">
        <v>1076</v>
      </c>
      <c r="AK35" t="s">
        <v>369</v>
      </c>
    </row>
    <row r="36" spans="1:37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1198</v>
      </c>
      <c r="T36" s="69" t="s">
        <v>1581</v>
      </c>
      <c r="U36" s="71">
        <v>8.7200000000000006</v>
      </c>
      <c r="V36" s="54">
        <v>8.89</v>
      </c>
      <c r="W36" s="69">
        <v>8.5</v>
      </c>
      <c r="X36" s="69">
        <v>1.03</v>
      </c>
      <c r="Y36" s="69">
        <v>5</v>
      </c>
      <c r="Z36" s="69">
        <v>24</v>
      </c>
      <c r="AA36" s="69">
        <v>1</v>
      </c>
      <c r="AB36" s="69" t="s">
        <v>1584</v>
      </c>
      <c r="AC36" s="71">
        <v>2011</v>
      </c>
      <c r="AD36" s="71" t="s">
        <v>1977</v>
      </c>
      <c r="AG36" s="53" t="s">
        <v>1077</v>
      </c>
      <c r="AH36" s="138" t="s">
        <v>1844</v>
      </c>
      <c r="AK36" t="s">
        <v>421</v>
      </c>
    </row>
    <row r="37" spans="1:37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732</v>
      </c>
      <c r="T37" s="53" t="s">
        <v>1454</v>
      </c>
      <c r="U37" s="70">
        <v>8.8800000000000008</v>
      </c>
      <c r="V37" s="54">
        <v>8.89</v>
      </c>
      <c r="W37" s="53">
        <v>8.5</v>
      </c>
      <c r="X37" s="53">
        <v>0.74</v>
      </c>
      <c r="Y37" s="53">
        <v>2</v>
      </c>
      <c r="Z37" s="53">
        <v>15</v>
      </c>
      <c r="AA37" s="53">
        <v>2</v>
      </c>
      <c r="AB37" s="53" t="s">
        <v>1455</v>
      </c>
      <c r="AC37" s="70">
        <v>2005</v>
      </c>
      <c r="AD37" s="70" t="s">
        <v>1968</v>
      </c>
      <c r="AG37" s="69" t="s">
        <v>1078</v>
      </c>
      <c r="AH37" s="137" t="s">
        <v>2071</v>
      </c>
      <c r="AK37" t="s">
        <v>1277</v>
      </c>
    </row>
    <row r="38" spans="1:37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1398</v>
      </c>
      <c r="T38" s="69" t="s">
        <v>1399</v>
      </c>
      <c r="U38" s="71">
        <v>8.82</v>
      </c>
      <c r="V38" s="220">
        <v>8.8800000000000008</v>
      </c>
      <c r="W38" s="69">
        <v>8.75</v>
      </c>
      <c r="X38" s="69">
        <v>0.92</v>
      </c>
      <c r="Y38" s="69">
        <v>3</v>
      </c>
      <c r="Z38" s="69">
        <v>16</v>
      </c>
      <c r="AA38" s="69">
        <v>2</v>
      </c>
      <c r="AB38" s="69" t="s">
        <v>1400</v>
      </c>
      <c r="AC38" s="71">
        <v>2015</v>
      </c>
      <c r="AD38" s="71" t="s">
        <v>1978</v>
      </c>
      <c r="AG38" s="53" t="s">
        <v>1079</v>
      </c>
      <c r="AH38" s="138" t="s">
        <v>1845</v>
      </c>
    </row>
    <row r="39" spans="1:37" ht="16.05" customHeight="1" thickBot="1">
      <c r="A39" s="6" t="s">
        <v>151</v>
      </c>
      <c r="B39" s="264">
        <v>9.5</v>
      </c>
      <c r="C39" s="4"/>
      <c r="D39" s="102" t="s">
        <v>896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1519</v>
      </c>
      <c r="T39" s="53" t="s">
        <v>1520</v>
      </c>
      <c r="U39" s="70">
        <v>8.93</v>
      </c>
      <c r="V39" s="220">
        <v>8.8800000000000008</v>
      </c>
      <c r="W39" s="53">
        <v>9</v>
      </c>
      <c r="X39" s="53">
        <v>0.73</v>
      </c>
      <c r="Y39" s="53">
        <v>1</v>
      </c>
      <c r="Z39" s="53">
        <v>7</v>
      </c>
      <c r="AA39" s="53">
        <v>0</v>
      </c>
      <c r="AB39" s="53" t="s">
        <v>1523</v>
      </c>
      <c r="AC39" s="70">
        <v>2000</v>
      </c>
      <c r="AD39" s="70" t="s">
        <v>1974</v>
      </c>
      <c r="AK39" t="s">
        <v>800</v>
      </c>
    </row>
    <row r="40" spans="1:37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900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1624</v>
      </c>
      <c r="T40" s="69" t="s">
        <v>1625</v>
      </c>
      <c r="U40" s="71">
        <v>8.9</v>
      </c>
      <c r="V40" s="220">
        <v>8.8800000000000008</v>
      </c>
      <c r="W40" s="69">
        <v>9</v>
      </c>
      <c r="X40" s="69">
        <v>0.66</v>
      </c>
      <c r="Y40" s="69">
        <v>1</v>
      </c>
      <c r="Z40" s="69">
        <v>5</v>
      </c>
      <c r="AA40" s="69">
        <v>0</v>
      </c>
      <c r="AB40" s="69" t="s">
        <v>1626</v>
      </c>
      <c r="AC40" s="71">
        <v>1974</v>
      </c>
      <c r="AD40" s="71" t="s">
        <v>1963</v>
      </c>
      <c r="AG40" s="136" t="s">
        <v>1080</v>
      </c>
      <c r="AH40" s="136"/>
    </row>
    <row r="41" spans="1:37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1780</v>
      </c>
      <c r="T41" s="53" t="s">
        <v>1781</v>
      </c>
      <c r="U41" s="70">
        <v>8.91</v>
      </c>
      <c r="V41" s="220">
        <v>8.8800000000000008</v>
      </c>
      <c r="W41" s="53">
        <v>9</v>
      </c>
      <c r="X41" s="53">
        <v>0.67</v>
      </c>
      <c r="Y41" s="53">
        <v>2</v>
      </c>
      <c r="Z41" s="53">
        <v>11</v>
      </c>
      <c r="AA41" s="53">
        <v>0</v>
      </c>
      <c r="AB41" s="53" t="s">
        <v>1112</v>
      </c>
      <c r="AC41" s="70">
        <v>1994</v>
      </c>
      <c r="AD41" s="70" t="s">
        <v>1979</v>
      </c>
      <c r="AG41" s="69" t="s">
        <v>1081</v>
      </c>
      <c r="AH41" s="137" t="s">
        <v>2112</v>
      </c>
    </row>
    <row r="42" spans="1:37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349</v>
      </c>
      <c r="T42" s="69" t="s">
        <v>350</v>
      </c>
      <c r="U42" s="71">
        <v>8.89</v>
      </c>
      <c r="V42" s="221">
        <v>8.8699999999999992</v>
      </c>
      <c r="W42" s="69">
        <v>9</v>
      </c>
      <c r="X42" s="69">
        <v>0.7</v>
      </c>
      <c r="Y42" s="69">
        <v>2</v>
      </c>
      <c r="Z42" s="69">
        <v>9</v>
      </c>
      <c r="AA42" s="69">
        <v>0</v>
      </c>
      <c r="AB42" s="69" t="s">
        <v>774</v>
      </c>
      <c r="AC42" s="71">
        <v>2020</v>
      </c>
      <c r="AD42" s="71" t="s">
        <v>1980</v>
      </c>
      <c r="AG42" s="53" t="s">
        <v>1082</v>
      </c>
      <c r="AH42" s="138">
        <v>84</v>
      </c>
      <c r="AK42" t="s">
        <v>1019</v>
      </c>
    </row>
    <row r="43" spans="1:37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351</v>
      </c>
      <c r="T43" s="53" t="s">
        <v>351</v>
      </c>
      <c r="U43" s="70">
        <v>8.83</v>
      </c>
      <c r="V43" s="178">
        <v>8.86</v>
      </c>
      <c r="W43" s="53">
        <v>8.5</v>
      </c>
      <c r="X43" s="53">
        <v>0.82</v>
      </c>
      <c r="Y43" s="53">
        <v>2</v>
      </c>
      <c r="Z43" s="53">
        <v>9</v>
      </c>
      <c r="AA43" s="53">
        <v>0</v>
      </c>
      <c r="AB43" s="53" t="s">
        <v>1230</v>
      </c>
      <c r="AC43" s="70">
        <v>1978</v>
      </c>
      <c r="AD43" s="70" t="s">
        <v>1962</v>
      </c>
      <c r="AG43" s="69" t="s">
        <v>1083</v>
      </c>
      <c r="AH43" s="137" t="s">
        <v>2083</v>
      </c>
    </row>
    <row r="44" spans="1:37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355</v>
      </c>
      <c r="T44" s="69" t="s">
        <v>1008</v>
      </c>
      <c r="U44" s="71">
        <v>8.73</v>
      </c>
      <c r="V44" s="179">
        <v>8.85</v>
      </c>
      <c r="W44" s="69">
        <v>9</v>
      </c>
      <c r="X44" s="69">
        <v>0.96</v>
      </c>
      <c r="Y44" s="69">
        <v>2</v>
      </c>
      <c r="Z44" s="69">
        <v>11</v>
      </c>
      <c r="AA44" s="69">
        <v>0</v>
      </c>
      <c r="AB44" s="69" t="s">
        <v>1014</v>
      </c>
      <c r="AC44" s="71">
        <v>2002</v>
      </c>
      <c r="AD44" s="71" t="s">
        <v>1964</v>
      </c>
      <c r="AG44" s="53" t="s">
        <v>1084</v>
      </c>
      <c r="AH44" s="138" t="s">
        <v>1846</v>
      </c>
    </row>
    <row r="45" spans="1:37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351</v>
      </c>
      <c r="T45" s="53" t="s">
        <v>95</v>
      </c>
      <c r="U45" s="70">
        <v>8.83</v>
      </c>
      <c r="V45" s="222">
        <v>8.84</v>
      </c>
      <c r="W45" s="53">
        <v>8.5</v>
      </c>
      <c r="X45" s="53">
        <v>0.94</v>
      </c>
      <c r="Y45" s="53">
        <v>2</v>
      </c>
      <c r="Z45" s="53">
        <v>9</v>
      </c>
      <c r="AA45" s="53">
        <v>0</v>
      </c>
      <c r="AB45" s="53" t="s">
        <v>775</v>
      </c>
      <c r="AC45" s="70">
        <v>1985</v>
      </c>
      <c r="AD45" s="70" t="s">
        <v>1964</v>
      </c>
      <c r="AG45" s="69" t="s">
        <v>1085</v>
      </c>
      <c r="AH45" s="137" t="s">
        <v>1086</v>
      </c>
    </row>
    <row r="46" spans="1:37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1552</v>
      </c>
      <c r="T46" s="69" t="s">
        <v>1553</v>
      </c>
      <c r="U46" s="71">
        <v>8.82</v>
      </c>
      <c r="V46" s="222">
        <v>8.84</v>
      </c>
      <c r="W46" s="69">
        <v>8.5</v>
      </c>
      <c r="X46" s="69">
        <v>0.81</v>
      </c>
      <c r="Y46" s="69">
        <v>2</v>
      </c>
      <c r="Z46" s="69">
        <v>12</v>
      </c>
      <c r="AA46" s="69">
        <v>1</v>
      </c>
      <c r="AB46" s="69" t="s">
        <v>792</v>
      </c>
      <c r="AC46" s="71">
        <v>2005</v>
      </c>
      <c r="AD46" s="71" t="s">
        <v>1973</v>
      </c>
    </row>
    <row r="47" spans="1:37" ht="16.05" customHeight="1" thickBot="1">
      <c r="A47" s="101" t="s">
        <v>895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901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1409</v>
      </c>
      <c r="T47" s="53" t="s">
        <v>1402</v>
      </c>
      <c r="U47" s="70">
        <v>8.86</v>
      </c>
      <c r="V47" s="222">
        <v>8.83</v>
      </c>
      <c r="W47" s="53">
        <v>9</v>
      </c>
      <c r="X47" s="53">
        <v>0.69</v>
      </c>
      <c r="Y47" s="53">
        <v>1</v>
      </c>
      <c r="Z47" s="53">
        <v>7</v>
      </c>
      <c r="AA47" s="53">
        <v>0</v>
      </c>
      <c r="AB47" s="53" t="s">
        <v>1411</v>
      </c>
      <c r="AC47" s="70">
        <v>1971</v>
      </c>
      <c r="AD47" s="70" t="s">
        <v>1981</v>
      </c>
      <c r="AG47" s="136" t="s">
        <v>1087</v>
      </c>
      <c r="AH47" s="136"/>
    </row>
    <row r="48" spans="1:37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599</v>
      </c>
      <c r="T48" s="69" t="s">
        <v>600</v>
      </c>
      <c r="U48" s="71">
        <v>8.7799999999999994</v>
      </c>
      <c r="V48" s="180">
        <v>8.7899999999999991</v>
      </c>
      <c r="W48" s="69">
        <v>8.5</v>
      </c>
      <c r="X48" s="69">
        <v>0.97</v>
      </c>
      <c r="Y48" s="69">
        <v>2</v>
      </c>
      <c r="Z48" s="69">
        <v>9</v>
      </c>
      <c r="AA48" s="69">
        <v>0</v>
      </c>
      <c r="AB48" s="69" t="s">
        <v>835</v>
      </c>
      <c r="AC48" s="71">
        <v>1983</v>
      </c>
      <c r="AD48" s="71" t="s">
        <v>1965</v>
      </c>
      <c r="AG48" s="53" t="s">
        <v>1088</v>
      </c>
      <c r="AH48" s="138" t="s">
        <v>1420</v>
      </c>
    </row>
    <row r="49" spans="1:34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347</v>
      </c>
      <c r="T49" s="53" t="s">
        <v>642</v>
      </c>
      <c r="U49" s="70">
        <v>8.77</v>
      </c>
      <c r="V49" s="180">
        <v>8.7899999999999991</v>
      </c>
      <c r="W49" s="53">
        <v>8.5</v>
      </c>
      <c r="X49" s="53">
        <v>0.99</v>
      </c>
      <c r="Y49" s="53">
        <v>3</v>
      </c>
      <c r="Z49" s="53">
        <v>13</v>
      </c>
      <c r="AA49" s="53">
        <v>0</v>
      </c>
      <c r="AB49" s="53" t="s">
        <v>773</v>
      </c>
      <c r="AC49" s="70">
        <v>2013</v>
      </c>
      <c r="AD49" s="70" t="s">
        <v>1982</v>
      </c>
      <c r="AG49" s="69" t="s">
        <v>1094</v>
      </c>
      <c r="AH49" s="137" t="s">
        <v>1154</v>
      </c>
    </row>
    <row r="50" spans="1:34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832</v>
      </c>
      <c r="T50" s="69" t="s">
        <v>833</v>
      </c>
      <c r="U50" s="71">
        <v>8.82</v>
      </c>
      <c r="V50" s="180">
        <v>8.7899999999999991</v>
      </c>
      <c r="W50" s="69">
        <v>9</v>
      </c>
      <c r="X50" s="69">
        <v>0.86</v>
      </c>
      <c r="Y50" s="69">
        <v>3</v>
      </c>
      <c r="Z50" s="69">
        <v>13</v>
      </c>
      <c r="AA50" s="69">
        <v>2</v>
      </c>
      <c r="AB50" s="69" t="s">
        <v>834</v>
      </c>
      <c r="AC50" s="71">
        <v>2010</v>
      </c>
      <c r="AD50" s="71" t="s">
        <v>1983</v>
      </c>
      <c r="AG50" s="53" t="s">
        <v>1090</v>
      </c>
      <c r="AH50" s="138" t="s">
        <v>1091</v>
      </c>
    </row>
    <row r="51" spans="1:34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1303</v>
      </c>
      <c r="T51" s="53" t="s">
        <v>1304</v>
      </c>
      <c r="U51" s="70">
        <v>8.67</v>
      </c>
      <c r="V51" s="180">
        <v>8.7899999999999991</v>
      </c>
      <c r="W51" s="53">
        <v>9</v>
      </c>
      <c r="X51" s="53">
        <v>1.08</v>
      </c>
      <c r="Y51" s="53">
        <v>2</v>
      </c>
      <c r="Z51" s="53">
        <v>9</v>
      </c>
      <c r="AA51" s="53">
        <v>0</v>
      </c>
      <c r="AB51" s="53" t="s">
        <v>1308</v>
      </c>
      <c r="AC51" s="70">
        <v>2008</v>
      </c>
      <c r="AD51" s="70" t="s">
        <v>1984</v>
      </c>
      <c r="AG51" s="69" t="s">
        <v>1093</v>
      </c>
      <c r="AH51" s="137" t="s">
        <v>2023</v>
      </c>
    </row>
    <row r="52" spans="1:34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1706</v>
      </c>
      <c r="T52" s="69" t="s">
        <v>1705</v>
      </c>
      <c r="U52" s="71">
        <v>8.85</v>
      </c>
      <c r="V52" s="223">
        <v>8.7799999999999994</v>
      </c>
      <c r="W52" s="69">
        <v>8.75</v>
      </c>
      <c r="X52" s="69">
        <v>0.55000000000000004</v>
      </c>
      <c r="Y52" s="69">
        <v>1</v>
      </c>
      <c r="Z52" s="69">
        <v>10</v>
      </c>
      <c r="AA52" s="69">
        <v>0</v>
      </c>
      <c r="AB52" s="69" t="s">
        <v>1707</v>
      </c>
      <c r="AC52" s="71">
        <v>2014</v>
      </c>
      <c r="AD52" s="71" t="s">
        <v>1985</v>
      </c>
      <c r="AG52" s="53" t="s">
        <v>1116</v>
      </c>
      <c r="AH52" s="138" t="s">
        <v>1829</v>
      </c>
    </row>
    <row r="53" spans="1:34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341</v>
      </c>
      <c r="T53" s="53" t="s">
        <v>1419</v>
      </c>
      <c r="U53" s="70">
        <v>8.83</v>
      </c>
      <c r="V53" s="181">
        <v>8.77</v>
      </c>
      <c r="W53" s="53">
        <v>8.75</v>
      </c>
      <c r="X53" s="53">
        <v>0.62</v>
      </c>
      <c r="Y53" s="53">
        <v>1</v>
      </c>
      <c r="Z53" s="53">
        <v>6</v>
      </c>
      <c r="AA53" s="53">
        <v>0</v>
      </c>
      <c r="AB53" s="53" t="s">
        <v>1423</v>
      </c>
      <c r="AC53" s="70">
        <v>2023</v>
      </c>
      <c r="AD53" s="70" t="s">
        <v>1986</v>
      </c>
      <c r="AG53" s="69" t="s">
        <v>1095</v>
      </c>
      <c r="AH53" s="137" t="s">
        <v>1096</v>
      </c>
    </row>
    <row r="54" spans="1:34" ht="16.05" customHeight="1" thickBot="1">
      <c r="A54" s="8" t="s">
        <v>261</v>
      </c>
      <c r="B54" s="264">
        <v>8</v>
      </c>
      <c r="C54" s="4"/>
      <c r="D54" s="100" t="s">
        <v>894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893</v>
      </c>
      <c r="N54" s="14">
        <f>ROUND(SUM(N55:N65)/COUNT(N55:N65), 2)</f>
        <v>9.15</v>
      </c>
      <c r="O54" s="22"/>
      <c r="R54" s="60">
        <v>52</v>
      </c>
      <c r="S54" s="69" t="s">
        <v>1814</v>
      </c>
      <c r="T54" s="69" t="s">
        <v>1815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1819</v>
      </c>
      <c r="AC54" s="71">
        <v>1991</v>
      </c>
      <c r="AD54" s="71" t="s">
        <v>1986</v>
      </c>
      <c r="AG54" s="53" t="s">
        <v>1097</v>
      </c>
      <c r="AH54" s="138" t="s">
        <v>1096</v>
      </c>
    </row>
    <row r="55" spans="1:34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356</v>
      </c>
      <c r="T55" s="53" t="s">
        <v>1203</v>
      </c>
      <c r="U55" s="70">
        <v>8.73</v>
      </c>
      <c r="V55" s="132">
        <v>8.76</v>
      </c>
      <c r="W55" s="53">
        <v>8.5</v>
      </c>
      <c r="X55" s="53">
        <v>0.87</v>
      </c>
      <c r="Y55" s="53">
        <v>2</v>
      </c>
      <c r="Z55" s="53">
        <v>13</v>
      </c>
      <c r="AA55" s="53">
        <v>0</v>
      </c>
      <c r="AB55" s="53" t="s">
        <v>1205</v>
      </c>
      <c r="AC55" s="70">
        <v>2009</v>
      </c>
      <c r="AD55" s="70" t="s">
        <v>1987</v>
      </c>
      <c r="AG55" s="69" t="s">
        <v>1089</v>
      </c>
      <c r="AH55" s="137" t="s">
        <v>1898</v>
      </c>
    </row>
    <row r="56" spans="1:34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352</v>
      </c>
      <c r="T56" s="69" t="s">
        <v>277</v>
      </c>
      <c r="U56" s="71">
        <v>8.7799999999999994</v>
      </c>
      <c r="V56" s="132">
        <v>8.76</v>
      </c>
      <c r="W56" s="69">
        <v>9</v>
      </c>
      <c r="X56" s="69">
        <v>0.79</v>
      </c>
      <c r="Y56" s="69">
        <v>2</v>
      </c>
      <c r="Z56" s="69">
        <v>10</v>
      </c>
      <c r="AA56" s="69">
        <v>1</v>
      </c>
      <c r="AB56" s="69" t="s">
        <v>776</v>
      </c>
      <c r="AC56" s="71">
        <v>1994</v>
      </c>
      <c r="AD56" s="71" t="s">
        <v>1986</v>
      </c>
      <c r="AG56" s="53" t="s">
        <v>1092</v>
      </c>
      <c r="AH56" s="138" t="s">
        <v>2091</v>
      </c>
    </row>
    <row r="57" spans="1:34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853</v>
      </c>
      <c r="T57" s="53" t="s">
        <v>848</v>
      </c>
      <c r="U57" s="70">
        <v>8.7100000000000009</v>
      </c>
      <c r="V57" s="132">
        <v>8.76</v>
      </c>
      <c r="W57" s="53">
        <v>8.5</v>
      </c>
      <c r="X57" s="53">
        <v>0.75</v>
      </c>
      <c r="Y57" s="53">
        <v>2</v>
      </c>
      <c r="Z57" s="53">
        <v>14</v>
      </c>
      <c r="AA57" s="53">
        <v>0</v>
      </c>
      <c r="AB57" s="53" t="s">
        <v>854</v>
      </c>
      <c r="AC57" s="70">
        <v>2005</v>
      </c>
      <c r="AD57" s="70" t="s">
        <v>1988</v>
      </c>
      <c r="AG57" s="69" t="s">
        <v>775</v>
      </c>
      <c r="AH57" s="137" t="s">
        <v>1155</v>
      </c>
    </row>
    <row r="58" spans="1:34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1508</v>
      </c>
      <c r="T58" s="69" t="s">
        <v>1509</v>
      </c>
      <c r="U58" s="71">
        <v>8.73</v>
      </c>
      <c r="V58" s="132">
        <v>8.76</v>
      </c>
      <c r="W58" s="69">
        <v>8.5</v>
      </c>
      <c r="X58" s="69">
        <v>0.75</v>
      </c>
      <c r="Y58" s="69">
        <v>1</v>
      </c>
      <c r="Z58" s="69">
        <v>13</v>
      </c>
      <c r="AA58" s="69">
        <v>0</v>
      </c>
      <c r="AB58" s="69" t="s">
        <v>1510</v>
      </c>
      <c r="AC58" s="71">
        <v>1992</v>
      </c>
      <c r="AD58" s="71" t="s">
        <v>1982</v>
      </c>
      <c r="AG58" s="53" t="s">
        <v>1899</v>
      </c>
      <c r="AH58" s="138" t="s">
        <v>1900</v>
      </c>
    </row>
    <row r="59" spans="1:34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337</v>
      </c>
      <c r="T59" s="53" t="s">
        <v>572</v>
      </c>
      <c r="U59" s="70">
        <v>8.77</v>
      </c>
      <c r="V59" s="224">
        <v>8.75</v>
      </c>
      <c r="W59" s="53">
        <v>9</v>
      </c>
      <c r="X59" s="53">
        <v>0.72</v>
      </c>
      <c r="Y59" s="53">
        <v>1</v>
      </c>
      <c r="Z59" s="53">
        <v>11</v>
      </c>
      <c r="AA59" s="53">
        <v>0</v>
      </c>
      <c r="AB59" s="53" t="s">
        <v>768</v>
      </c>
      <c r="AC59" s="70">
        <v>2016</v>
      </c>
      <c r="AD59" s="70" t="s">
        <v>1984</v>
      </c>
      <c r="AG59" s="69" t="s">
        <v>1639</v>
      </c>
      <c r="AH59" s="137" t="s">
        <v>1640</v>
      </c>
    </row>
    <row r="60" spans="1:34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732</v>
      </c>
      <c r="T60" s="69" t="s">
        <v>728</v>
      </c>
      <c r="U60" s="71">
        <v>8.67</v>
      </c>
      <c r="V60" s="224">
        <v>8.75</v>
      </c>
      <c r="W60" s="69">
        <v>8</v>
      </c>
      <c r="X60" s="69">
        <v>1.04</v>
      </c>
      <c r="Y60" s="69">
        <v>4</v>
      </c>
      <c r="Z60" s="69">
        <v>16</v>
      </c>
      <c r="AA60" s="69">
        <v>1</v>
      </c>
      <c r="AB60" s="69" t="s">
        <v>793</v>
      </c>
      <c r="AC60" s="71">
        <v>2010</v>
      </c>
      <c r="AD60" s="71" t="s">
        <v>1989</v>
      </c>
      <c r="AG60" s="53" t="s">
        <v>1099</v>
      </c>
      <c r="AH60" s="138" t="s">
        <v>1100</v>
      </c>
    </row>
    <row r="61" spans="1:34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754</v>
      </c>
      <c r="T61" s="53" t="s">
        <v>755</v>
      </c>
      <c r="U61" s="70">
        <v>8.86</v>
      </c>
      <c r="V61" s="224">
        <v>8.75</v>
      </c>
      <c r="W61" s="53">
        <v>8.5</v>
      </c>
      <c r="X61" s="53">
        <v>0.77</v>
      </c>
      <c r="Y61" s="53">
        <v>3</v>
      </c>
      <c r="Z61" s="53">
        <v>11</v>
      </c>
      <c r="AA61" s="53">
        <v>0</v>
      </c>
      <c r="AB61" s="53" t="s">
        <v>855</v>
      </c>
      <c r="AC61" s="70">
        <v>2002</v>
      </c>
      <c r="AD61" s="70" t="s">
        <v>1979</v>
      </c>
      <c r="AG61" s="69" t="s">
        <v>1421</v>
      </c>
      <c r="AH61" s="137" t="s">
        <v>1422</v>
      </c>
    </row>
    <row r="62" spans="1:34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344</v>
      </c>
      <c r="T62" s="69" t="s">
        <v>913</v>
      </c>
      <c r="U62" s="71">
        <v>8.7100000000000009</v>
      </c>
      <c r="V62" s="182">
        <v>8.73</v>
      </c>
      <c r="W62" s="69">
        <v>8.5</v>
      </c>
      <c r="X62" s="69">
        <v>0.96</v>
      </c>
      <c r="Y62" s="69">
        <v>1</v>
      </c>
      <c r="Z62" s="69">
        <v>7</v>
      </c>
      <c r="AA62" s="69">
        <v>0</v>
      </c>
      <c r="AB62" s="69" t="s">
        <v>792</v>
      </c>
      <c r="AC62" s="71">
        <v>1999</v>
      </c>
      <c r="AD62" s="71" t="s">
        <v>1990</v>
      </c>
      <c r="AG62" s="53" t="s">
        <v>1106</v>
      </c>
      <c r="AH62" s="138" t="s">
        <v>1681</v>
      </c>
    </row>
    <row r="63" spans="1:34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407</v>
      </c>
      <c r="T63" s="53" t="s">
        <v>401</v>
      </c>
      <c r="U63" s="70">
        <v>8.6999999999999993</v>
      </c>
      <c r="V63" s="148">
        <v>8.7200000000000006</v>
      </c>
      <c r="W63" s="53">
        <v>8.5</v>
      </c>
      <c r="X63" s="53">
        <v>1.08</v>
      </c>
      <c r="Y63" s="53">
        <v>2</v>
      </c>
      <c r="Z63" s="53">
        <v>10</v>
      </c>
      <c r="AA63" s="53">
        <v>0</v>
      </c>
      <c r="AB63" s="53" t="s">
        <v>777</v>
      </c>
      <c r="AC63" s="70">
        <v>1990</v>
      </c>
      <c r="AD63" s="70" t="s">
        <v>1991</v>
      </c>
      <c r="AG63" s="69" t="s">
        <v>791</v>
      </c>
      <c r="AH63" s="137" t="s">
        <v>1156</v>
      </c>
    </row>
    <row r="64" spans="1:34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1466</v>
      </c>
      <c r="T64" s="69" t="s">
        <v>1467</v>
      </c>
      <c r="U64" s="71">
        <v>8.83</v>
      </c>
      <c r="V64" s="148">
        <v>8.7200000000000006</v>
      </c>
      <c r="W64" s="69">
        <v>8.5</v>
      </c>
      <c r="X64" s="69">
        <v>0.57999999999999996</v>
      </c>
      <c r="Y64" s="69">
        <v>1</v>
      </c>
      <c r="Z64" s="69">
        <v>9</v>
      </c>
      <c r="AA64" s="69">
        <v>0</v>
      </c>
      <c r="AB64" s="69" t="s">
        <v>1470</v>
      </c>
      <c r="AC64" s="71">
        <v>2016</v>
      </c>
      <c r="AD64" s="71" t="s">
        <v>1983</v>
      </c>
      <c r="AG64" s="53" t="s">
        <v>1247</v>
      </c>
      <c r="AH64" s="138" t="s">
        <v>1248</v>
      </c>
    </row>
    <row r="65" spans="1:34" ht="16.05" customHeight="1" thickBot="1">
      <c r="A65" s="8" t="s">
        <v>286</v>
      </c>
      <c r="B65" s="264">
        <v>9.5</v>
      </c>
      <c r="C65" s="22"/>
      <c r="D65" s="98" t="s">
        <v>892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420</v>
      </c>
      <c r="T65" s="53" t="s">
        <v>418</v>
      </c>
      <c r="U65" s="70">
        <v>8.67</v>
      </c>
      <c r="V65" s="143">
        <v>8.7100000000000009</v>
      </c>
      <c r="W65" s="53">
        <v>8.5</v>
      </c>
      <c r="X65" s="53">
        <v>0.85</v>
      </c>
      <c r="Y65" s="53">
        <v>2</v>
      </c>
      <c r="Z65" s="53">
        <v>12</v>
      </c>
      <c r="AA65" s="53">
        <v>0</v>
      </c>
      <c r="AB65" s="53" t="s">
        <v>835</v>
      </c>
      <c r="AC65" s="70">
        <v>1989</v>
      </c>
      <c r="AD65" s="70" t="s">
        <v>1992</v>
      </c>
      <c r="AG65" s="69" t="s">
        <v>1249</v>
      </c>
      <c r="AH65" s="137" t="s">
        <v>1248</v>
      </c>
    </row>
    <row r="66" spans="1:34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1534</v>
      </c>
      <c r="T66" s="69" t="s">
        <v>1535</v>
      </c>
      <c r="U66" s="71">
        <v>8.75</v>
      </c>
      <c r="V66" s="149">
        <v>8.6999999999999993</v>
      </c>
      <c r="W66" s="69">
        <v>8.75</v>
      </c>
      <c r="X66" s="69">
        <v>0.75</v>
      </c>
      <c r="Y66" s="69">
        <v>2</v>
      </c>
      <c r="Z66" s="69">
        <v>10</v>
      </c>
      <c r="AA66" s="69">
        <v>0</v>
      </c>
      <c r="AB66" s="69" t="s">
        <v>1536</v>
      </c>
      <c r="AC66" s="71">
        <v>1998</v>
      </c>
      <c r="AD66" s="71" t="s">
        <v>1993</v>
      </c>
      <c r="AG66" s="53" t="s">
        <v>1425</v>
      </c>
      <c r="AH66" s="138" t="s">
        <v>1248</v>
      </c>
    </row>
    <row r="67" spans="1:34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1017</v>
      </c>
      <c r="N67" s="3">
        <f>ROUND(SUM(N68:N77)/COUNT(N68:N77), 2)</f>
        <v>8.6999999999999993</v>
      </c>
      <c r="O67" s="22"/>
      <c r="R67" s="60">
        <v>65</v>
      </c>
      <c r="S67" s="53" t="s">
        <v>1729</v>
      </c>
      <c r="T67" s="53" t="s">
        <v>1725</v>
      </c>
      <c r="U67" s="70">
        <v>8.81</v>
      </c>
      <c r="V67" s="149">
        <v>8.6999999999999993</v>
      </c>
      <c r="W67" s="53">
        <v>8.5</v>
      </c>
      <c r="X67" s="53">
        <v>0.83</v>
      </c>
      <c r="Y67" s="53">
        <v>2</v>
      </c>
      <c r="Z67" s="53">
        <v>8</v>
      </c>
      <c r="AA67" s="53">
        <v>0</v>
      </c>
      <c r="AB67" s="53" t="s">
        <v>1380</v>
      </c>
      <c r="AC67" s="70">
        <v>1982</v>
      </c>
      <c r="AD67" s="70" t="s">
        <v>1970</v>
      </c>
      <c r="AG67" s="69" t="s">
        <v>1830</v>
      </c>
      <c r="AH67" s="137" t="s">
        <v>1248</v>
      </c>
    </row>
    <row r="68" spans="1:34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1486</v>
      </c>
      <c r="T68" s="69" t="s">
        <v>1491</v>
      </c>
      <c r="U68" s="71">
        <v>8.8000000000000007</v>
      </c>
      <c r="V68" s="199">
        <v>8.68</v>
      </c>
      <c r="W68" s="69">
        <v>8.5</v>
      </c>
      <c r="X68" s="69">
        <v>0.7</v>
      </c>
      <c r="Y68" s="69">
        <v>2</v>
      </c>
      <c r="Z68" s="69">
        <v>15</v>
      </c>
      <c r="AA68" s="69">
        <v>0</v>
      </c>
      <c r="AB68" s="69" t="s">
        <v>1488</v>
      </c>
      <c r="AC68" s="71">
        <v>2012</v>
      </c>
      <c r="AD68" s="71" t="s">
        <v>1969</v>
      </c>
      <c r="AG68" s="53" t="s">
        <v>1487</v>
      </c>
      <c r="AH68" s="138" t="s">
        <v>1248</v>
      </c>
    </row>
    <row r="69" spans="1:34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891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1359</v>
      </c>
      <c r="T69" s="53" t="s">
        <v>1360</v>
      </c>
      <c r="U69" s="70">
        <v>8.77</v>
      </c>
      <c r="V69" s="203">
        <v>8.65</v>
      </c>
      <c r="W69" s="53">
        <v>8.5</v>
      </c>
      <c r="X69" s="53">
        <v>0.75</v>
      </c>
      <c r="Y69" s="53">
        <v>2</v>
      </c>
      <c r="Z69" s="53">
        <v>14</v>
      </c>
      <c r="AA69" s="53">
        <v>1</v>
      </c>
      <c r="AB69" s="53" t="s">
        <v>1363</v>
      </c>
      <c r="AC69" s="70">
        <v>2002</v>
      </c>
      <c r="AD69" s="70" t="s">
        <v>1971</v>
      </c>
      <c r="AG69" s="69" t="s">
        <v>1410</v>
      </c>
      <c r="AH69" s="137" t="s">
        <v>1102</v>
      </c>
    </row>
    <row r="70" spans="1:34" ht="16.05" customHeight="1" thickBot="1">
      <c r="A70" s="65" t="s">
        <v>476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345</v>
      </c>
      <c r="T70" s="69" t="s">
        <v>345</v>
      </c>
      <c r="U70" s="71">
        <v>8.4600000000000009</v>
      </c>
      <c r="V70" s="203">
        <v>8.65</v>
      </c>
      <c r="W70" s="69">
        <v>8.5</v>
      </c>
      <c r="X70" s="69">
        <v>1.33</v>
      </c>
      <c r="Y70" s="69">
        <v>3</v>
      </c>
      <c r="Z70" s="69">
        <v>12</v>
      </c>
      <c r="AA70" s="69">
        <v>0</v>
      </c>
      <c r="AB70" s="69" t="s">
        <v>1380</v>
      </c>
      <c r="AC70" s="71">
        <v>2021</v>
      </c>
      <c r="AD70" s="71" t="s">
        <v>1990</v>
      </c>
      <c r="AG70" s="53" t="s">
        <v>1103</v>
      </c>
      <c r="AH70" s="138" t="s">
        <v>1102</v>
      </c>
    </row>
    <row r="71" spans="1:34" ht="16.05" customHeight="1">
      <c r="A71" s="13" t="s">
        <v>422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1679</v>
      </c>
      <c r="T71" s="53" t="s">
        <v>1675</v>
      </c>
      <c r="U71" s="70">
        <v>8.75</v>
      </c>
      <c r="V71" s="203">
        <v>8.65</v>
      </c>
      <c r="W71" s="53">
        <v>8.5</v>
      </c>
      <c r="X71" s="53">
        <v>0.56000000000000005</v>
      </c>
      <c r="Y71" s="53">
        <v>1</v>
      </c>
      <c r="Z71" s="53">
        <v>9</v>
      </c>
      <c r="AA71" s="53">
        <v>1</v>
      </c>
      <c r="AB71" s="53" t="s">
        <v>1682</v>
      </c>
      <c r="AC71" s="70">
        <v>2000</v>
      </c>
      <c r="AD71" s="70" t="s">
        <v>1958</v>
      </c>
      <c r="AG71" s="69" t="s">
        <v>1264</v>
      </c>
      <c r="AH71" s="137" t="s">
        <v>1731</v>
      </c>
    </row>
    <row r="72" spans="1:34" ht="16.05" customHeight="1">
      <c r="A72" s="6" t="s">
        <v>423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1260</v>
      </c>
      <c r="T72" s="69" t="s">
        <v>1254</v>
      </c>
      <c r="U72" s="71">
        <v>8.75</v>
      </c>
      <c r="V72" s="225">
        <v>8.6300000000000008</v>
      </c>
      <c r="W72" s="69">
        <v>8.5</v>
      </c>
      <c r="X72" s="69">
        <v>0.8</v>
      </c>
      <c r="Y72" s="69">
        <v>1</v>
      </c>
      <c r="Z72" s="69">
        <v>7</v>
      </c>
      <c r="AA72" s="69">
        <v>1</v>
      </c>
      <c r="AB72" s="69" t="s">
        <v>1261</v>
      </c>
      <c r="AC72" s="71">
        <v>2013</v>
      </c>
      <c r="AD72" s="71" t="s">
        <v>1972</v>
      </c>
      <c r="AG72" s="53" t="s">
        <v>1112</v>
      </c>
      <c r="AH72" s="138" t="s">
        <v>1784</v>
      </c>
    </row>
    <row r="73" spans="1:34" ht="16.05" customHeight="1">
      <c r="A73" s="6" t="s">
        <v>424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1638</v>
      </c>
      <c r="T73" s="53" t="s">
        <v>1631</v>
      </c>
      <c r="U73" s="70">
        <v>8.75</v>
      </c>
      <c r="V73" s="225">
        <v>8.6300000000000008</v>
      </c>
      <c r="W73" s="53">
        <v>8.5</v>
      </c>
      <c r="X73" s="53">
        <v>0.87</v>
      </c>
      <c r="Y73" s="53">
        <v>2</v>
      </c>
      <c r="Z73" s="53">
        <v>10</v>
      </c>
      <c r="AA73" s="53">
        <v>0</v>
      </c>
      <c r="AB73" s="53" t="s">
        <v>1641</v>
      </c>
      <c r="AC73" s="70">
        <v>1979</v>
      </c>
      <c r="AD73" s="70" t="s">
        <v>1975</v>
      </c>
      <c r="AG73" s="69" t="s">
        <v>1489</v>
      </c>
      <c r="AH73" s="137" t="s">
        <v>1492</v>
      </c>
    </row>
    <row r="74" spans="1:34" ht="16.05" customHeight="1">
      <c r="A74" s="6" t="s">
        <v>425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1171</v>
      </c>
      <c r="T74" s="69" t="s">
        <v>1741</v>
      </c>
      <c r="U74" s="71">
        <v>8.57</v>
      </c>
      <c r="V74" s="225">
        <v>8.6300000000000008</v>
      </c>
      <c r="W74" s="69">
        <v>8.5</v>
      </c>
      <c r="X74" s="69">
        <v>0.78</v>
      </c>
      <c r="Y74" s="69">
        <v>3</v>
      </c>
      <c r="Z74" s="69">
        <v>28</v>
      </c>
      <c r="AA74" s="69">
        <v>1</v>
      </c>
      <c r="AB74" s="69" t="s">
        <v>1768</v>
      </c>
      <c r="AC74" s="71">
        <v>1995</v>
      </c>
      <c r="AD74" s="71" t="s">
        <v>1985</v>
      </c>
      <c r="AG74" s="53" t="s">
        <v>1119</v>
      </c>
      <c r="AH74" s="138" t="s">
        <v>1493</v>
      </c>
    </row>
    <row r="75" spans="1:34" ht="16.05" customHeight="1" thickBot="1">
      <c r="A75" s="6" t="s">
        <v>426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614</v>
      </c>
      <c r="T75" s="53" t="s">
        <v>615</v>
      </c>
      <c r="U75" s="70">
        <v>8.73</v>
      </c>
      <c r="V75" s="197">
        <v>8.6199999999999992</v>
      </c>
      <c r="W75" s="53">
        <v>8.5</v>
      </c>
      <c r="X75" s="53">
        <v>0.89</v>
      </c>
      <c r="Y75" s="53">
        <v>3</v>
      </c>
      <c r="Z75" s="53">
        <v>13</v>
      </c>
      <c r="AA75" s="53">
        <v>2</v>
      </c>
      <c r="AB75" s="53" t="s">
        <v>836</v>
      </c>
      <c r="AC75" s="70">
        <v>2015</v>
      </c>
      <c r="AD75" s="70" t="s">
        <v>1968</v>
      </c>
      <c r="AG75" s="69" t="s">
        <v>1109</v>
      </c>
      <c r="AH75" s="137" t="s">
        <v>1493</v>
      </c>
    </row>
    <row r="76" spans="1:34" ht="16.05" customHeight="1" thickBot="1">
      <c r="A76" s="6" t="s">
        <v>427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1466</v>
      </c>
      <c r="T76" s="69" t="s">
        <v>1717</v>
      </c>
      <c r="U76" s="71">
        <v>8.7100000000000009</v>
      </c>
      <c r="V76" s="197">
        <v>8.6199999999999992</v>
      </c>
      <c r="W76" s="69">
        <v>8.5</v>
      </c>
      <c r="X76" s="69">
        <v>0.65</v>
      </c>
      <c r="Y76" s="69">
        <v>1</v>
      </c>
      <c r="Z76" s="69">
        <v>8</v>
      </c>
      <c r="AA76" s="69">
        <v>1</v>
      </c>
      <c r="AB76" s="69" t="s">
        <v>1718</v>
      </c>
      <c r="AC76" s="71">
        <v>2016</v>
      </c>
      <c r="AD76" s="71" t="s">
        <v>1994</v>
      </c>
      <c r="AG76" s="53" t="s">
        <v>1364</v>
      </c>
      <c r="AH76" s="138" t="s">
        <v>1365</v>
      </c>
    </row>
    <row r="77" spans="1:34" ht="16.05" customHeight="1" thickBot="1">
      <c r="A77" s="9" t="s">
        <v>428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909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2079</v>
      </c>
      <c r="T77" s="53" t="s">
        <v>2080</v>
      </c>
      <c r="U77" s="70">
        <v>8.67</v>
      </c>
      <c r="V77" s="298">
        <v>8.61</v>
      </c>
      <c r="W77" s="53">
        <v>8.75</v>
      </c>
      <c r="X77" s="53">
        <v>0.62</v>
      </c>
      <c r="Y77" s="53">
        <v>0</v>
      </c>
      <c r="Z77" s="53">
        <v>6</v>
      </c>
      <c r="AA77" s="53">
        <v>0</v>
      </c>
      <c r="AB77" s="53" t="s">
        <v>1092</v>
      </c>
      <c r="AC77" s="70">
        <v>2013</v>
      </c>
      <c r="AD77" s="70" t="s">
        <v>1964</v>
      </c>
      <c r="AG77" s="69" t="s">
        <v>1104</v>
      </c>
      <c r="AH77" s="137" t="s">
        <v>2024</v>
      </c>
    </row>
    <row r="78" spans="1:34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431</v>
      </c>
      <c r="K78" s="263">
        <v>8.5</v>
      </c>
      <c r="L78" s="4"/>
      <c r="M78" s="21"/>
      <c r="N78" s="21"/>
      <c r="O78" s="22"/>
      <c r="R78" s="60">
        <v>76</v>
      </c>
      <c r="S78" s="69" t="s">
        <v>947</v>
      </c>
      <c r="T78" s="69" t="s">
        <v>928</v>
      </c>
      <c r="U78" s="71">
        <v>8.5500000000000007</v>
      </c>
      <c r="V78" s="226">
        <v>8.6</v>
      </c>
      <c r="W78" s="69">
        <v>8.5</v>
      </c>
      <c r="X78" s="69">
        <v>0.96</v>
      </c>
      <c r="Y78" s="69">
        <v>3</v>
      </c>
      <c r="Z78" s="69">
        <v>19</v>
      </c>
      <c r="AA78" s="69">
        <v>0</v>
      </c>
      <c r="AB78" s="69" t="s">
        <v>948</v>
      </c>
      <c r="AC78" s="71">
        <v>1979</v>
      </c>
      <c r="AD78" s="71" t="s">
        <v>1971</v>
      </c>
      <c r="AG78" s="53" t="s">
        <v>1537</v>
      </c>
      <c r="AH78" s="138" t="s">
        <v>1263</v>
      </c>
    </row>
    <row r="79" spans="1:34" ht="16.05" customHeight="1" thickBot="1">
      <c r="A79" s="66" t="s">
        <v>491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432</v>
      </c>
      <c r="K79" s="264">
        <v>8.5</v>
      </c>
      <c r="L79" s="22"/>
      <c r="M79" s="129" t="s">
        <v>1016</v>
      </c>
      <c r="N79" s="3">
        <f>ROUND(SUM(N80:N91)/COUNT(N80:N91), 2)</f>
        <v>8.67</v>
      </c>
      <c r="O79" s="22"/>
      <c r="R79" s="60">
        <v>77</v>
      </c>
      <c r="S79" s="53" t="s">
        <v>353</v>
      </c>
      <c r="T79" s="53" t="s">
        <v>246</v>
      </c>
      <c r="U79" s="70">
        <v>8.68</v>
      </c>
      <c r="V79" s="184">
        <v>8.58</v>
      </c>
      <c r="W79" s="53">
        <v>8.5</v>
      </c>
      <c r="X79" s="53">
        <v>0.81</v>
      </c>
      <c r="Y79" s="53">
        <v>2</v>
      </c>
      <c r="Z79" s="53">
        <v>11</v>
      </c>
      <c r="AA79" s="53">
        <v>0</v>
      </c>
      <c r="AB79" s="53" t="s">
        <v>778</v>
      </c>
      <c r="AC79" s="70">
        <v>1998</v>
      </c>
      <c r="AD79" s="70" t="s">
        <v>1988</v>
      </c>
      <c r="AG79" s="69" t="s">
        <v>1683</v>
      </c>
      <c r="AH79" s="137" t="s">
        <v>1263</v>
      </c>
    </row>
    <row r="80" spans="1:34" ht="16.05" customHeight="1" thickBot="1">
      <c r="A80" s="7" t="s">
        <v>443</v>
      </c>
      <c r="B80" s="263">
        <v>8.5</v>
      </c>
      <c r="C80" s="4"/>
      <c r="D80" s="96" t="s">
        <v>890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433</v>
      </c>
      <c r="K80" s="264">
        <v>7.5</v>
      </c>
      <c r="L80" s="22"/>
      <c r="M80" s="5" t="s">
        <v>479</v>
      </c>
      <c r="N80" s="264">
        <v>10</v>
      </c>
      <c r="O80" s="22"/>
      <c r="R80" s="60">
        <v>78</v>
      </c>
      <c r="S80" s="69" t="s">
        <v>742</v>
      </c>
      <c r="T80" s="69" t="s">
        <v>743</v>
      </c>
      <c r="U80" s="71">
        <v>8.67</v>
      </c>
      <c r="V80" s="184">
        <v>8.58</v>
      </c>
      <c r="W80" s="69">
        <v>8.5</v>
      </c>
      <c r="X80" s="69">
        <v>0.62</v>
      </c>
      <c r="Y80" s="69">
        <v>1</v>
      </c>
      <c r="Z80" s="69">
        <v>9</v>
      </c>
      <c r="AA80" s="69">
        <v>0</v>
      </c>
      <c r="AB80" s="69" t="s">
        <v>794</v>
      </c>
      <c r="AC80" s="71">
        <v>1992</v>
      </c>
      <c r="AD80" s="71" t="s">
        <v>1980</v>
      </c>
      <c r="AG80" s="53" t="s">
        <v>1684</v>
      </c>
      <c r="AH80" s="138" t="s">
        <v>1263</v>
      </c>
    </row>
    <row r="81" spans="1:34" ht="16.05" customHeight="1" thickBot="1">
      <c r="A81" s="8" t="s">
        <v>444</v>
      </c>
      <c r="B81" s="264">
        <v>9</v>
      </c>
      <c r="C81" s="4"/>
      <c r="D81" s="13" t="s">
        <v>457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434</v>
      </c>
      <c r="K81" s="264">
        <v>7</v>
      </c>
      <c r="L81" s="22"/>
      <c r="M81" s="5" t="s">
        <v>480</v>
      </c>
      <c r="N81" s="264">
        <v>10</v>
      </c>
      <c r="O81" s="22"/>
      <c r="R81" s="60">
        <v>79</v>
      </c>
      <c r="S81" s="53" t="s">
        <v>354</v>
      </c>
      <c r="T81" s="53" t="s">
        <v>161</v>
      </c>
      <c r="U81" s="70">
        <v>8.67</v>
      </c>
      <c r="V81" s="227">
        <v>8.57</v>
      </c>
      <c r="W81" s="53">
        <v>8.5</v>
      </c>
      <c r="X81" s="53">
        <v>0.77</v>
      </c>
      <c r="Y81" s="53">
        <v>2</v>
      </c>
      <c r="Z81" s="53">
        <v>12</v>
      </c>
      <c r="AA81" s="53">
        <v>0</v>
      </c>
      <c r="AB81" s="53" t="s">
        <v>779</v>
      </c>
      <c r="AC81" s="70">
        <v>1977</v>
      </c>
      <c r="AD81" s="70" t="s">
        <v>1986</v>
      </c>
      <c r="AG81" s="69" t="s">
        <v>1262</v>
      </c>
      <c r="AH81" s="137" t="s">
        <v>1263</v>
      </c>
    </row>
    <row r="82" spans="1:34" ht="16.05" customHeight="1" thickBot="1">
      <c r="A82" s="8" t="s">
        <v>445</v>
      </c>
      <c r="B82" s="264">
        <v>10</v>
      </c>
      <c r="C82" s="4"/>
      <c r="D82" s="6" t="s">
        <v>458</v>
      </c>
      <c r="E82" s="264">
        <v>8</v>
      </c>
      <c r="F82" s="4"/>
      <c r="G82" s="21"/>
      <c r="H82" s="21"/>
      <c r="I82" s="4"/>
      <c r="J82" s="8" t="s">
        <v>435</v>
      </c>
      <c r="K82" s="264">
        <v>8</v>
      </c>
      <c r="L82" s="22"/>
      <c r="M82" s="5" t="s">
        <v>481</v>
      </c>
      <c r="N82" s="264">
        <v>8</v>
      </c>
      <c r="O82" s="22"/>
      <c r="R82" s="60">
        <v>80</v>
      </c>
      <c r="S82" s="69" t="s">
        <v>492</v>
      </c>
      <c r="T82" s="69" t="s">
        <v>493</v>
      </c>
      <c r="U82" s="71">
        <v>8.67</v>
      </c>
      <c r="V82" s="227">
        <v>8.57</v>
      </c>
      <c r="W82" s="69">
        <v>8.5</v>
      </c>
      <c r="X82" s="69">
        <v>0.92</v>
      </c>
      <c r="Y82" s="69">
        <v>3</v>
      </c>
      <c r="Z82" s="69">
        <v>12</v>
      </c>
      <c r="AA82" s="69">
        <v>0</v>
      </c>
      <c r="AB82" s="69" t="s">
        <v>771</v>
      </c>
      <c r="AC82" s="71">
        <v>2002</v>
      </c>
      <c r="AD82" s="71" t="s">
        <v>1983</v>
      </c>
      <c r="AG82" s="53" t="s">
        <v>1642</v>
      </c>
      <c r="AH82" s="138" t="s">
        <v>1263</v>
      </c>
    </row>
    <row r="83" spans="1:34" ht="16.05" customHeight="1" thickBot="1">
      <c r="A83" s="8" t="s">
        <v>446</v>
      </c>
      <c r="B83" s="264">
        <v>10.5</v>
      </c>
      <c r="C83" s="4"/>
      <c r="D83" s="6" t="s">
        <v>459</v>
      </c>
      <c r="E83" s="264">
        <v>8.5</v>
      </c>
      <c r="F83" s="22"/>
      <c r="G83" s="67" t="s">
        <v>494</v>
      </c>
      <c r="H83" s="3">
        <f>ROUND(SUM(H84:H95)/COUNT(H84:H95), 2)</f>
        <v>7.67</v>
      </c>
      <c r="I83" s="4"/>
      <c r="J83" s="8" t="s">
        <v>436</v>
      </c>
      <c r="K83" s="264">
        <v>7.5</v>
      </c>
      <c r="L83" s="22"/>
      <c r="M83" s="5" t="s">
        <v>482</v>
      </c>
      <c r="N83" s="264">
        <v>9</v>
      </c>
      <c r="O83" s="22"/>
      <c r="R83" s="60">
        <v>81</v>
      </c>
      <c r="S83" s="53" t="s">
        <v>784</v>
      </c>
      <c r="T83" s="53" t="s">
        <v>785</v>
      </c>
      <c r="U83" s="70">
        <v>8.67</v>
      </c>
      <c r="V83" s="227">
        <v>8.57</v>
      </c>
      <c r="W83" s="53">
        <v>8.5</v>
      </c>
      <c r="X83" s="53">
        <v>0.75</v>
      </c>
      <c r="Y83" s="53">
        <v>1</v>
      </c>
      <c r="Z83" s="53">
        <v>6</v>
      </c>
      <c r="AA83" s="53">
        <v>0</v>
      </c>
      <c r="AB83" s="53" t="s">
        <v>787</v>
      </c>
      <c r="AC83" s="70">
        <v>2024</v>
      </c>
      <c r="AD83" s="70" t="s">
        <v>1993</v>
      </c>
      <c r="AG83" s="69" t="s">
        <v>1105</v>
      </c>
      <c r="AH83" s="137" t="s">
        <v>1881</v>
      </c>
    </row>
    <row r="84" spans="1:34" ht="16.05" customHeight="1">
      <c r="A84" s="8" t="s">
        <v>447</v>
      </c>
      <c r="B84" s="264">
        <v>8</v>
      </c>
      <c r="C84" s="4"/>
      <c r="D84" s="6" t="s">
        <v>460</v>
      </c>
      <c r="E84" s="264">
        <v>10</v>
      </c>
      <c r="F84" s="22"/>
      <c r="G84" s="5" t="s">
        <v>495</v>
      </c>
      <c r="H84" s="263">
        <v>8</v>
      </c>
      <c r="I84" s="4"/>
      <c r="J84" s="8" t="s">
        <v>437</v>
      </c>
      <c r="K84" s="264">
        <v>7.5</v>
      </c>
      <c r="L84" s="22"/>
      <c r="M84" s="5" t="s">
        <v>483</v>
      </c>
      <c r="N84" s="264">
        <v>8</v>
      </c>
      <c r="O84" s="22"/>
      <c r="R84" s="60">
        <v>82</v>
      </c>
      <c r="S84" s="69" t="s">
        <v>355</v>
      </c>
      <c r="T84" s="69" t="s">
        <v>160</v>
      </c>
      <c r="U84" s="71">
        <v>8.65</v>
      </c>
      <c r="V84" s="133">
        <v>8.56</v>
      </c>
      <c r="W84" s="69">
        <v>8.5</v>
      </c>
      <c r="X84" s="69">
        <v>0.72</v>
      </c>
      <c r="Y84" s="69">
        <v>2</v>
      </c>
      <c r="Z84" s="69">
        <v>13</v>
      </c>
      <c r="AA84" s="69">
        <v>0</v>
      </c>
      <c r="AB84" s="69" t="s">
        <v>798</v>
      </c>
      <c r="AC84" s="71">
        <v>2005</v>
      </c>
      <c r="AD84" s="71" t="s">
        <v>1990</v>
      </c>
      <c r="AG84" s="53" t="s">
        <v>1098</v>
      </c>
      <c r="AH84" s="138" t="s">
        <v>1667</v>
      </c>
    </row>
    <row r="85" spans="1:34" ht="16.05" customHeight="1">
      <c r="A85" s="8" t="s">
        <v>448</v>
      </c>
      <c r="B85" s="264">
        <v>8.5</v>
      </c>
      <c r="C85" s="4"/>
      <c r="D85" s="6" t="s">
        <v>461</v>
      </c>
      <c r="E85" s="264">
        <v>8.5</v>
      </c>
      <c r="F85" s="22"/>
      <c r="G85" s="5" t="s">
        <v>496</v>
      </c>
      <c r="H85" s="264">
        <v>8</v>
      </c>
      <c r="I85" s="4"/>
      <c r="J85" s="8" t="s">
        <v>438</v>
      </c>
      <c r="K85" s="264">
        <v>7.5</v>
      </c>
      <c r="L85" s="22"/>
      <c r="M85" s="5" t="s">
        <v>484</v>
      </c>
      <c r="N85" s="264">
        <v>8</v>
      </c>
      <c r="O85" s="22"/>
      <c r="R85" s="60">
        <v>83</v>
      </c>
      <c r="S85" s="53" t="s">
        <v>337</v>
      </c>
      <c r="T85" s="53" t="s">
        <v>871</v>
      </c>
      <c r="U85" s="70">
        <v>8.5</v>
      </c>
      <c r="V85" s="133">
        <v>8.56</v>
      </c>
      <c r="W85" s="53">
        <v>8.5</v>
      </c>
      <c r="X85" s="53">
        <v>0.96</v>
      </c>
      <c r="Y85" s="53">
        <v>2</v>
      </c>
      <c r="Z85" s="53">
        <v>14</v>
      </c>
      <c r="AA85" s="53">
        <v>1</v>
      </c>
      <c r="AB85" s="53" t="s">
        <v>768</v>
      </c>
      <c r="AC85" s="70">
        <v>2003</v>
      </c>
      <c r="AD85" s="70" t="s">
        <v>1989</v>
      </c>
      <c r="AG85" s="69" t="s">
        <v>790</v>
      </c>
      <c r="AH85" s="137" t="s">
        <v>2084</v>
      </c>
    </row>
    <row r="86" spans="1:34" ht="16.05" customHeight="1">
      <c r="A86" s="8" t="s">
        <v>449</v>
      </c>
      <c r="B86" s="264">
        <v>9</v>
      </c>
      <c r="C86" s="4"/>
      <c r="D86" s="6" t="s">
        <v>462</v>
      </c>
      <c r="E86" s="264">
        <v>7</v>
      </c>
      <c r="F86" s="22"/>
      <c r="G86" s="5" t="s">
        <v>497</v>
      </c>
      <c r="H86" s="264">
        <v>8</v>
      </c>
      <c r="I86" s="4"/>
      <c r="J86" s="8" t="s">
        <v>439</v>
      </c>
      <c r="K86" s="264">
        <v>7</v>
      </c>
      <c r="L86" s="22"/>
      <c r="M86" s="5" t="s">
        <v>485</v>
      </c>
      <c r="N86" s="264">
        <v>8.5</v>
      </c>
      <c r="O86" s="22"/>
      <c r="R86" s="60">
        <v>84</v>
      </c>
      <c r="S86" s="69" t="s">
        <v>972</v>
      </c>
      <c r="T86" s="69" t="s">
        <v>970</v>
      </c>
      <c r="U86" s="71">
        <v>8.67</v>
      </c>
      <c r="V86" s="133">
        <v>8.56</v>
      </c>
      <c r="W86" s="69">
        <v>8.5</v>
      </c>
      <c r="X86" s="69">
        <v>0.71</v>
      </c>
      <c r="Y86" s="69">
        <v>1</v>
      </c>
      <c r="Z86" s="69">
        <v>10</v>
      </c>
      <c r="AA86" s="69">
        <v>1</v>
      </c>
      <c r="AB86" s="69" t="s">
        <v>973</v>
      </c>
      <c r="AC86" s="71">
        <v>1999</v>
      </c>
      <c r="AD86" s="71" t="s">
        <v>1995</v>
      </c>
      <c r="AG86" s="53" t="s">
        <v>1217</v>
      </c>
      <c r="AH86" s="138" t="s">
        <v>1107</v>
      </c>
    </row>
    <row r="87" spans="1:34" ht="16.05" customHeight="1">
      <c r="A87" s="8" t="s">
        <v>450</v>
      </c>
      <c r="B87" s="264">
        <v>8</v>
      </c>
      <c r="C87" s="4"/>
      <c r="D87" s="6" t="s">
        <v>463</v>
      </c>
      <c r="E87" s="264">
        <v>7.5</v>
      </c>
      <c r="F87" s="22"/>
      <c r="G87" s="5" t="s">
        <v>498</v>
      </c>
      <c r="H87" s="264">
        <v>8.5</v>
      </c>
      <c r="I87" s="4"/>
      <c r="J87" s="8" t="s">
        <v>440</v>
      </c>
      <c r="K87" s="264">
        <v>7.5</v>
      </c>
      <c r="L87" s="22"/>
      <c r="M87" s="5" t="s">
        <v>486</v>
      </c>
      <c r="N87" s="264">
        <v>9</v>
      </c>
      <c r="O87" s="22"/>
      <c r="R87" s="60">
        <v>85</v>
      </c>
      <c r="S87" s="53" t="s">
        <v>1912</v>
      </c>
      <c r="T87" s="53" t="s">
        <v>1913</v>
      </c>
      <c r="U87" s="70">
        <v>8.6</v>
      </c>
      <c r="V87" s="284">
        <v>8.52</v>
      </c>
      <c r="W87" s="53">
        <v>8.5</v>
      </c>
      <c r="X87" s="53">
        <v>0.66</v>
      </c>
      <c r="Y87" s="53">
        <v>1</v>
      </c>
      <c r="Z87" s="53">
        <v>10</v>
      </c>
      <c r="AA87" s="53">
        <v>0</v>
      </c>
      <c r="AB87" s="53" t="s">
        <v>1914</v>
      </c>
      <c r="AC87" s="70">
        <v>2024</v>
      </c>
      <c r="AD87" s="70" t="s">
        <v>1993</v>
      </c>
      <c r="AG87" s="69" t="s">
        <v>1521</v>
      </c>
      <c r="AH87" s="137" t="s">
        <v>1107</v>
      </c>
    </row>
    <row r="88" spans="1:34" ht="16.05" customHeight="1" thickBot="1">
      <c r="A88" s="8" t="s">
        <v>451</v>
      </c>
      <c r="B88" s="264">
        <v>8.5</v>
      </c>
      <c r="C88" s="4"/>
      <c r="D88" s="6" t="s">
        <v>464</v>
      </c>
      <c r="E88" s="264">
        <v>9</v>
      </c>
      <c r="F88" s="22"/>
      <c r="G88" s="5" t="s">
        <v>499</v>
      </c>
      <c r="H88" s="264">
        <v>7</v>
      </c>
      <c r="I88" s="4"/>
      <c r="J88" s="10" t="s">
        <v>441</v>
      </c>
      <c r="K88" s="265">
        <v>9</v>
      </c>
      <c r="L88" s="22"/>
      <c r="M88" s="5" t="s">
        <v>487</v>
      </c>
      <c r="N88" s="264">
        <v>8</v>
      </c>
      <c r="O88" s="22"/>
      <c r="R88" s="60">
        <v>86</v>
      </c>
      <c r="S88" s="69" t="s">
        <v>1665</v>
      </c>
      <c r="T88" s="69" t="s">
        <v>1666</v>
      </c>
      <c r="U88" s="71">
        <v>8.6</v>
      </c>
      <c r="V88" s="228">
        <v>8.5</v>
      </c>
      <c r="W88" s="69">
        <v>8.5</v>
      </c>
      <c r="X88" s="69">
        <v>0.83</v>
      </c>
      <c r="Y88" s="69">
        <v>1</v>
      </c>
      <c r="Z88" s="69">
        <v>10</v>
      </c>
      <c r="AA88" s="69">
        <v>0</v>
      </c>
      <c r="AB88" s="69" t="s">
        <v>777</v>
      </c>
      <c r="AC88" s="71">
        <v>1993</v>
      </c>
      <c r="AD88" s="71" t="s">
        <v>1970</v>
      </c>
      <c r="AG88" s="53" t="s">
        <v>1522</v>
      </c>
      <c r="AH88" s="138" t="s">
        <v>1107</v>
      </c>
    </row>
    <row r="89" spans="1:34" ht="16.05" customHeight="1" thickBot="1">
      <c r="A89" s="8" t="s">
        <v>452</v>
      </c>
      <c r="B89" s="264">
        <v>9.5</v>
      </c>
      <c r="C89" s="4"/>
      <c r="D89" s="6" t="s">
        <v>465</v>
      </c>
      <c r="E89" s="264">
        <v>7</v>
      </c>
      <c r="F89" s="22"/>
      <c r="G89" s="5" t="s">
        <v>500</v>
      </c>
      <c r="H89" s="264">
        <v>8</v>
      </c>
      <c r="I89" s="4"/>
      <c r="J89" s="21"/>
      <c r="K89" s="21"/>
      <c r="L89" s="22"/>
      <c r="M89" s="5" t="s">
        <v>488</v>
      </c>
      <c r="N89" s="264">
        <v>7</v>
      </c>
      <c r="O89" s="22"/>
      <c r="R89" s="60">
        <v>87</v>
      </c>
      <c r="S89" s="53" t="s">
        <v>1038</v>
      </c>
      <c r="T89" s="53" t="s">
        <v>1039</v>
      </c>
      <c r="U89" s="70">
        <v>8.5500000000000007</v>
      </c>
      <c r="V89" s="229">
        <v>8.4700000000000006</v>
      </c>
      <c r="W89" s="53">
        <v>8.5</v>
      </c>
      <c r="X89" s="53">
        <v>0.69</v>
      </c>
      <c r="Y89" s="53">
        <v>1</v>
      </c>
      <c r="Z89" s="53">
        <v>12</v>
      </c>
      <c r="AA89" s="53">
        <v>1</v>
      </c>
      <c r="AB89" s="53" t="s">
        <v>790</v>
      </c>
      <c r="AC89" s="70">
        <v>1999</v>
      </c>
      <c r="AD89" s="70" t="s">
        <v>1959</v>
      </c>
      <c r="AG89" s="69" t="s">
        <v>1108</v>
      </c>
      <c r="AH89" s="137" t="s">
        <v>1107</v>
      </c>
    </row>
    <row r="90" spans="1:34" ht="16.05" customHeight="1" thickBot="1">
      <c r="A90" s="8" t="s">
        <v>453</v>
      </c>
      <c r="B90" s="264">
        <v>8</v>
      </c>
      <c r="C90" s="4"/>
      <c r="D90" s="6" t="s">
        <v>466</v>
      </c>
      <c r="E90" s="264">
        <v>8</v>
      </c>
      <c r="F90" s="22"/>
      <c r="G90" s="5" t="s">
        <v>501</v>
      </c>
      <c r="H90" s="264">
        <v>7</v>
      </c>
      <c r="I90" s="22"/>
      <c r="J90" s="74" t="s">
        <v>509</v>
      </c>
      <c r="K90" s="3">
        <f>ROUND(SUM(K91:K96)/COUNT(K91:K96), 2)</f>
        <v>9.17</v>
      </c>
      <c r="L90" s="22"/>
      <c r="M90" s="5" t="s">
        <v>489</v>
      </c>
      <c r="N90" s="264">
        <v>8.5</v>
      </c>
      <c r="O90" s="22"/>
      <c r="R90" s="60">
        <v>88</v>
      </c>
      <c r="S90" s="69" t="s">
        <v>344</v>
      </c>
      <c r="T90" s="69" t="s">
        <v>2070</v>
      </c>
      <c r="U90" s="71">
        <v>8.5</v>
      </c>
      <c r="V90" s="292">
        <v>8.4600000000000009</v>
      </c>
      <c r="W90" s="69">
        <v>8.5</v>
      </c>
      <c r="X90" s="69">
        <v>0.35</v>
      </c>
      <c r="Y90" s="69">
        <v>0</v>
      </c>
      <c r="Z90" s="69">
        <v>8</v>
      </c>
      <c r="AA90" s="69">
        <v>0</v>
      </c>
      <c r="AB90" s="69" t="s">
        <v>790</v>
      </c>
      <c r="AC90" s="71">
        <v>2024</v>
      </c>
      <c r="AD90" s="71" t="s">
        <v>2001</v>
      </c>
      <c r="AG90" s="53" t="s">
        <v>1113</v>
      </c>
      <c r="AH90" s="138" t="s">
        <v>1538</v>
      </c>
    </row>
    <row r="91" spans="1:34" ht="16.05" customHeight="1" thickBot="1">
      <c r="A91" s="10" t="s">
        <v>454</v>
      </c>
      <c r="B91" s="265">
        <v>10</v>
      </c>
      <c r="C91" s="4"/>
      <c r="D91" s="6" t="s">
        <v>467</v>
      </c>
      <c r="E91" s="264">
        <v>7.5</v>
      </c>
      <c r="F91" s="22"/>
      <c r="G91" s="5" t="s">
        <v>502</v>
      </c>
      <c r="H91" s="264">
        <v>8</v>
      </c>
      <c r="I91" s="4"/>
      <c r="J91" s="7" t="s">
        <v>510</v>
      </c>
      <c r="K91" s="263">
        <v>9.5</v>
      </c>
      <c r="L91" s="22"/>
      <c r="M91" s="56" t="s">
        <v>490</v>
      </c>
      <c r="N91" s="265">
        <v>10</v>
      </c>
      <c r="O91" s="22"/>
      <c r="R91" s="60">
        <v>89</v>
      </c>
      <c r="S91" s="53" t="s">
        <v>1245</v>
      </c>
      <c r="T91" s="53" t="s">
        <v>1246</v>
      </c>
      <c r="U91" s="70">
        <v>8.5299999999999994</v>
      </c>
      <c r="V91" s="253">
        <v>8.4499999999999993</v>
      </c>
      <c r="W91" s="53">
        <v>8.5</v>
      </c>
      <c r="X91" s="53">
        <v>0.96</v>
      </c>
      <c r="Y91" s="53">
        <v>3</v>
      </c>
      <c r="Z91" s="53">
        <v>15</v>
      </c>
      <c r="AA91" s="53">
        <v>0</v>
      </c>
      <c r="AB91" s="53" t="s">
        <v>1250</v>
      </c>
      <c r="AC91" s="70">
        <v>2024</v>
      </c>
      <c r="AD91" s="70" t="s">
        <v>1962</v>
      </c>
      <c r="AG91" s="69" t="s">
        <v>1111</v>
      </c>
      <c r="AH91" s="137" t="s">
        <v>1110</v>
      </c>
    </row>
    <row r="92" spans="1:34" ht="16.05" customHeight="1" thickBot="1">
      <c r="A92" s="21"/>
      <c r="B92" s="21"/>
      <c r="C92" s="4"/>
      <c r="D92" s="6" t="s">
        <v>468</v>
      </c>
      <c r="E92" s="264">
        <v>8.5</v>
      </c>
      <c r="F92" s="22"/>
      <c r="G92" s="5" t="s">
        <v>503</v>
      </c>
      <c r="H92" s="264">
        <v>7</v>
      </c>
      <c r="I92" s="4"/>
      <c r="J92" s="8" t="s">
        <v>511</v>
      </c>
      <c r="K92" s="264">
        <v>8.5</v>
      </c>
      <c r="L92" s="4"/>
      <c r="M92" s="21"/>
      <c r="N92" s="21"/>
      <c r="O92" s="22"/>
      <c r="R92" s="60">
        <v>90</v>
      </c>
      <c r="S92" s="69" t="s">
        <v>1805</v>
      </c>
      <c r="T92" s="69" t="s">
        <v>1806</v>
      </c>
      <c r="U92" s="71">
        <v>8.5</v>
      </c>
      <c r="V92" s="253">
        <v>8.4499999999999993</v>
      </c>
      <c r="W92" s="69">
        <v>8.5</v>
      </c>
      <c r="X92" s="69">
        <v>0.41</v>
      </c>
      <c r="Y92" s="69">
        <v>0</v>
      </c>
      <c r="Z92" s="69">
        <v>9</v>
      </c>
      <c r="AA92" s="69">
        <v>0</v>
      </c>
      <c r="AB92" s="69" t="s">
        <v>1250</v>
      </c>
      <c r="AC92" s="71">
        <v>2026</v>
      </c>
      <c r="AD92" s="71" t="s">
        <v>1996</v>
      </c>
      <c r="AG92" s="53" t="s">
        <v>789</v>
      </c>
      <c r="AH92" s="138" t="s">
        <v>1783</v>
      </c>
    </row>
    <row r="93" spans="1:34" ht="16.05" customHeight="1" thickBot="1">
      <c r="A93" s="116" t="s">
        <v>910</v>
      </c>
      <c r="B93" s="14">
        <f>ROUND(SUM(B94:B101)/COUNT(B94:B101), 2)</f>
        <v>8.5</v>
      </c>
      <c r="C93" s="4"/>
      <c r="D93" s="6" t="s">
        <v>469</v>
      </c>
      <c r="E93" s="264">
        <v>8</v>
      </c>
      <c r="F93" s="22"/>
      <c r="G93" s="5" t="s">
        <v>504</v>
      </c>
      <c r="H93" s="264">
        <v>8</v>
      </c>
      <c r="I93" s="4"/>
      <c r="J93" s="8" t="s">
        <v>512</v>
      </c>
      <c r="K93" s="264">
        <v>10.5</v>
      </c>
      <c r="L93" s="22"/>
      <c r="M93" s="128" t="s">
        <v>1015</v>
      </c>
      <c r="N93" s="3">
        <f>ROUND(SUM(N94:N110)/COUNT(N94:N110), 2)</f>
        <v>8.5</v>
      </c>
      <c r="O93" s="22"/>
      <c r="R93" s="60">
        <v>91</v>
      </c>
      <c r="S93" s="53" t="s">
        <v>546</v>
      </c>
      <c r="T93" s="53" t="s">
        <v>547</v>
      </c>
      <c r="U93" s="70">
        <v>8.5</v>
      </c>
      <c r="V93" s="230">
        <v>8.43</v>
      </c>
      <c r="W93" s="53">
        <v>8.5</v>
      </c>
      <c r="X93" s="53">
        <v>0.59</v>
      </c>
      <c r="Y93" s="53">
        <v>0</v>
      </c>
      <c r="Z93" s="53">
        <v>17</v>
      </c>
      <c r="AA93" s="53">
        <v>4</v>
      </c>
      <c r="AB93" s="53" t="s">
        <v>799</v>
      </c>
      <c r="AC93" s="70">
        <v>2016</v>
      </c>
      <c r="AD93" s="70" t="s">
        <v>1994</v>
      </c>
      <c r="AG93" s="69" t="s">
        <v>1204</v>
      </c>
      <c r="AH93" s="137" t="s">
        <v>1585</v>
      </c>
    </row>
    <row r="94" spans="1:34" ht="16.05" customHeight="1">
      <c r="A94" s="13" t="s">
        <v>516</v>
      </c>
      <c r="B94" s="263">
        <v>10</v>
      </c>
      <c r="C94" s="4"/>
      <c r="D94" s="6" t="s">
        <v>470</v>
      </c>
      <c r="E94" s="264">
        <v>8</v>
      </c>
      <c r="F94" s="22"/>
      <c r="G94" s="5" t="s">
        <v>505</v>
      </c>
      <c r="H94" s="264">
        <v>6.5</v>
      </c>
      <c r="I94" s="4"/>
      <c r="J94" s="8" t="s">
        <v>513</v>
      </c>
      <c r="K94" s="264">
        <v>9</v>
      </c>
      <c r="L94" s="4"/>
      <c r="M94" s="7" t="s">
        <v>529</v>
      </c>
      <c r="N94" s="263">
        <v>8</v>
      </c>
      <c r="O94" s="22"/>
      <c r="R94" s="60">
        <v>92</v>
      </c>
      <c r="S94" s="69" t="s">
        <v>344</v>
      </c>
      <c r="T94" s="69" t="s">
        <v>524</v>
      </c>
      <c r="U94" s="71">
        <v>8.5</v>
      </c>
      <c r="V94" s="231">
        <v>8.41</v>
      </c>
      <c r="W94" s="69">
        <v>8.5</v>
      </c>
      <c r="X94" s="69">
        <v>0.94</v>
      </c>
      <c r="Y94" s="69">
        <v>1</v>
      </c>
      <c r="Z94" s="69">
        <v>8</v>
      </c>
      <c r="AA94" s="69">
        <v>0</v>
      </c>
      <c r="AB94" s="69" t="s">
        <v>792</v>
      </c>
      <c r="AC94" s="71">
        <v>2003</v>
      </c>
      <c r="AD94" s="71" t="s">
        <v>1993</v>
      </c>
      <c r="AG94" s="53" t="s">
        <v>1586</v>
      </c>
      <c r="AH94" s="138" t="s">
        <v>1585</v>
      </c>
    </row>
    <row r="95" spans="1:34" ht="16.05" customHeight="1" thickBot="1">
      <c r="A95" s="6" t="s">
        <v>517</v>
      </c>
      <c r="B95" s="264">
        <v>9.5</v>
      </c>
      <c r="C95" s="4"/>
      <c r="D95" s="6" t="s">
        <v>471</v>
      </c>
      <c r="E95" s="264">
        <v>7</v>
      </c>
      <c r="F95" s="22"/>
      <c r="G95" s="9" t="s">
        <v>506</v>
      </c>
      <c r="H95" s="265">
        <v>8</v>
      </c>
      <c r="I95" s="4"/>
      <c r="J95" s="8" t="s">
        <v>514</v>
      </c>
      <c r="K95" s="264">
        <v>9</v>
      </c>
      <c r="L95" s="4"/>
      <c r="M95" s="8" t="s">
        <v>530</v>
      </c>
      <c r="N95" s="264">
        <v>8</v>
      </c>
      <c r="O95" s="22"/>
      <c r="R95" s="60">
        <v>93</v>
      </c>
      <c r="S95" s="53" t="s">
        <v>383</v>
      </c>
      <c r="T95" s="53" t="s">
        <v>384</v>
      </c>
      <c r="U95" s="70">
        <v>8.4600000000000009</v>
      </c>
      <c r="V95" s="232">
        <v>8.39</v>
      </c>
      <c r="W95" s="53">
        <v>8.5</v>
      </c>
      <c r="X95" s="53">
        <v>0.84</v>
      </c>
      <c r="Y95" s="53">
        <v>2</v>
      </c>
      <c r="Z95" s="53">
        <v>13</v>
      </c>
      <c r="AA95" s="53">
        <v>0</v>
      </c>
      <c r="AB95" s="53" t="s">
        <v>796</v>
      </c>
      <c r="AC95" s="70">
        <v>2018</v>
      </c>
      <c r="AD95" s="70" t="s">
        <v>1977</v>
      </c>
      <c r="AG95" s="69" t="s">
        <v>1120</v>
      </c>
      <c r="AH95" s="137" t="s">
        <v>1849</v>
      </c>
    </row>
    <row r="96" spans="1:34" ht="16.05" customHeight="1" thickBot="1">
      <c r="A96" s="6" t="s">
        <v>518</v>
      </c>
      <c r="B96" s="264">
        <v>8.5</v>
      </c>
      <c r="C96" s="4"/>
      <c r="D96" s="6" t="s">
        <v>472</v>
      </c>
      <c r="E96" s="264">
        <v>8.5</v>
      </c>
      <c r="F96" s="4"/>
      <c r="G96" s="21"/>
      <c r="H96" s="21"/>
      <c r="I96" s="4"/>
      <c r="J96" s="10" t="s">
        <v>515</v>
      </c>
      <c r="K96" s="265">
        <v>8.5</v>
      </c>
      <c r="L96" s="4"/>
      <c r="M96" s="8" t="s">
        <v>531</v>
      </c>
      <c r="N96" s="264">
        <v>9</v>
      </c>
      <c r="O96" s="22"/>
      <c r="R96" s="60">
        <v>94</v>
      </c>
      <c r="S96" s="69" t="s">
        <v>1292</v>
      </c>
      <c r="T96" s="69" t="s">
        <v>1282</v>
      </c>
      <c r="U96" s="71">
        <v>8.4499999999999993</v>
      </c>
      <c r="V96" s="186">
        <v>8.3800000000000008</v>
      </c>
      <c r="W96" s="69">
        <v>8.5</v>
      </c>
      <c r="X96" s="69">
        <v>0.78</v>
      </c>
      <c r="Y96" s="69">
        <v>1</v>
      </c>
      <c r="Z96" s="69">
        <v>11</v>
      </c>
      <c r="AA96" s="69">
        <v>0</v>
      </c>
      <c r="AB96" s="69" t="s">
        <v>1293</v>
      </c>
      <c r="AC96" s="71">
        <v>2024</v>
      </c>
      <c r="AD96" s="71" t="s">
        <v>1996</v>
      </c>
      <c r="AG96" s="53" t="s">
        <v>1309</v>
      </c>
      <c r="AH96" s="138" t="s">
        <v>1115</v>
      </c>
    </row>
    <row r="97" spans="1:34" ht="16.05" customHeight="1" thickBot="1">
      <c r="A97" s="6" t="s">
        <v>519</v>
      </c>
      <c r="B97" s="264">
        <v>8</v>
      </c>
      <c r="C97" s="4"/>
      <c r="D97" s="6" t="s">
        <v>473</v>
      </c>
      <c r="E97" s="264">
        <v>8.5</v>
      </c>
      <c r="F97" s="22"/>
      <c r="G97" s="72" t="s">
        <v>558</v>
      </c>
      <c r="H97" s="3">
        <f>ROUND(SUM(H98:H108)/COUNT(H98:H109), 2)</f>
        <v>8.77</v>
      </c>
      <c r="I97" s="4"/>
      <c r="J97" s="21"/>
      <c r="K97" s="21"/>
      <c r="L97" s="4"/>
      <c r="M97" s="8" t="s">
        <v>532</v>
      </c>
      <c r="N97" s="264"/>
      <c r="O97" s="22"/>
      <c r="R97" s="60">
        <v>95</v>
      </c>
      <c r="S97" s="53" t="s">
        <v>2102</v>
      </c>
      <c r="T97" s="53" t="s">
        <v>2103</v>
      </c>
      <c r="U97" s="70">
        <v>8.43</v>
      </c>
      <c r="V97" s="186">
        <v>8.3800000000000008</v>
      </c>
      <c r="W97" s="53">
        <v>8.5</v>
      </c>
      <c r="X97" s="53">
        <v>0.49</v>
      </c>
      <c r="Y97" s="53">
        <v>0</v>
      </c>
      <c r="Z97" s="53">
        <v>8</v>
      </c>
      <c r="AA97" s="53">
        <v>1</v>
      </c>
      <c r="AB97" s="53" t="s">
        <v>2119</v>
      </c>
      <c r="AC97" s="70">
        <v>2026</v>
      </c>
      <c r="AD97" s="70" t="s">
        <v>1988</v>
      </c>
      <c r="AG97" s="69" t="s">
        <v>794</v>
      </c>
      <c r="AH97" s="137" t="s">
        <v>1115</v>
      </c>
    </row>
    <row r="98" spans="1:34" ht="16.05" customHeight="1" thickBot="1">
      <c r="A98" s="6" t="s">
        <v>520</v>
      </c>
      <c r="B98" s="264">
        <v>8.5</v>
      </c>
      <c r="C98" s="4"/>
      <c r="D98" s="6" t="s">
        <v>474</v>
      </c>
      <c r="E98" s="264">
        <v>7</v>
      </c>
      <c r="F98" s="4"/>
      <c r="G98" s="7" t="s">
        <v>548</v>
      </c>
      <c r="H98" s="263">
        <v>9.5</v>
      </c>
      <c r="I98" s="22"/>
      <c r="J98" s="73" t="s">
        <v>559</v>
      </c>
      <c r="K98" s="3">
        <f>ROUND(SUM(K99:K109)/COUNT(K99:K109), 2)</f>
        <v>9.61</v>
      </c>
      <c r="L98" s="4"/>
      <c r="M98" s="8" t="s">
        <v>533</v>
      </c>
      <c r="N98" s="264">
        <v>8.5</v>
      </c>
      <c r="O98" s="22"/>
      <c r="R98" s="60">
        <v>96</v>
      </c>
      <c r="S98" s="69" t="s">
        <v>1691</v>
      </c>
      <c r="T98" s="69" t="s">
        <v>1692</v>
      </c>
      <c r="U98" s="71">
        <v>8.4</v>
      </c>
      <c r="V98" s="233">
        <v>8.3699999999999992</v>
      </c>
      <c r="W98" s="69">
        <v>8.5</v>
      </c>
      <c r="X98" s="69">
        <v>0.37</v>
      </c>
      <c r="Y98" s="69">
        <v>0</v>
      </c>
      <c r="Z98" s="69">
        <v>5</v>
      </c>
      <c r="AA98" s="69">
        <v>0</v>
      </c>
      <c r="AB98" s="69" t="s">
        <v>1693</v>
      </c>
      <c r="AC98" s="71">
        <v>2026</v>
      </c>
      <c r="AD98" s="71" t="s">
        <v>1968</v>
      </c>
      <c r="AG98" s="53" t="s">
        <v>1117</v>
      </c>
      <c r="AH98" s="138" t="s">
        <v>1115</v>
      </c>
    </row>
    <row r="99" spans="1:34" ht="16.05" customHeight="1" thickBot="1">
      <c r="A99" s="6" t="s">
        <v>521</v>
      </c>
      <c r="B99" s="264">
        <v>7.5</v>
      </c>
      <c r="C99" s="4"/>
      <c r="D99" s="9" t="s">
        <v>475</v>
      </c>
      <c r="E99" s="265">
        <v>9</v>
      </c>
      <c r="F99" s="4"/>
      <c r="G99" s="8" t="s">
        <v>549</v>
      </c>
      <c r="H99" s="264">
        <v>8.5</v>
      </c>
      <c r="I99" s="4"/>
      <c r="J99" s="7" t="s">
        <v>560</v>
      </c>
      <c r="K99" s="263">
        <v>10.5</v>
      </c>
      <c r="L99" s="4"/>
      <c r="M99" s="8" t="s">
        <v>534</v>
      </c>
      <c r="N99" s="264">
        <v>7.5</v>
      </c>
      <c r="O99" s="22"/>
      <c r="R99" s="60">
        <v>97</v>
      </c>
      <c r="S99" s="53" t="s">
        <v>359</v>
      </c>
      <c r="T99" s="53" t="s">
        <v>360</v>
      </c>
      <c r="U99" s="70">
        <v>8.42</v>
      </c>
      <c r="V99" s="187">
        <v>8.34</v>
      </c>
      <c r="W99" s="53">
        <v>8.5</v>
      </c>
      <c r="X99" s="53">
        <v>0.91</v>
      </c>
      <c r="Y99" s="53">
        <v>1</v>
      </c>
      <c r="Z99" s="53">
        <v>13</v>
      </c>
      <c r="AA99" s="53">
        <v>1</v>
      </c>
      <c r="AB99" s="53" t="s">
        <v>781</v>
      </c>
      <c r="AC99" s="70">
        <v>2000</v>
      </c>
      <c r="AD99" s="70" t="s">
        <v>1991</v>
      </c>
      <c r="AG99" s="69" t="s">
        <v>1380</v>
      </c>
      <c r="AH99" s="137" t="s">
        <v>1732</v>
      </c>
    </row>
    <row r="100" spans="1:34" ht="16.05" customHeight="1" thickBot="1">
      <c r="A100" s="6" t="s">
        <v>522</v>
      </c>
      <c r="B100" s="264">
        <v>9</v>
      </c>
      <c r="C100" s="4"/>
      <c r="D100" s="19"/>
      <c r="E100" s="21"/>
      <c r="F100" s="4"/>
      <c r="G100" s="8" t="s">
        <v>550</v>
      </c>
      <c r="H100" s="264">
        <v>8.5</v>
      </c>
      <c r="I100" s="4"/>
      <c r="J100" s="8" t="s">
        <v>561</v>
      </c>
      <c r="K100" s="264">
        <v>10</v>
      </c>
      <c r="L100" s="4"/>
      <c r="M100" s="8" t="s">
        <v>535</v>
      </c>
      <c r="N100" s="264">
        <v>9.5</v>
      </c>
      <c r="O100" s="22"/>
      <c r="R100" s="60">
        <v>98</v>
      </c>
      <c r="S100" s="69" t="s">
        <v>1552</v>
      </c>
      <c r="T100" s="69" t="s">
        <v>1609</v>
      </c>
      <c r="U100" s="71">
        <v>8.44</v>
      </c>
      <c r="V100" s="187">
        <v>8.34</v>
      </c>
      <c r="W100" s="69">
        <v>8.5</v>
      </c>
      <c r="X100" s="69">
        <v>1.28</v>
      </c>
      <c r="Y100" s="69">
        <v>2</v>
      </c>
      <c r="Z100" s="69">
        <v>10</v>
      </c>
      <c r="AA100" s="69">
        <v>1</v>
      </c>
      <c r="AB100" s="69" t="s">
        <v>1614</v>
      </c>
      <c r="AC100" s="71">
        <v>2016</v>
      </c>
      <c r="AD100" s="71" t="s">
        <v>1993</v>
      </c>
      <c r="AG100" s="53" t="s">
        <v>1121</v>
      </c>
      <c r="AH100" s="138" t="s">
        <v>1917</v>
      </c>
    </row>
    <row r="101" spans="1:34" ht="16.05" customHeight="1" thickBot="1">
      <c r="A101" s="9" t="s">
        <v>523</v>
      </c>
      <c r="B101" s="265">
        <v>7</v>
      </c>
      <c r="C101" s="4"/>
      <c r="D101" s="95" t="s">
        <v>889</v>
      </c>
      <c r="E101" s="3">
        <f>ROUND(SUM(E102:E115)/COUNT(E102:E115), 2)</f>
        <v>8.31</v>
      </c>
      <c r="F101" s="4"/>
      <c r="G101" s="8" t="s">
        <v>551</v>
      </c>
      <c r="H101" s="264">
        <v>8</v>
      </c>
      <c r="I101" s="4"/>
      <c r="J101" s="8" t="s">
        <v>562</v>
      </c>
      <c r="K101" s="264">
        <v>8.5</v>
      </c>
      <c r="L101" s="4"/>
      <c r="M101" s="8" t="s">
        <v>545</v>
      </c>
      <c r="N101" s="264"/>
      <c r="O101" s="22"/>
      <c r="R101" s="60">
        <v>99</v>
      </c>
      <c r="S101" s="53" t="s">
        <v>1171</v>
      </c>
      <c r="T101" s="53" t="s">
        <v>1172</v>
      </c>
      <c r="U101" s="70">
        <v>8.4600000000000009</v>
      </c>
      <c r="V101" s="234">
        <v>8.27</v>
      </c>
      <c r="W101" s="53">
        <v>8</v>
      </c>
      <c r="X101" s="53">
        <v>1.1299999999999999</v>
      </c>
      <c r="Y101" s="53">
        <v>3</v>
      </c>
      <c r="Z101" s="53">
        <v>13</v>
      </c>
      <c r="AA101" s="53">
        <v>1</v>
      </c>
      <c r="AB101" s="53" t="s">
        <v>1173</v>
      </c>
      <c r="AC101" s="70">
        <v>1993</v>
      </c>
      <c r="AD101" s="70" t="s">
        <v>1990</v>
      </c>
      <c r="AG101" s="69" t="s">
        <v>1914</v>
      </c>
      <c r="AH101" s="137" t="s">
        <v>1915</v>
      </c>
    </row>
    <row r="102" spans="1:34" ht="16.05" customHeight="1" thickBot="1">
      <c r="A102" s="21"/>
      <c r="B102" s="21"/>
      <c r="C102" s="22"/>
      <c r="D102" s="7" t="s">
        <v>574</v>
      </c>
      <c r="E102" s="267"/>
      <c r="F102" s="4"/>
      <c r="G102" s="8" t="s">
        <v>552</v>
      </c>
      <c r="H102" s="264">
        <v>9</v>
      </c>
      <c r="I102" s="4"/>
      <c r="J102" s="8" t="s">
        <v>563</v>
      </c>
      <c r="K102" s="264">
        <v>9.5</v>
      </c>
      <c r="L102" s="4"/>
      <c r="M102" s="8" t="s">
        <v>536</v>
      </c>
      <c r="N102" s="264">
        <v>9</v>
      </c>
      <c r="O102" s="22"/>
      <c r="R102" s="60">
        <v>100</v>
      </c>
      <c r="S102" s="69" t="s">
        <v>344</v>
      </c>
      <c r="T102" s="69" t="s">
        <v>1879</v>
      </c>
      <c r="U102" s="71">
        <v>8.2899999999999991</v>
      </c>
      <c r="V102" s="234">
        <v>8.27</v>
      </c>
      <c r="W102" s="69">
        <v>8.5</v>
      </c>
      <c r="X102" s="69">
        <v>0.45</v>
      </c>
      <c r="Y102" s="69">
        <v>0</v>
      </c>
      <c r="Z102" s="69">
        <v>9</v>
      </c>
      <c r="AA102" s="69">
        <v>2</v>
      </c>
      <c r="AB102" s="69" t="s">
        <v>792</v>
      </c>
      <c r="AC102" s="71">
        <v>1998</v>
      </c>
      <c r="AD102" s="71" t="s">
        <v>1990</v>
      </c>
      <c r="AG102" s="53" t="s">
        <v>1122</v>
      </c>
      <c r="AH102" s="138" t="s">
        <v>1123</v>
      </c>
    </row>
    <row r="103" spans="1:34" ht="16.05" customHeight="1" thickBot="1">
      <c r="A103" s="75" t="s">
        <v>589</v>
      </c>
      <c r="B103" s="3">
        <f>ROUND(SUM(B104:B112)/COUNT(B104:B112), 2)</f>
        <v>8.7799999999999994</v>
      </c>
      <c r="C103" s="22"/>
      <c r="D103" s="20" t="s">
        <v>575</v>
      </c>
      <c r="E103" s="264">
        <v>8</v>
      </c>
      <c r="F103" s="4"/>
      <c r="G103" s="8" t="s">
        <v>553</v>
      </c>
      <c r="H103" s="264">
        <v>8</v>
      </c>
      <c r="I103" s="4"/>
      <c r="J103" s="8" t="s">
        <v>564</v>
      </c>
      <c r="K103" s="264">
        <v>10</v>
      </c>
      <c r="L103" s="4"/>
      <c r="M103" s="8" t="s">
        <v>537</v>
      </c>
      <c r="N103" s="264"/>
      <c r="O103" s="22"/>
      <c r="R103" s="60">
        <v>101</v>
      </c>
      <c r="S103" s="53" t="s">
        <v>357</v>
      </c>
      <c r="T103" s="53" t="s">
        <v>162</v>
      </c>
      <c r="U103" s="70">
        <v>8.3800000000000008</v>
      </c>
      <c r="V103" s="235">
        <v>8.25</v>
      </c>
      <c r="W103" s="53">
        <v>8.25</v>
      </c>
      <c r="X103" s="53">
        <v>1.06</v>
      </c>
      <c r="Y103" s="53">
        <v>2</v>
      </c>
      <c r="Z103" s="53">
        <v>12</v>
      </c>
      <c r="AA103" s="53">
        <v>0</v>
      </c>
      <c r="AB103" s="53" t="s">
        <v>837</v>
      </c>
      <c r="AC103" s="70">
        <v>1992</v>
      </c>
      <c r="AD103" s="70" t="s">
        <v>1987</v>
      </c>
      <c r="AG103" s="69" t="s">
        <v>1118</v>
      </c>
      <c r="AH103" s="137" t="s">
        <v>1469</v>
      </c>
    </row>
    <row r="104" spans="1:34" ht="16.05" customHeight="1">
      <c r="A104" s="5" t="s">
        <v>590</v>
      </c>
      <c r="B104" s="264">
        <v>9.5</v>
      </c>
      <c r="C104" s="41"/>
      <c r="D104" s="20" t="s">
        <v>576</v>
      </c>
      <c r="E104" s="264">
        <v>9</v>
      </c>
      <c r="F104" s="4"/>
      <c r="G104" s="8" t="s">
        <v>554</v>
      </c>
      <c r="H104" s="264">
        <v>9.5</v>
      </c>
      <c r="I104" s="4"/>
      <c r="J104" s="8" t="s">
        <v>565</v>
      </c>
      <c r="K104" s="264"/>
      <c r="L104" s="4"/>
      <c r="M104" s="8" t="s">
        <v>538</v>
      </c>
      <c r="N104" s="264">
        <v>8</v>
      </c>
      <c r="O104" s="22"/>
      <c r="R104" s="60">
        <v>102</v>
      </c>
      <c r="S104" s="69" t="s">
        <v>344</v>
      </c>
      <c r="T104" s="69" t="s">
        <v>1739</v>
      </c>
      <c r="U104" s="71">
        <v>8.4</v>
      </c>
      <c r="V104" s="235">
        <v>8.25</v>
      </c>
      <c r="W104" s="69">
        <v>8</v>
      </c>
      <c r="X104" s="69">
        <v>0.86</v>
      </c>
      <c r="Y104" s="69">
        <v>1</v>
      </c>
      <c r="Z104" s="69">
        <v>5</v>
      </c>
      <c r="AA104" s="69">
        <v>0</v>
      </c>
      <c r="AB104" s="69" t="s">
        <v>790</v>
      </c>
      <c r="AC104" s="71">
        <v>1996</v>
      </c>
      <c r="AD104" s="71" t="s">
        <v>1982</v>
      </c>
      <c r="AG104" s="53" t="s">
        <v>1124</v>
      </c>
      <c r="AH104" s="138" t="s">
        <v>1918</v>
      </c>
    </row>
    <row r="105" spans="1:34" ht="16.05" customHeight="1">
      <c r="A105" s="5" t="s">
        <v>591</v>
      </c>
      <c r="B105" s="264">
        <v>9</v>
      </c>
      <c r="C105" s="4"/>
      <c r="D105" s="8" t="s">
        <v>577</v>
      </c>
      <c r="E105" s="264">
        <v>8.5</v>
      </c>
      <c r="F105" s="4"/>
      <c r="G105" s="8" t="s">
        <v>555</v>
      </c>
      <c r="H105" s="264">
        <v>10</v>
      </c>
      <c r="I105" s="4"/>
      <c r="J105" s="8" t="s">
        <v>566</v>
      </c>
      <c r="K105" s="264">
        <v>9</v>
      </c>
      <c r="L105" s="4"/>
      <c r="M105" s="8" t="s">
        <v>539</v>
      </c>
      <c r="N105" s="264"/>
      <c r="O105" s="22"/>
      <c r="R105" s="60">
        <v>103</v>
      </c>
      <c r="S105" s="53" t="s">
        <v>336</v>
      </c>
      <c r="T105" s="53" t="s">
        <v>319</v>
      </c>
      <c r="U105" s="70">
        <v>8.35</v>
      </c>
      <c r="V105" s="236">
        <v>8.2200000000000006</v>
      </c>
      <c r="W105" s="53">
        <v>8.25</v>
      </c>
      <c r="X105" s="53">
        <v>1.32</v>
      </c>
      <c r="Y105" s="53">
        <v>3</v>
      </c>
      <c r="Z105" s="53">
        <v>10</v>
      </c>
      <c r="AA105" s="53">
        <v>0</v>
      </c>
      <c r="AB105" s="53" t="s">
        <v>788</v>
      </c>
      <c r="AC105" s="70">
        <v>1993</v>
      </c>
      <c r="AD105" s="70" t="s">
        <v>1983</v>
      </c>
      <c r="AG105" s="69" t="s">
        <v>1114</v>
      </c>
      <c r="AH105" s="137" t="s">
        <v>1817</v>
      </c>
    </row>
    <row r="106" spans="1:34" ht="16.05" customHeight="1">
      <c r="A106" s="5" t="s">
        <v>592</v>
      </c>
      <c r="B106" s="264">
        <v>10</v>
      </c>
      <c r="C106" s="4"/>
      <c r="D106" s="8" t="s">
        <v>578</v>
      </c>
      <c r="E106" s="264">
        <v>7.5</v>
      </c>
      <c r="F106" s="4"/>
      <c r="G106" s="8" t="s">
        <v>556</v>
      </c>
      <c r="H106" s="264">
        <v>9</v>
      </c>
      <c r="I106" s="4"/>
      <c r="J106" s="8" t="s">
        <v>567</v>
      </c>
      <c r="K106" s="264">
        <v>10.5</v>
      </c>
      <c r="L106" s="4"/>
      <c r="M106" s="8" t="s">
        <v>540</v>
      </c>
      <c r="N106" s="264">
        <v>8</v>
      </c>
      <c r="O106" s="22"/>
      <c r="R106" s="60">
        <v>104</v>
      </c>
      <c r="S106" s="69" t="s">
        <v>358</v>
      </c>
      <c r="T106" s="69" t="s">
        <v>312</v>
      </c>
      <c r="U106" s="71">
        <v>8.35</v>
      </c>
      <c r="V106" s="237">
        <v>8.1999999999999993</v>
      </c>
      <c r="W106" s="69">
        <v>8</v>
      </c>
      <c r="X106" s="69">
        <v>0.78</v>
      </c>
      <c r="Y106" s="69">
        <v>1</v>
      </c>
      <c r="Z106" s="69">
        <v>10</v>
      </c>
      <c r="AA106" s="69">
        <v>0</v>
      </c>
      <c r="AB106" s="69" t="s">
        <v>839</v>
      </c>
      <c r="AC106" s="71">
        <v>1979</v>
      </c>
      <c r="AD106" s="71" t="s">
        <v>1986</v>
      </c>
      <c r="AG106" s="53" t="s">
        <v>1101</v>
      </c>
      <c r="AH106" s="138" t="s">
        <v>1126</v>
      </c>
    </row>
    <row r="107" spans="1:34" ht="16.05" customHeight="1">
      <c r="A107" s="5" t="s">
        <v>593</v>
      </c>
      <c r="B107" s="264">
        <v>8.5</v>
      </c>
      <c r="C107" s="4"/>
      <c r="D107" s="8" t="s">
        <v>579</v>
      </c>
      <c r="E107" s="264">
        <v>7.5</v>
      </c>
      <c r="F107" s="4"/>
      <c r="G107" s="8" t="s">
        <v>557</v>
      </c>
      <c r="H107" s="264">
        <v>7.5</v>
      </c>
      <c r="I107" s="4"/>
      <c r="J107" s="8" t="s">
        <v>568</v>
      </c>
      <c r="K107" s="266">
        <v>8.5</v>
      </c>
      <c r="L107" s="4"/>
      <c r="M107" s="8" t="s">
        <v>541</v>
      </c>
      <c r="N107" s="264">
        <v>9</v>
      </c>
      <c r="O107" s="22"/>
      <c r="R107" s="60">
        <v>105</v>
      </c>
      <c r="S107" s="53" t="s">
        <v>363</v>
      </c>
      <c r="T107" s="53" t="s">
        <v>364</v>
      </c>
      <c r="U107" s="70">
        <v>8.33</v>
      </c>
      <c r="V107" s="188">
        <v>8.17</v>
      </c>
      <c r="W107" s="53">
        <v>8</v>
      </c>
      <c r="X107" s="53">
        <v>0.94</v>
      </c>
      <c r="Y107" s="53">
        <v>1</v>
      </c>
      <c r="Z107" s="53">
        <v>9</v>
      </c>
      <c r="AA107" s="53">
        <v>0</v>
      </c>
      <c r="AB107" s="53" t="s">
        <v>776</v>
      </c>
      <c r="AC107" s="70">
        <v>1993</v>
      </c>
      <c r="AD107" s="70" t="s">
        <v>1981</v>
      </c>
      <c r="AG107" s="69" t="s">
        <v>1125</v>
      </c>
      <c r="AH107" s="137" t="s">
        <v>1126</v>
      </c>
    </row>
    <row r="108" spans="1:34" ht="16.05" customHeight="1" thickBot="1">
      <c r="A108" s="5" t="s">
        <v>594</v>
      </c>
      <c r="B108" s="264">
        <v>8</v>
      </c>
      <c r="C108" s="4"/>
      <c r="D108" s="8" t="s">
        <v>580</v>
      </c>
      <c r="E108" s="264">
        <v>10</v>
      </c>
      <c r="F108" s="4"/>
      <c r="G108" s="10" t="s">
        <v>573</v>
      </c>
      <c r="H108" s="265">
        <v>9</v>
      </c>
      <c r="I108" s="4"/>
      <c r="J108" s="8" t="s">
        <v>569</v>
      </c>
      <c r="K108" s="264">
        <v>10</v>
      </c>
      <c r="L108" s="4"/>
      <c r="M108" s="8" t="s">
        <v>542</v>
      </c>
      <c r="N108" s="264">
        <v>9</v>
      </c>
      <c r="O108" s="22"/>
      <c r="R108" s="60">
        <v>106</v>
      </c>
      <c r="S108" s="69" t="s">
        <v>587</v>
      </c>
      <c r="T108" s="69" t="s">
        <v>588</v>
      </c>
      <c r="U108" s="71">
        <v>8.31</v>
      </c>
      <c r="V108" s="188">
        <v>8.16</v>
      </c>
      <c r="W108" s="69">
        <v>8</v>
      </c>
      <c r="X108" s="69">
        <v>0.89</v>
      </c>
      <c r="Y108" s="69">
        <v>2</v>
      </c>
      <c r="Z108" s="69">
        <v>14</v>
      </c>
      <c r="AA108" s="69">
        <v>1</v>
      </c>
      <c r="AB108" s="69" t="s">
        <v>780</v>
      </c>
      <c r="AC108" s="71">
        <v>2016</v>
      </c>
      <c r="AD108" s="71" t="s">
        <v>1977</v>
      </c>
      <c r="AG108" s="53" t="s">
        <v>1127</v>
      </c>
      <c r="AH108" s="138" t="s">
        <v>1126</v>
      </c>
    </row>
    <row r="109" spans="1:34" ht="16.05" customHeight="1" thickBot="1">
      <c r="A109" s="5" t="s">
        <v>595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570</v>
      </c>
      <c r="K109" s="265"/>
      <c r="L109" s="4"/>
      <c r="M109" s="8" t="s">
        <v>543</v>
      </c>
      <c r="N109" s="264">
        <v>9</v>
      </c>
      <c r="O109" s="22"/>
      <c r="R109" s="60">
        <v>107</v>
      </c>
      <c r="S109" s="53" t="s">
        <v>817</v>
      </c>
      <c r="T109" s="53" t="s">
        <v>818</v>
      </c>
      <c r="U109" s="70">
        <v>8.33</v>
      </c>
      <c r="V109" s="188">
        <v>8.16</v>
      </c>
      <c r="W109" s="53">
        <v>8</v>
      </c>
      <c r="X109" s="53">
        <v>1.1599999999999999</v>
      </c>
      <c r="Y109" s="53">
        <v>3</v>
      </c>
      <c r="Z109" s="53">
        <v>15</v>
      </c>
      <c r="AA109" s="53">
        <v>0</v>
      </c>
      <c r="AB109" s="53" t="s">
        <v>838</v>
      </c>
      <c r="AC109" s="70">
        <v>2003</v>
      </c>
      <c r="AD109" s="70" t="s">
        <v>1997</v>
      </c>
      <c r="AG109" s="69" t="s">
        <v>1694</v>
      </c>
      <c r="AH109" s="137" t="s">
        <v>1126</v>
      </c>
    </row>
    <row r="110" spans="1:34" ht="16.05" customHeight="1" thickBot="1">
      <c r="A110" s="5" t="s">
        <v>596</v>
      </c>
      <c r="B110" s="264">
        <v>8</v>
      </c>
      <c r="C110" s="4"/>
      <c r="D110" s="8" t="s">
        <v>581</v>
      </c>
      <c r="E110" s="264">
        <v>8</v>
      </c>
      <c r="F110" s="22"/>
      <c r="G110" s="94" t="s">
        <v>888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544</v>
      </c>
      <c r="N110" s="265">
        <v>8</v>
      </c>
      <c r="O110" s="22"/>
      <c r="R110" s="60">
        <v>108</v>
      </c>
      <c r="S110" s="69" t="s">
        <v>1867</v>
      </c>
      <c r="T110" s="69" t="s">
        <v>1867</v>
      </c>
      <c r="U110" s="71">
        <v>8.2899999999999991</v>
      </c>
      <c r="V110" s="188">
        <v>8.16</v>
      </c>
      <c r="W110" s="69">
        <v>8</v>
      </c>
      <c r="X110" s="69">
        <v>0.52</v>
      </c>
      <c r="Y110" s="69">
        <v>0</v>
      </c>
      <c r="Z110" s="69">
        <v>7</v>
      </c>
      <c r="AA110" s="69">
        <v>0</v>
      </c>
      <c r="AB110" s="69" t="s">
        <v>1868</v>
      </c>
      <c r="AC110" s="71">
        <v>2018</v>
      </c>
      <c r="AD110" s="71" t="s">
        <v>1998</v>
      </c>
      <c r="AG110" s="53" t="s">
        <v>1128</v>
      </c>
      <c r="AH110" s="138" t="s">
        <v>1129</v>
      </c>
    </row>
    <row r="111" spans="1:34" ht="16.05" customHeight="1" thickBot="1">
      <c r="A111" s="5" t="s">
        <v>597</v>
      </c>
      <c r="B111" s="264">
        <v>8</v>
      </c>
      <c r="C111" s="4"/>
      <c r="D111" s="8" t="s">
        <v>582</v>
      </c>
      <c r="E111" s="264">
        <v>7.5</v>
      </c>
      <c r="F111" s="4"/>
      <c r="G111" s="7" t="s">
        <v>601</v>
      </c>
      <c r="H111" s="263">
        <v>10</v>
      </c>
      <c r="I111" s="22"/>
      <c r="J111" s="93" t="s">
        <v>887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337</v>
      </c>
      <c r="T111" s="53" t="s">
        <v>627</v>
      </c>
      <c r="U111" s="70">
        <v>8.0500000000000007</v>
      </c>
      <c r="V111" s="176">
        <v>8.11</v>
      </c>
      <c r="W111" s="53">
        <v>8.25</v>
      </c>
      <c r="X111" s="53">
        <v>1.19</v>
      </c>
      <c r="Y111" s="53">
        <v>1</v>
      </c>
      <c r="Z111" s="53">
        <v>11</v>
      </c>
      <c r="AA111" s="53">
        <v>1</v>
      </c>
      <c r="AB111" s="53" t="s">
        <v>768</v>
      </c>
      <c r="AC111" s="70">
        <v>2001</v>
      </c>
      <c r="AD111" s="70" t="s">
        <v>1993</v>
      </c>
      <c r="AG111" s="69" t="s">
        <v>1130</v>
      </c>
      <c r="AH111" s="137" t="s">
        <v>1131</v>
      </c>
    </row>
    <row r="112" spans="1:34" ht="16.05" customHeight="1" thickBot="1">
      <c r="A112" s="58" t="s">
        <v>598</v>
      </c>
      <c r="B112" s="265">
        <v>10.5</v>
      </c>
      <c r="C112" s="4"/>
      <c r="D112" s="8" t="s">
        <v>583</v>
      </c>
      <c r="E112" s="264">
        <v>7.5</v>
      </c>
      <c r="F112" s="4"/>
      <c r="G112" s="8" t="s">
        <v>602</v>
      </c>
      <c r="H112" s="264">
        <v>8</v>
      </c>
      <c r="I112" s="22"/>
      <c r="J112" s="5" t="s">
        <v>616</v>
      </c>
      <c r="K112" s="264">
        <v>8</v>
      </c>
      <c r="L112" s="22"/>
      <c r="M112" s="77" t="s">
        <v>628</v>
      </c>
      <c r="N112" s="3">
        <f>ROUND(SUM(N113:N125)/COUNT(N113:N125), 2)</f>
        <v>8.77</v>
      </c>
      <c r="O112" s="22"/>
      <c r="R112" s="60">
        <v>110</v>
      </c>
      <c r="S112" s="69" t="s">
        <v>477</v>
      </c>
      <c r="T112" s="69" t="s">
        <v>478</v>
      </c>
      <c r="U112" s="71">
        <v>8.18</v>
      </c>
      <c r="V112" s="238">
        <v>8.06</v>
      </c>
      <c r="W112" s="69">
        <v>8</v>
      </c>
      <c r="X112" s="69">
        <v>0.89</v>
      </c>
      <c r="Y112" s="69">
        <v>2</v>
      </c>
      <c r="Z112" s="69">
        <v>19</v>
      </c>
      <c r="AA112" s="69">
        <v>0</v>
      </c>
      <c r="AB112" s="69" t="s">
        <v>795</v>
      </c>
      <c r="AC112" s="71">
        <v>2023</v>
      </c>
      <c r="AD112" s="71" t="s">
        <v>1976</v>
      </c>
      <c r="AG112" s="53" t="s">
        <v>780</v>
      </c>
      <c r="AH112" s="138" t="s">
        <v>1818</v>
      </c>
    </row>
    <row r="113" spans="1:34" ht="16.05" customHeight="1" thickBot="1">
      <c r="A113" s="21"/>
      <c r="B113" s="21"/>
      <c r="C113" s="22"/>
      <c r="D113" s="20" t="s">
        <v>584</v>
      </c>
      <c r="E113" s="264">
        <v>8</v>
      </c>
      <c r="F113" s="4"/>
      <c r="G113" s="8" t="s">
        <v>603</v>
      </c>
      <c r="H113" s="264">
        <v>8.5</v>
      </c>
      <c r="I113" s="22"/>
      <c r="J113" s="5" t="s">
        <v>617</v>
      </c>
      <c r="K113" s="264">
        <v>10.5</v>
      </c>
      <c r="L113" s="22"/>
      <c r="M113" s="5" t="s">
        <v>629</v>
      </c>
      <c r="N113" s="264">
        <v>9</v>
      </c>
      <c r="O113" s="22"/>
      <c r="R113" s="60">
        <v>111</v>
      </c>
      <c r="S113" s="53" t="s">
        <v>349</v>
      </c>
      <c r="T113" s="53" t="s">
        <v>1920</v>
      </c>
      <c r="U113" s="70">
        <v>8.18</v>
      </c>
      <c r="V113" s="238">
        <v>8.06</v>
      </c>
      <c r="W113" s="53">
        <v>8</v>
      </c>
      <c r="X113" s="53">
        <v>0.86</v>
      </c>
      <c r="Y113" s="53">
        <v>1</v>
      </c>
      <c r="Z113" s="53">
        <v>11</v>
      </c>
      <c r="AA113" s="53">
        <v>0</v>
      </c>
      <c r="AB113" s="53" t="s">
        <v>1930</v>
      </c>
      <c r="AC113" s="70">
        <v>2001</v>
      </c>
      <c r="AD113" s="70" t="s">
        <v>1954</v>
      </c>
      <c r="AG113" s="69" t="s">
        <v>1305</v>
      </c>
      <c r="AH113" s="137" t="s">
        <v>1306</v>
      </c>
    </row>
    <row r="114" spans="1:34" ht="16.05" customHeight="1" thickBot="1">
      <c r="A114" s="92" t="s">
        <v>886</v>
      </c>
      <c r="B114" s="3">
        <f>ROUND(SUM(B115:B132)/COUNT(B115:B132), 2)</f>
        <v>7.72</v>
      </c>
      <c r="C114" s="22"/>
      <c r="D114" s="20" t="s">
        <v>585</v>
      </c>
      <c r="E114" s="264">
        <v>7.5</v>
      </c>
      <c r="F114" s="4"/>
      <c r="G114" s="8" t="s">
        <v>604</v>
      </c>
      <c r="H114" s="264">
        <v>9</v>
      </c>
      <c r="I114" s="22"/>
      <c r="J114" s="5" t="s">
        <v>618</v>
      </c>
      <c r="K114" s="264">
        <v>6</v>
      </c>
      <c r="L114" s="22"/>
      <c r="M114" s="5" t="s">
        <v>630</v>
      </c>
      <c r="N114" s="264">
        <v>8.5</v>
      </c>
      <c r="O114" s="22"/>
      <c r="R114" s="60">
        <v>112</v>
      </c>
      <c r="S114" s="69" t="s">
        <v>732</v>
      </c>
      <c r="T114" s="69" t="s">
        <v>1311</v>
      </c>
      <c r="U114" s="71">
        <v>8.11</v>
      </c>
      <c r="V114" s="189">
        <v>8</v>
      </c>
      <c r="W114" s="69">
        <v>8</v>
      </c>
      <c r="X114" s="69">
        <v>0.71</v>
      </c>
      <c r="Y114" s="69">
        <v>0</v>
      </c>
      <c r="Z114" s="69">
        <v>15</v>
      </c>
      <c r="AA114" s="69">
        <v>1</v>
      </c>
      <c r="AB114" s="69" t="s">
        <v>1327</v>
      </c>
      <c r="AC114" s="71">
        <v>2026</v>
      </c>
      <c r="AD114" s="71" t="s">
        <v>1973</v>
      </c>
      <c r="AG114" s="53" t="s">
        <v>1307</v>
      </c>
      <c r="AH114" s="138" t="s">
        <v>1306</v>
      </c>
    </row>
    <row r="115" spans="1:34" ht="16.05" customHeight="1" thickBot="1">
      <c r="A115" s="7" t="s">
        <v>643</v>
      </c>
      <c r="B115" s="264">
        <v>7.5</v>
      </c>
      <c r="C115" s="4"/>
      <c r="D115" s="10" t="s">
        <v>586</v>
      </c>
      <c r="E115" s="265">
        <v>10</v>
      </c>
      <c r="F115" s="4"/>
      <c r="G115" s="8" t="s">
        <v>605</v>
      </c>
      <c r="H115" s="264">
        <v>10</v>
      </c>
      <c r="I115" s="22"/>
      <c r="J115" s="5" t="s">
        <v>619</v>
      </c>
      <c r="K115" s="264">
        <v>9</v>
      </c>
      <c r="L115" s="22"/>
      <c r="M115" s="5" t="s">
        <v>631</v>
      </c>
      <c r="N115" s="264">
        <v>9</v>
      </c>
      <c r="O115" s="22"/>
      <c r="R115" s="60">
        <v>113</v>
      </c>
      <c r="S115" s="53" t="s">
        <v>396</v>
      </c>
      <c r="T115" s="53" t="s">
        <v>389</v>
      </c>
      <c r="U115" s="70">
        <v>8</v>
      </c>
      <c r="V115" s="239">
        <v>7.98</v>
      </c>
      <c r="W115" s="53">
        <v>8.25</v>
      </c>
      <c r="X115" s="53">
        <v>0.56000000000000005</v>
      </c>
      <c r="Y115" s="53">
        <v>0</v>
      </c>
      <c r="Z115" s="53">
        <v>9</v>
      </c>
      <c r="AA115" s="53">
        <v>1</v>
      </c>
      <c r="AB115" s="53" t="s">
        <v>771</v>
      </c>
      <c r="AC115" s="70">
        <v>2005</v>
      </c>
      <c r="AD115" s="70" t="s">
        <v>1988</v>
      </c>
      <c r="AG115" s="69" t="s">
        <v>1616</v>
      </c>
      <c r="AH115" s="137" t="s">
        <v>1617</v>
      </c>
    </row>
    <row r="116" spans="1:34" ht="16.05" customHeight="1" thickBot="1">
      <c r="A116" s="8" t="s">
        <v>644</v>
      </c>
      <c r="B116" s="264">
        <v>8</v>
      </c>
      <c r="C116" s="4"/>
      <c r="D116" s="19"/>
      <c r="E116" s="19"/>
      <c r="F116" s="4"/>
      <c r="G116" s="8" t="s">
        <v>606</v>
      </c>
      <c r="H116" s="264"/>
      <c r="I116" s="22"/>
      <c r="J116" s="5" t="s">
        <v>620</v>
      </c>
      <c r="K116" s="264">
        <v>8.5</v>
      </c>
      <c r="L116" s="22"/>
      <c r="M116" s="5" t="s">
        <v>632</v>
      </c>
      <c r="N116" s="264">
        <v>8</v>
      </c>
      <c r="O116" s="22"/>
      <c r="R116" s="60">
        <v>114</v>
      </c>
      <c r="S116" s="69" t="s">
        <v>347</v>
      </c>
      <c r="T116" s="69" t="s">
        <v>706</v>
      </c>
      <c r="U116" s="71">
        <v>8.07</v>
      </c>
      <c r="V116" s="190">
        <v>7.95</v>
      </c>
      <c r="W116" s="69">
        <v>8</v>
      </c>
      <c r="X116" s="69">
        <v>1.07</v>
      </c>
      <c r="Y116" s="69">
        <v>2</v>
      </c>
      <c r="Z116" s="69">
        <v>16</v>
      </c>
      <c r="AA116" s="69">
        <v>2</v>
      </c>
      <c r="AB116" s="69" t="s">
        <v>773</v>
      </c>
      <c r="AC116" s="71">
        <v>1997</v>
      </c>
      <c r="AD116" s="71" t="s">
        <v>1982</v>
      </c>
      <c r="AG116" s="53" t="s">
        <v>1135</v>
      </c>
      <c r="AH116" s="138" t="s">
        <v>1310</v>
      </c>
    </row>
    <row r="117" spans="1:34" ht="16.05" customHeight="1" thickBot="1">
      <c r="A117" s="8" t="s">
        <v>645</v>
      </c>
      <c r="B117" s="264">
        <v>8</v>
      </c>
      <c r="C117" s="22"/>
      <c r="D117" s="91" t="s">
        <v>885</v>
      </c>
      <c r="E117" s="3">
        <f>ROUND(SUM(E118:E131)/COUNT(E118:E131), 2)</f>
        <v>8.76</v>
      </c>
      <c r="F117" s="4"/>
      <c r="G117" s="8" t="s">
        <v>607</v>
      </c>
      <c r="H117" s="264">
        <v>10</v>
      </c>
      <c r="I117" s="22"/>
      <c r="J117" s="5" t="s">
        <v>621</v>
      </c>
      <c r="K117" s="264">
        <v>8.5</v>
      </c>
      <c r="L117" s="22"/>
      <c r="M117" s="5" t="s">
        <v>633</v>
      </c>
      <c r="N117" s="264">
        <v>10</v>
      </c>
      <c r="O117" s="22"/>
      <c r="R117" s="60">
        <v>115</v>
      </c>
      <c r="S117" s="53" t="s">
        <v>1436</v>
      </c>
      <c r="T117" s="53" t="s">
        <v>1437</v>
      </c>
      <c r="U117" s="70">
        <v>8.0500000000000007</v>
      </c>
      <c r="V117" s="190">
        <v>7.95</v>
      </c>
      <c r="W117" s="53">
        <v>8</v>
      </c>
      <c r="X117" s="53">
        <v>0.72</v>
      </c>
      <c r="Y117" s="53">
        <v>0</v>
      </c>
      <c r="Z117" s="53">
        <v>10</v>
      </c>
      <c r="AA117" s="53">
        <v>0</v>
      </c>
      <c r="AB117" s="53" t="s">
        <v>767</v>
      </c>
      <c r="AC117" s="70">
        <v>2026</v>
      </c>
      <c r="AD117" s="70" t="s">
        <v>1988</v>
      </c>
      <c r="AG117" s="69" t="s">
        <v>1136</v>
      </c>
      <c r="AH117" s="137" t="s">
        <v>1310</v>
      </c>
    </row>
    <row r="118" spans="1:34" ht="16.05" customHeight="1">
      <c r="A118" s="8" t="s">
        <v>646</v>
      </c>
      <c r="B118" s="264">
        <v>7</v>
      </c>
      <c r="C118" s="22"/>
      <c r="D118" s="5" t="s">
        <v>663</v>
      </c>
      <c r="E118" s="264">
        <v>9</v>
      </c>
      <c r="F118" s="4"/>
      <c r="G118" s="8" t="s">
        <v>608</v>
      </c>
      <c r="H118" s="264">
        <v>7.5</v>
      </c>
      <c r="I118" s="22"/>
      <c r="J118" s="5" t="s">
        <v>622</v>
      </c>
      <c r="K118" s="264">
        <v>7.5</v>
      </c>
      <c r="L118" s="22"/>
      <c r="M118" s="5" t="s">
        <v>634</v>
      </c>
      <c r="N118" s="264">
        <v>9.5</v>
      </c>
      <c r="O118" s="22"/>
      <c r="R118" s="60">
        <v>116</v>
      </c>
      <c r="S118" s="69" t="s">
        <v>344</v>
      </c>
      <c r="T118" s="69" t="s">
        <v>1794</v>
      </c>
      <c r="U118" s="71">
        <v>8.06</v>
      </c>
      <c r="V118" s="190">
        <v>7.95</v>
      </c>
      <c r="W118" s="69">
        <v>8</v>
      </c>
      <c r="X118" s="69">
        <v>0.81</v>
      </c>
      <c r="Y118" s="69">
        <v>0</v>
      </c>
      <c r="Z118" s="69">
        <v>8</v>
      </c>
      <c r="AA118" s="69">
        <v>0</v>
      </c>
      <c r="AB118" s="69" t="s">
        <v>1092</v>
      </c>
      <c r="AC118" s="71">
        <v>2014</v>
      </c>
      <c r="AD118" s="71" t="s">
        <v>1997</v>
      </c>
      <c r="AG118" s="53" t="s">
        <v>1132</v>
      </c>
      <c r="AH118" s="138" t="s">
        <v>1133</v>
      </c>
    </row>
    <row r="119" spans="1:34" ht="16.05" customHeight="1">
      <c r="A119" s="8" t="s">
        <v>647</v>
      </c>
      <c r="B119" s="264">
        <v>7.5</v>
      </c>
      <c r="C119" s="22"/>
      <c r="D119" s="5" t="s">
        <v>664</v>
      </c>
      <c r="E119" s="264">
        <v>9.5</v>
      </c>
      <c r="F119" s="4"/>
      <c r="G119" s="8" t="s">
        <v>609</v>
      </c>
      <c r="H119" s="264"/>
      <c r="I119" s="22"/>
      <c r="J119" s="5" t="s">
        <v>623</v>
      </c>
      <c r="K119" s="264">
        <v>7</v>
      </c>
      <c r="L119" s="22"/>
      <c r="M119" s="5" t="s">
        <v>635</v>
      </c>
      <c r="N119" s="264">
        <v>10.5</v>
      </c>
      <c r="O119" s="22"/>
      <c r="R119" s="60">
        <v>117</v>
      </c>
      <c r="S119" s="53" t="s">
        <v>347</v>
      </c>
      <c r="T119" s="53" t="s">
        <v>1587</v>
      </c>
      <c r="U119" s="70">
        <v>8</v>
      </c>
      <c r="V119" s="240">
        <v>7.79</v>
      </c>
      <c r="W119" s="53">
        <v>7.5</v>
      </c>
      <c r="X119" s="53">
        <v>0.88</v>
      </c>
      <c r="Y119" s="53">
        <v>0</v>
      </c>
      <c r="Z119" s="53">
        <v>10</v>
      </c>
      <c r="AA119" s="53">
        <v>1</v>
      </c>
      <c r="AB119" s="53" t="s">
        <v>1598</v>
      </c>
      <c r="AC119" s="70">
        <v>2005</v>
      </c>
      <c r="AD119" s="70" t="s">
        <v>1980</v>
      </c>
      <c r="AG119" s="69" t="s">
        <v>1134</v>
      </c>
      <c r="AH119" s="137" t="s">
        <v>1133</v>
      </c>
    </row>
    <row r="120" spans="1:34" ht="16.05" customHeight="1">
      <c r="A120" s="8" t="s">
        <v>648</v>
      </c>
      <c r="B120" s="264">
        <v>8</v>
      </c>
      <c r="C120" s="22"/>
      <c r="D120" s="5" t="s">
        <v>501</v>
      </c>
      <c r="E120" s="264">
        <v>10</v>
      </c>
      <c r="F120" s="4"/>
      <c r="G120" s="76" t="s">
        <v>610</v>
      </c>
      <c r="H120" s="264">
        <v>8</v>
      </c>
      <c r="I120" s="22"/>
      <c r="J120" s="5" t="s">
        <v>624</v>
      </c>
      <c r="K120" s="264"/>
      <c r="L120" s="22"/>
      <c r="M120" s="5" t="s">
        <v>636</v>
      </c>
      <c r="N120" s="264">
        <v>10</v>
      </c>
      <c r="O120" s="22"/>
      <c r="R120" s="60">
        <v>118</v>
      </c>
      <c r="S120" s="69" t="s">
        <v>337</v>
      </c>
      <c r="T120" s="69" t="s">
        <v>958</v>
      </c>
      <c r="U120" s="71">
        <v>7.88</v>
      </c>
      <c r="V120" s="241">
        <v>7.74</v>
      </c>
      <c r="W120" s="69">
        <v>7.75</v>
      </c>
      <c r="X120" s="69">
        <v>0.86</v>
      </c>
      <c r="Y120" s="69">
        <v>0</v>
      </c>
      <c r="Z120" s="69">
        <v>8</v>
      </c>
      <c r="AA120" s="69">
        <v>0</v>
      </c>
      <c r="AB120" s="69" t="s">
        <v>959</v>
      </c>
      <c r="AC120" s="71">
        <v>2011</v>
      </c>
      <c r="AD120" s="71" t="s">
        <v>1991</v>
      </c>
      <c r="AG120" s="53" t="s">
        <v>1139</v>
      </c>
      <c r="AH120" s="138" t="s">
        <v>1708</v>
      </c>
    </row>
    <row r="121" spans="1:34" ht="16.05" customHeight="1">
      <c r="A121" s="8" t="s">
        <v>649</v>
      </c>
      <c r="B121" s="264">
        <v>8</v>
      </c>
      <c r="C121" s="22"/>
      <c r="D121" s="5" t="s">
        <v>665</v>
      </c>
      <c r="E121" s="264">
        <v>8</v>
      </c>
      <c r="F121" s="4"/>
      <c r="G121" s="8" t="s">
        <v>611</v>
      </c>
      <c r="H121" s="264">
        <v>8</v>
      </c>
      <c r="I121" s="22"/>
      <c r="J121" s="5" t="s">
        <v>625</v>
      </c>
      <c r="K121" s="264">
        <v>7</v>
      </c>
      <c r="L121" s="22"/>
      <c r="M121" s="5" t="s">
        <v>637</v>
      </c>
      <c r="N121" s="264">
        <v>8.5</v>
      </c>
      <c r="O121" s="22"/>
      <c r="R121" s="60">
        <v>119</v>
      </c>
      <c r="S121" s="53" t="s">
        <v>661</v>
      </c>
      <c r="T121" s="53" t="s">
        <v>662</v>
      </c>
      <c r="U121" s="70">
        <v>7.72</v>
      </c>
      <c r="V121" s="242">
        <v>7.7</v>
      </c>
      <c r="W121" s="53">
        <v>8</v>
      </c>
      <c r="X121" s="53">
        <v>0.57999999999999996</v>
      </c>
      <c r="Y121" s="53">
        <v>0</v>
      </c>
      <c r="Z121" s="53">
        <v>18</v>
      </c>
      <c r="AA121" s="53">
        <v>0</v>
      </c>
      <c r="AB121" s="53" t="s">
        <v>796</v>
      </c>
      <c r="AC121" s="70">
        <v>2026</v>
      </c>
      <c r="AD121" s="70" t="s">
        <v>1979</v>
      </c>
      <c r="AG121" s="69" t="s">
        <v>796</v>
      </c>
      <c r="AH121" s="137" t="s">
        <v>1137</v>
      </c>
    </row>
    <row r="122" spans="1:34" ht="16.05" customHeight="1" thickBot="1">
      <c r="A122" s="8" t="s">
        <v>650</v>
      </c>
      <c r="B122" s="264">
        <v>8</v>
      </c>
      <c r="C122" s="22"/>
      <c r="D122" s="5" t="s">
        <v>666</v>
      </c>
      <c r="E122" s="264">
        <v>10.5</v>
      </c>
      <c r="F122" s="4"/>
      <c r="G122" s="8" t="s">
        <v>612</v>
      </c>
      <c r="H122" s="264">
        <v>8</v>
      </c>
      <c r="I122" s="22"/>
      <c r="J122" s="9" t="s">
        <v>626</v>
      </c>
      <c r="K122" s="265">
        <v>8.5</v>
      </c>
      <c r="L122" s="22"/>
      <c r="M122" s="5" t="s">
        <v>638</v>
      </c>
      <c r="N122" s="264">
        <v>7.5</v>
      </c>
      <c r="O122" s="22"/>
      <c r="R122" s="60">
        <v>120</v>
      </c>
      <c r="S122" s="69" t="s">
        <v>507</v>
      </c>
      <c r="T122" s="69" t="s">
        <v>508</v>
      </c>
      <c r="U122" s="71">
        <v>7.67</v>
      </c>
      <c r="V122" s="243">
        <v>7.66</v>
      </c>
      <c r="W122" s="69">
        <v>8</v>
      </c>
      <c r="X122" s="69">
        <v>0.59</v>
      </c>
      <c r="Y122" s="69">
        <v>0</v>
      </c>
      <c r="Z122" s="69">
        <v>12</v>
      </c>
      <c r="AA122" s="69">
        <v>0</v>
      </c>
      <c r="AB122" s="69" t="s">
        <v>782</v>
      </c>
      <c r="AC122" s="71">
        <v>2021</v>
      </c>
      <c r="AD122" s="71" t="s">
        <v>1994</v>
      </c>
      <c r="AG122" s="53" t="s">
        <v>788</v>
      </c>
      <c r="AH122" s="138" t="s">
        <v>1850</v>
      </c>
    </row>
    <row r="123" spans="1:34" ht="16.05" customHeight="1" thickBot="1">
      <c r="A123" s="8" t="s">
        <v>651</v>
      </c>
      <c r="B123" s="264">
        <v>6.5</v>
      </c>
      <c r="C123" s="22"/>
      <c r="D123" s="5" t="s">
        <v>667</v>
      </c>
      <c r="E123" s="264">
        <v>8</v>
      </c>
      <c r="F123" s="4"/>
      <c r="G123" s="10" t="s">
        <v>613</v>
      </c>
      <c r="H123" s="265">
        <v>9</v>
      </c>
      <c r="I123" s="4"/>
      <c r="J123" s="21"/>
      <c r="K123" s="21"/>
      <c r="L123" s="22"/>
      <c r="M123" s="5" t="s">
        <v>639</v>
      </c>
      <c r="N123" s="264">
        <v>8</v>
      </c>
      <c r="O123" s="22"/>
      <c r="R123" s="60">
        <v>121</v>
      </c>
      <c r="S123" s="53" t="s">
        <v>348</v>
      </c>
      <c r="T123" s="53" t="s">
        <v>348</v>
      </c>
      <c r="U123" s="70">
        <v>7.77</v>
      </c>
      <c r="V123" s="244">
        <v>7.64</v>
      </c>
      <c r="W123" s="53">
        <v>7.5</v>
      </c>
      <c r="X123" s="53">
        <v>0.62</v>
      </c>
      <c r="Y123" s="53">
        <v>0</v>
      </c>
      <c r="Z123" s="53">
        <v>11</v>
      </c>
      <c r="AA123" s="53">
        <v>0</v>
      </c>
      <c r="AB123" s="53" t="s">
        <v>791</v>
      </c>
      <c r="AC123" s="70">
        <v>2026</v>
      </c>
      <c r="AD123" s="70" t="s">
        <v>1965</v>
      </c>
      <c r="AG123" s="69" t="s">
        <v>1952</v>
      </c>
      <c r="AH123" s="137" t="s">
        <v>1953</v>
      </c>
    </row>
    <row r="124" spans="1:34" ht="16.05" customHeight="1" thickBot="1">
      <c r="A124" s="8" t="s">
        <v>652</v>
      </c>
      <c r="B124" s="264">
        <v>7.5</v>
      </c>
      <c r="C124" s="22"/>
      <c r="D124" s="5" t="s">
        <v>668</v>
      </c>
      <c r="E124" s="264">
        <v>9</v>
      </c>
      <c r="F124" s="4"/>
      <c r="G124" s="21"/>
      <c r="H124" s="21"/>
      <c r="I124" s="4"/>
      <c r="J124" s="80" t="s">
        <v>681</v>
      </c>
      <c r="K124" s="3">
        <f>ROUND(SUM(K125:K134)/COUNT(K125:K134), 2)</f>
        <v>7.06</v>
      </c>
      <c r="L124" s="22"/>
      <c r="M124" s="5" t="s">
        <v>640</v>
      </c>
      <c r="N124" s="264">
        <v>8.5</v>
      </c>
      <c r="O124" s="22"/>
      <c r="R124" s="60">
        <v>122</v>
      </c>
      <c r="S124" s="69" t="s">
        <v>1215</v>
      </c>
      <c r="T124" s="69" t="s">
        <v>1216</v>
      </c>
      <c r="U124" s="71">
        <v>7.71</v>
      </c>
      <c r="V124" s="191">
        <v>7.61</v>
      </c>
      <c r="W124" s="69">
        <v>7.5</v>
      </c>
      <c r="X124" s="69">
        <v>0.45</v>
      </c>
      <c r="Y124" s="69">
        <v>0</v>
      </c>
      <c r="Z124" s="69">
        <v>8</v>
      </c>
      <c r="AA124" s="69">
        <v>1</v>
      </c>
      <c r="AB124" s="69" t="s">
        <v>1218</v>
      </c>
      <c r="AC124" s="71">
        <v>2020</v>
      </c>
      <c r="AD124" s="71" t="s">
        <v>1999</v>
      </c>
      <c r="AG124" s="53" t="s">
        <v>1328</v>
      </c>
      <c r="AH124" s="138" t="s">
        <v>1329</v>
      </c>
    </row>
    <row r="125" spans="1:34" ht="16.05" customHeight="1" thickBot="1">
      <c r="A125" s="8" t="s">
        <v>653</v>
      </c>
      <c r="B125" s="264">
        <v>7</v>
      </c>
      <c r="C125" s="22"/>
      <c r="D125" s="5" t="s">
        <v>669</v>
      </c>
      <c r="E125" s="264">
        <v>8.5</v>
      </c>
      <c r="F125" s="22"/>
      <c r="G125" s="152" t="s">
        <v>1259</v>
      </c>
      <c r="H125" s="3">
        <f>ROUND(SUM(H126:H129)/COUNT(H126:H129), 2)</f>
        <v>9.8800000000000008</v>
      </c>
      <c r="I125" s="4"/>
      <c r="J125" s="13" t="s">
        <v>671</v>
      </c>
      <c r="K125" s="264"/>
      <c r="L125" s="22"/>
      <c r="M125" s="56" t="s">
        <v>641</v>
      </c>
      <c r="N125" s="265">
        <v>7</v>
      </c>
      <c r="O125" s="22"/>
      <c r="R125" s="60">
        <v>123</v>
      </c>
      <c r="S125" s="53" t="s">
        <v>337</v>
      </c>
      <c r="T125" s="53" t="s">
        <v>997</v>
      </c>
      <c r="U125" s="70">
        <v>7.5</v>
      </c>
      <c r="V125" s="245">
        <v>7.4</v>
      </c>
      <c r="W125" s="53">
        <v>7.5</v>
      </c>
      <c r="X125" s="53">
        <v>0.76</v>
      </c>
      <c r="Y125" s="53">
        <v>0</v>
      </c>
      <c r="Z125" s="53">
        <v>12</v>
      </c>
      <c r="AA125" s="53">
        <v>0</v>
      </c>
      <c r="AB125" s="53" t="s">
        <v>789</v>
      </c>
      <c r="AC125" s="70">
        <v>1993</v>
      </c>
      <c r="AD125" s="70" t="s">
        <v>1957</v>
      </c>
      <c r="AG125" s="69" t="s">
        <v>1600</v>
      </c>
      <c r="AH125" s="137" t="s">
        <v>1601</v>
      </c>
    </row>
    <row r="126" spans="1:34" ht="16.05" customHeight="1" thickBot="1">
      <c r="A126" s="8" t="s">
        <v>654</v>
      </c>
      <c r="B126" s="264">
        <v>8</v>
      </c>
      <c r="C126" s="4"/>
      <c r="D126" s="9" t="s">
        <v>670</v>
      </c>
      <c r="E126" s="265">
        <v>8</v>
      </c>
      <c r="F126" s="4"/>
      <c r="G126" s="13" t="s">
        <v>684</v>
      </c>
      <c r="H126" s="263">
        <v>10.5</v>
      </c>
      <c r="I126" s="4"/>
      <c r="J126" s="6" t="s">
        <v>672</v>
      </c>
      <c r="K126" s="264">
        <v>7.5</v>
      </c>
      <c r="L126" s="4"/>
      <c r="M126" s="21"/>
      <c r="N126" s="21"/>
      <c r="O126" s="22"/>
      <c r="R126" s="60">
        <v>124</v>
      </c>
      <c r="S126" s="69" t="s">
        <v>832</v>
      </c>
      <c r="T126" s="69" t="s">
        <v>1939</v>
      </c>
      <c r="U126" s="71">
        <v>7.31</v>
      </c>
      <c r="V126" s="288">
        <v>7.2</v>
      </c>
      <c r="W126" s="69">
        <v>7.25</v>
      </c>
      <c r="X126" s="69">
        <v>0.73</v>
      </c>
      <c r="Y126" s="69">
        <v>0</v>
      </c>
      <c r="Z126" s="69">
        <v>18</v>
      </c>
      <c r="AA126" s="69">
        <v>0</v>
      </c>
      <c r="AB126" s="69" t="s">
        <v>1138</v>
      </c>
      <c r="AC126" s="71">
        <v>2026</v>
      </c>
      <c r="AD126" s="71" t="s">
        <v>1957</v>
      </c>
      <c r="AG126" s="53" t="s">
        <v>1602</v>
      </c>
      <c r="AH126" s="138" t="s">
        <v>1601</v>
      </c>
    </row>
    <row r="127" spans="1:34" ht="16.05" customHeight="1" thickBot="1">
      <c r="A127" s="8" t="s">
        <v>655</v>
      </c>
      <c r="B127" s="264">
        <v>7</v>
      </c>
      <c r="C127" s="4"/>
      <c r="D127" s="19"/>
      <c r="E127" s="21"/>
      <c r="F127" s="4"/>
      <c r="G127" s="6" t="s">
        <v>685</v>
      </c>
      <c r="H127" s="264">
        <v>9.5</v>
      </c>
      <c r="I127" s="41"/>
      <c r="J127" s="6" t="s">
        <v>673</v>
      </c>
      <c r="K127" s="264">
        <v>7</v>
      </c>
      <c r="L127" s="22"/>
      <c r="M127" s="81" t="s">
        <v>715</v>
      </c>
      <c r="N127" s="3">
        <f>ROUND(SUM(N128:N135)/COUNT(N128:N135), 2)</f>
        <v>9.1300000000000008</v>
      </c>
      <c r="O127" s="22"/>
      <c r="R127" s="60">
        <v>125</v>
      </c>
      <c r="S127" s="53" t="s">
        <v>429</v>
      </c>
      <c r="T127" s="53" t="s">
        <v>430</v>
      </c>
      <c r="U127" s="70">
        <v>7.29</v>
      </c>
      <c r="V127" s="246">
        <v>7.16</v>
      </c>
      <c r="W127" s="53">
        <v>7</v>
      </c>
      <c r="X127" s="53">
        <v>0.52</v>
      </c>
      <c r="Y127" s="53">
        <v>0</v>
      </c>
      <c r="Z127" s="53">
        <v>7</v>
      </c>
      <c r="AA127" s="53">
        <v>0</v>
      </c>
      <c r="AB127" s="53" t="s">
        <v>797</v>
      </c>
      <c r="AC127" s="70">
        <v>2021</v>
      </c>
      <c r="AD127" s="70" t="s">
        <v>2000</v>
      </c>
      <c r="AG127" s="69" t="s">
        <v>1138</v>
      </c>
      <c r="AH127" s="137" t="s">
        <v>2025</v>
      </c>
    </row>
    <row r="128" spans="1:34" ht="16.05" customHeight="1" thickBot="1">
      <c r="A128" s="8" t="s">
        <v>656</v>
      </c>
      <c r="B128" s="264">
        <v>8</v>
      </c>
      <c r="C128" s="4"/>
      <c r="D128" s="90" t="s">
        <v>884</v>
      </c>
      <c r="E128" s="3">
        <f>ROUND(SUM(E129:E144)/COUNT(E129:E144), 2)</f>
        <v>8.07</v>
      </c>
      <c r="F128" s="4"/>
      <c r="G128" s="6" t="s">
        <v>686</v>
      </c>
      <c r="H128" s="264">
        <v>10.5</v>
      </c>
      <c r="I128" s="4"/>
      <c r="J128" s="6" t="s">
        <v>674</v>
      </c>
      <c r="K128" s="264">
        <v>7</v>
      </c>
      <c r="L128" s="4"/>
      <c r="M128" s="13" t="s">
        <v>707</v>
      </c>
      <c r="N128" s="263">
        <v>8.5</v>
      </c>
      <c r="O128" s="22"/>
      <c r="R128" s="60">
        <v>126</v>
      </c>
      <c r="S128" s="69" t="s">
        <v>682</v>
      </c>
      <c r="T128" s="69" t="s">
        <v>683</v>
      </c>
      <c r="U128" s="71">
        <v>7.06</v>
      </c>
      <c r="V128" s="247">
        <v>6.99</v>
      </c>
      <c r="W128" s="69">
        <v>7</v>
      </c>
      <c r="X128" s="69">
        <v>0.44</v>
      </c>
      <c r="Y128" s="69">
        <v>0</v>
      </c>
      <c r="Z128" s="69">
        <v>10</v>
      </c>
      <c r="AA128" s="69">
        <v>1</v>
      </c>
      <c r="AB128" s="69" t="s">
        <v>790</v>
      </c>
      <c r="AC128" s="71">
        <v>2026</v>
      </c>
      <c r="AD128" s="71" t="s">
        <v>2001</v>
      </c>
      <c r="AG128" s="53" t="s">
        <v>1218</v>
      </c>
      <c r="AH128" s="138" t="s">
        <v>1229</v>
      </c>
    </row>
    <row r="129" spans="1:34" ht="16.05" customHeight="1" thickBot="1">
      <c r="A129" s="8" t="s">
        <v>657</v>
      </c>
      <c r="B129" s="264">
        <v>8.5</v>
      </c>
      <c r="C129" s="4"/>
      <c r="D129" s="13" t="s">
        <v>690</v>
      </c>
      <c r="E129" s="263">
        <v>7.5</v>
      </c>
      <c r="F129" s="4"/>
      <c r="G129" s="9" t="s">
        <v>687</v>
      </c>
      <c r="H129" s="265">
        <v>9</v>
      </c>
      <c r="I129" s="4"/>
      <c r="J129" s="6" t="s">
        <v>675</v>
      </c>
      <c r="K129" s="264">
        <v>6.5</v>
      </c>
      <c r="L129" s="4"/>
      <c r="M129" s="6" t="s">
        <v>708</v>
      </c>
      <c r="N129" s="264">
        <v>10</v>
      </c>
      <c r="O129" s="22"/>
      <c r="R129" s="60">
        <v>127</v>
      </c>
      <c r="S129" s="53" t="s">
        <v>345</v>
      </c>
      <c r="T129" s="53" t="s">
        <v>1833</v>
      </c>
      <c r="U129" s="70">
        <v>3.68</v>
      </c>
      <c r="V129" s="258">
        <v>3.37</v>
      </c>
      <c r="W129" s="53">
        <v>3</v>
      </c>
      <c r="X129" s="53">
        <v>1.37</v>
      </c>
      <c r="Y129" s="53">
        <v>0</v>
      </c>
      <c r="Z129" s="53">
        <v>11</v>
      </c>
      <c r="AA129" s="53">
        <v>0</v>
      </c>
      <c r="AB129" s="53" t="s">
        <v>788</v>
      </c>
      <c r="AC129" s="70">
        <v>2003</v>
      </c>
      <c r="AD129" s="70" t="s">
        <v>1958</v>
      </c>
      <c r="AG129" s="69" t="s">
        <v>1140</v>
      </c>
      <c r="AH129" s="137" t="s">
        <v>1141</v>
      </c>
    </row>
    <row r="130" spans="1:34" ht="16.05" customHeight="1" thickBot="1">
      <c r="A130" s="8" t="s">
        <v>658</v>
      </c>
      <c r="B130" s="264">
        <v>8</v>
      </c>
      <c r="C130" s="4"/>
      <c r="D130" s="6" t="s">
        <v>691</v>
      </c>
      <c r="E130" s="264"/>
      <c r="F130" s="4"/>
      <c r="G130" s="21"/>
      <c r="H130" s="21"/>
      <c r="I130" s="4"/>
      <c r="J130" s="6" t="s">
        <v>676</v>
      </c>
      <c r="K130" s="264">
        <v>8</v>
      </c>
      <c r="L130" s="4"/>
      <c r="M130" s="6" t="s">
        <v>709</v>
      </c>
      <c r="N130" s="264">
        <v>10</v>
      </c>
      <c r="O130" s="22"/>
      <c r="V130"/>
      <c r="W130"/>
      <c r="X130"/>
      <c r="Y130"/>
      <c r="Z130"/>
      <c r="AG130" s="53" t="s">
        <v>1142</v>
      </c>
      <c r="AH130" s="138" t="s">
        <v>1141</v>
      </c>
    </row>
    <row r="131" spans="1:34" ht="16.05" customHeight="1" thickBot="1">
      <c r="A131" s="8" t="s">
        <v>659</v>
      </c>
      <c r="B131" s="264">
        <v>9</v>
      </c>
      <c r="C131" s="4"/>
      <c r="D131" s="6" t="s">
        <v>692</v>
      </c>
      <c r="E131" s="264">
        <v>9</v>
      </c>
      <c r="F131" s="22"/>
      <c r="G131" s="89" t="s">
        <v>883</v>
      </c>
      <c r="H131" s="3">
        <f>ROUND(SUM(H132:H147)/COUNT(H132:H147), 2)</f>
        <v>8.67</v>
      </c>
      <c r="I131" s="4"/>
      <c r="J131" s="6" t="s">
        <v>677</v>
      </c>
      <c r="K131" s="264">
        <v>6.5</v>
      </c>
      <c r="L131" s="4"/>
      <c r="M131" s="6" t="s">
        <v>710</v>
      </c>
      <c r="N131" s="264">
        <v>10.5</v>
      </c>
      <c r="O131" s="22"/>
      <c r="R131" s="293" t="s">
        <v>1361</v>
      </c>
      <c r="S131" s="293"/>
      <c r="T131" s="293"/>
      <c r="U131" s="293"/>
      <c r="V131" s="293"/>
      <c r="W131" s="293"/>
      <c r="X131" s="293"/>
      <c r="Y131" s="293"/>
      <c r="Z131" s="293"/>
      <c r="AA131" s="293"/>
      <c r="AB131" s="293"/>
      <c r="AC131" s="293"/>
      <c r="AD131" s="293"/>
      <c r="AG131" s="69" t="s">
        <v>797</v>
      </c>
      <c r="AH131" s="137" t="s">
        <v>1143</v>
      </c>
    </row>
    <row r="132" spans="1:34" ht="16.05" customHeight="1" thickBot="1">
      <c r="A132" s="8" t="s">
        <v>660</v>
      </c>
      <c r="B132" s="264">
        <v>7.5</v>
      </c>
      <c r="C132" s="4"/>
      <c r="D132" s="6" t="s">
        <v>693</v>
      </c>
      <c r="E132" s="264">
        <v>10</v>
      </c>
      <c r="F132" s="4"/>
      <c r="G132" s="13" t="s">
        <v>716</v>
      </c>
      <c r="H132" s="263"/>
      <c r="I132" s="4"/>
      <c r="J132" s="6" t="s">
        <v>678</v>
      </c>
      <c r="K132" s="264">
        <v>7</v>
      </c>
      <c r="L132" s="4"/>
      <c r="M132" s="6" t="s">
        <v>711</v>
      </c>
      <c r="N132" s="264">
        <v>8.5</v>
      </c>
      <c r="O132" s="22"/>
      <c r="R132" s="52" t="s">
        <v>362</v>
      </c>
      <c r="S132" s="52" t="s">
        <v>329</v>
      </c>
      <c r="T132" s="52" t="s">
        <v>528</v>
      </c>
      <c r="U132" s="52" t="s">
        <v>525</v>
      </c>
      <c r="V132" s="52" t="s">
        <v>1018</v>
      </c>
      <c r="W132" s="52" t="s">
        <v>526</v>
      </c>
      <c r="X132" s="52" t="s">
        <v>332</v>
      </c>
      <c r="Y132" s="52" t="s">
        <v>333</v>
      </c>
      <c r="Z132" s="52" t="s">
        <v>334</v>
      </c>
      <c r="AA132" s="52" t="s">
        <v>335</v>
      </c>
      <c r="AB132" s="52" t="s">
        <v>926</v>
      </c>
      <c r="AC132" s="52" t="s">
        <v>2002</v>
      </c>
      <c r="AD132" s="52" t="s">
        <v>2003</v>
      </c>
    </row>
    <row r="133" spans="1:34" ht="16.05" customHeight="1" thickBot="1">
      <c r="A133" s="78"/>
      <c r="B133" s="19"/>
      <c r="C133" s="4"/>
      <c r="D133" s="6" t="s">
        <v>694</v>
      </c>
      <c r="E133" s="264">
        <v>8</v>
      </c>
      <c r="F133" s="4"/>
      <c r="G133" s="6" t="s">
        <v>717</v>
      </c>
      <c r="H133" s="264">
        <v>8</v>
      </c>
      <c r="I133" s="4"/>
      <c r="J133" s="6" t="s">
        <v>679</v>
      </c>
      <c r="K133" s="264">
        <v>7</v>
      </c>
      <c r="L133" s="4"/>
      <c r="M133" s="6" t="s">
        <v>712</v>
      </c>
      <c r="N133" s="264">
        <v>7.5</v>
      </c>
      <c r="O133" s="22"/>
      <c r="R133" s="61">
        <v>1</v>
      </c>
      <c r="S133" s="53" t="s">
        <v>342</v>
      </c>
      <c r="T133" s="70">
        <v>4</v>
      </c>
      <c r="U133" s="70">
        <v>9.44</v>
      </c>
      <c r="V133" s="278">
        <v>9.66</v>
      </c>
      <c r="W133" s="53">
        <v>9.44</v>
      </c>
      <c r="X133" s="53">
        <v>0.77</v>
      </c>
      <c r="Y133" s="53">
        <v>11</v>
      </c>
      <c r="Z133" s="53">
        <v>26</v>
      </c>
      <c r="AA133" s="53">
        <v>1</v>
      </c>
      <c r="AB133" s="53" t="s">
        <v>1046</v>
      </c>
      <c r="AC133" s="53" t="s">
        <v>2004</v>
      </c>
      <c r="AD133" s="53" t="s">
        <v>1993</v>
      </c>
      <c r="AG133" s="136" t="s">
        <v>2026</v>
      </c>
      <c r="AH133" s="136"/>
    </row>
    <row r="134" spans="1:34" ht="16.05" customHeight="1" thickBot="1">
      <c r="A134" s="117" t="s">
        <v>911</v>
      </c>
      <c r="B134" s="3">
        <f>ROUND(SUM(B135:B143)/COUNT(B135:B143), 2)</f>
        <v>8.67</v>
      </c>
      <c r="C134" s="4"/>
      <c r="D134" s="6" t="s">
        <v>695</v>
      </c>
      <c r="E134" s="264">
        <v>8.5</v>
      </c>
      <c r="F134" s="4"/>
      <c r="G134" s="6" t="s">
        <v>718</v>
      </c>
      <c r="H134" s="264">
        <v>8</v>
      </c>
      <c r="I134" s="4"/>
      <c r="J134" s="9" t="s">
        <v>680</v>
      </c>
      <c r="K134" s="265">
        <v>7</v>
      </c>
      <c r="L134" s="4"/>
      <c r="M134" s="6" t="s">
        <v>713</v>
      </c>
      <c r="N134" s="264">
        <v>9</v>
      </c>
      <c r="O134" s="22"/>
      <c r="R134" s="62">
        <v>2</v>
      </c>
      <c r="S134" s="69" t="s">
        <v>336</v>
      </c>
      <c r="T134" s="71">
        <v>5</v>
      </c>
      <c r="U134" s="71">
        <v>9.36</v>
      </c>
      <c r="V134" s="248">
        <v>9.68</v>
      </c>
      <c r="W134" s="69">
        <v>9.65</v>
      </c>
      <c r="X134" s="69">
        <v>0.91</v>
      </c>
      <c r="Y134" s="69">
        <v>22</v>
      </c>
      <c r="Z134" s="69">
        <v>58</v>
      </c>
      <c r="AA134" s="69">
        <v>14</v>
      </c>
      <c r="AB134" s="69" t="s">
        <v>1279</v>
      </c>
      <c r="AC134" s="69" t="s">
        <v>2005</v>
      </c>
      <c r="AD134" s="69" t="s">
        <v>1955</v>
      </c>
      <c r="AG134" s="53" t="s">
        <v>2027</v>
      </c>
      <c r="AH134" s="138" t="s">
        <v>2112</v>
      </c>
    </row>
    <row r="135" spans="1:34" ht="16.05" customHeight="1" thickBot="1">
      <c r="A135" s="13" t="s">
        <v>733</v>
      </c>
      <c r="B135" s="263">
        <v>9</v>
      </c>
      <c r="C135" s="4"/>
      <c r="D135" s="6" t="s">
        <v>696</v>
      </c>
      <c r="E135" s="264">
        <v>10</v>
      </c>
      <c r="F135" s="4"/>
      <c r="G135" s="6" t="s">
        <v>719</v>
      </c>
      <c r="H135" s="264">
        <v>10</v>
      </c>
      <c r="I135" s="4"/>
      <c r="J135" s="21"/>
      <c r="K135" s="21"/>
      <c r="L135" s="4"/>
      <c r="M135" s="9" t="s">
        <v>714</v>
      </c>
      <c r="N135" s="265">
        <v>9</v>
      </c>
      <c r="O135" s="22"/>
      <c r="R135" s="63">
        <v>3</v>
      </c>
      <c r="S135" s="53" t="s">
        <v>341</v>
      </c>
      <c r="T135" s="70">
        <v>3</v>
      </c>
      <c r="U135" s="70">
        <v>9.18</v>
      </c>
      <c r="V135" s="249">
        <v>9.1999999999999993</v>
      </c>
      <c r="W135" s="53">
        <v>8.92</v>
      </c>
      <c r="X135" s="53">
        <v>0.74</v>
      </c>
      <c r="Y135" s="53">
        <v>5</v>
      </c>
      <c r="Z135" s="53">
        <v>16</v>
      </c>
      <c r="AA135" s="53">
        <v>0</v>
      </c>
      <c r="AB135" s="53" t="s">
        <v>1424</v>
      </c>
      <c r="AC135" s="53" t="s">
        <v>2006</v>
      </c>
      <c r="AD135" s="53" t="s">
        <v>1974</v>
      </c>
      <c r="AG135" s="69" t="s">
        <v>2028</v>
      </c>
      <c r="AH135" s="137">
        <v>1969</v>
      </c>
    </row>
    <row r="136" spans="1:34" ht="16.05" customHeight="1" thickBot="1">
      <c r="A136" s="6" t="s">
        <v>734</v>
      </c>
      <c r="B136" s="264">
        <v>9</v>
      </c>
      <c r="C136" s="4"/>
      <c r="D136" s="6" t="s">
        <v>697</v>
      </c>
      <c r="E136" s="264">
        <v>8</v>
      </c>
      <c r="F136" s="4"/>
      <c r="G136" s="6" t="s">
        <v>720</v>
      </c>
      <c r="H136" s="264">
        <v>9</v>
      </c>
      <c r="I136" s="22"/>
      <c r="J136" s="260" t="s">
        <v>1847</v>
      </c>
      <c r="K136" s="14">
        <f>ROUND(SUM(K137:K147)/COUNT(K137:K147), 2)</f>
        <v>8.86</v>
      </c>
      <c r="L136" s="4"/>
      <c r="M136" s="21"/>
      <c r="N136" s="21"/>
      <c r="O136" s="22"/>
      <c r="R136" s="60">
        <v>4</v>
      </c>
      <c r="S136" s="69" t="s">
        <v>492</v>
      </c>
      <c r="T136" s="71">
        <v>3</v>
      </c>
      <c r="U136" s="71">
        <v>8.93</v>
      </c>
      <c r="V136" s="219">
        <v>8.9499999999999993</v>
      </c>
      <c r="W136" s="69">
        <v>8.83</v>
      </c>
      <c r="X136" s="69">
        <v>0.82</v>
      </c>
      <c r="Y136" s="69">
        <v>6</v>
      </c>
      <c r="Z136" s="69">
        <v>27</v>
      </c>
      <c r="AA136" s="69">
        <v>0</v>
      </c>
      <c r="AB136" s="69" t="s">
        <v>771</v>
      </c>
      <c r="AC136" s="69" t="s">
        <v>2007</v>
      </c>
      <c r="AD136" s="69" t="s">
        <v>1972</v>
      </c>
      <c r="AG136" s="53" t="s">
        <v>2029</v>
      </c>
      <c r="AH136" s="138">
        <v>2026</v>
      </c>
    </row>
    <row r="137" spans="1:34" ht="16.05" customHeight="1" thickBot="1">
      <c r="A137" s="6" t="s">
        <v>735</v>
      </c>
      <c r="B137" s="264">
        <v>8.5</v>
      </c>
      <c r="C137" s="4"/>
      <c r="D137" s="6" t="s">
        <v>698</v>
      </c>
      <c r="E137" s="264">
        <v>8</v>
      </c>
      <c r="F137" s="4"/>
      <c r="G137" s="6" t="s">
        <v>721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882</v>
      </c>
      <c r="N137" s="14">
        <f>ROUND(SUM(N138:N142)/COUNT(N138:N142), 2)</f>
        <v>9.4</v>
      </c>
      <c r="O137" s="22"/>
      <c r="R137" s="60">
        <v>5</v>
      </c>
      <c r="S137" s="53" t="s">
        <v>356</v>
      </c>
      <c r="T137" s="70">
        <v>2</v>
      </c>
      <c r="U137" s="70">
        <v>8.85</v>
      </c>
      <c r="V137" s="222">
        <v>8.84</v>
      </c>
      <c r="W137" s="53">
        <v>8.75</v>
      </c>
      <c r="X137" s="53">
        <v>0.73</v>
      </c>
      <c r="Y137" s="53">
        <v>4</v>
      </c>
      <c r="Z137" s="53">
        <v>25</v>
      </c>
      <c r="AA137" s="53">
        <v>0</v>
      </c>
      <c r="AB137" s="53" t="s">
        <v>1897</v>
      </c>
      <c r="AC137" s="53" t="s">
        <v>2008</v>
      </c>
      <c r="AD137" s="53" t="s">
        <v>1971</v>
      </c>
      <c r="AG137" s="69" t="s">
        <v>2030</v>
      </c>
      <c r="AH137" s="137" t="s">
        <v>2031</v>
      </c>
    </row>
    <row r="138" spans="1:34" ht="16.05" customHeight="1">
      <c r="A138" s="6" t="s">
        <v>736</v>
      </c>
      <c r="B138" s="264">
        <v>9</v>
      </c>
      <c r="C138" s="4"/>
      <c r="D138" s="6" t="s">
        <v>699</v>
      </c>
      <c r="E138" s="264">
        <v>7</v>
      </c>
      <c r="F138" s="4"/>
      <c r="G138" s="6" t="s">
        <v>722</v>
      </c>
      <c r="H138" s="264">
        <v>10.5</v>
      </c>
      <c r="I138" s="22"/>
      <c r="J138" s="6" t="s">
        <v>744</v>
      </c>
      <c r="K138" s="264">
        <v>10</v>
      </c>
      <c r="L138" s="22"/>
      <c r="M138" s="13" t="s">
        <v>756</v>
      </c>
      <c r="N138" s="263">
        <v>8.5</v>
      </c>
      <c r="O138" s="22"/>
      <c r="R138" s="60">
        <v>6</v>
      </c>
      <c r="S138" s="69" t="s">
        <v>351</v>
      </c>
      <c r="T138" s="71">
        <v>2</v>
      </c>
      <c r="U138" s="71">
        <v>8.83</v>
      </c>
      <c r="V138" s="179">
        <v>8.85</v>
      </c>
      <c r="W138" s="69">
        <v>8.5</v>
      </c>
      <c r="X138" s="69">
        <v>0.88</v>
      </c>
      <c r="Y138" s="69">
        <v>4</v>
      </c>
      <c r="Z138" s="69">
        <v>18</v>
      </c>
      <c r="AA138" s="69">
        <v>0</v>
      </c>
      <c r="AB138" s="69" t="s">
        <v>2090</v>
      </c>
      <c r="AC138" s="69" t="s">
        <v>2009</v>
      </c>
      <c r="AD138" s="69" t="s">
        <v>1974</v>
      </c>
      <c r="AG138" s="53" t="s">
        <v>2032</v>
      </c>
      <c r="AH138" s="138" t="s">
        <v>2033</v>
      </c>
    </row>
    <row r="139" spans="1:34" ht="16.05" customHeight="1">
      <c r="A139" s="6" t="s">
        <v>737</v>
      </c>
      <c r="B139" s="264">
        <v>10</v>
      </c>
      <c r="C139" s="4"/>
      <c r="D139" s="6" t="s">
        <v>700</v>
      </c>
      <c r="E139" s="264">
        <v>6.5</v>
      </c>
      <c r="F139" s="4"/>
      <c r="G139" s="6" t="s">
        <v>723</v>
      </c>
      <c r="H139" s="264">
        <v>8</v>
      </c>
      <c r="I139" s="22"/>
      <c r="J139" s="6" t="s">
        <v>745</v>
      </c>
      <c r="K139" s="264">
        <v>8.5</v>
      </c>
      <c r="L139" s="22"/>
      <c r="M139" s="6" t="s">
        <v>757</v>
      </c>
      <c r="N139" s="264">
        <v>10.5</v>
      </c>
      <c r="O139" s="22"/>
      <c r="R139" s="60">
        <v>7</v>
      </c>
      <c r="S139" s="53" t="s">
        <v>355</v>
      </c>
      <c r="T139" s="70">
        <v>3</v>
      </c>
      <c r="U139" s="70">
        <v>8.77</v>
      </c>
      <c r="V139" s="180">
        <v>8.7899999999999991</v>
      </c>
      <c r="W139" s="53">
        <v>8.67</v>
      </c>
      <c r="X139" s="53">
        <v>0.81</v>
      </c>
      <c r="Y139" s="53">
        <v>6</v>
      </c>
      <c r="Z139" s="53">
        <v>34</v>
      </c>
      <c r="AA139" s="53">
        <v>1</v>
      </c>
      <c r="AB139" s="53" t="s">
        <v>1680</v>
      </c>
      <c r="AC139" s="53" t="s">
        <v>2010</v>
      </c>
      <c r="AD139" s="53" t="s">
        <v>1984</v>
      </c>
    </row>
    <row r="140" spans="1:34" ht="16.05" customHeight="1">
      <c r="A140" s="6" t="s">
        <v>738</v>
      </c>
      <c r="B140" s="264">
        <v>8</v>
      </c>
      <c r="C140" s="4"/>
      <c r="D140" s="6" t="s">
        <v>701</v>
      </c>
      <c r="E140" s="264">
        <v>7</v>
      </c>
      <c r="F140" s="4"/>
      <c r="G140" s="6" t="s">
        <v>724</v>
      </c>
      <c r="H140" s="264">
        <v>8</v>
      </c>
      <c r="I140" s="22"/>
      <c r="J140" s="6" t="s">
        <v>746</v>
      </c>
      <c r="K140" s="264">
        <v>10</v>
      </c>
      <c r="L140" s="22"/>
      <c r="M140" s="6" t="s">
        <v>758</v>
      </c>
      <c r="N140" s="264">
        <v>10</v>
      </c>
      <c r="O140" s="22"/>
      <c r="R140" s="60">
        <v>8</v>
      </c>
      <c r="S140" s="69" t="s">
        <v>1466</v>
      </c>
      <c r="T140" s="71">
        <v>2</v>
      </c>
      <c r="U140" s="71">
        <v>8.77</v>
      </c>
      <c r="V140" s="183">
        <v>8.67</v>
      </c>
      <c r="W140" s="69">
        <v>8.5</v>
      </c>
      <c r="X140" s="69">
        <v>0.62</v>
      </c>
      <c r="Y140" s="69">
        <v>2</v>
      </c>
      <c r="Z140" s="69">
        <v>17</v>
      </c>
      <c r="AA140" s="69">
        <v>1</v>
      </c>
      <c r="AB140" s="69" t="s">
        <v>1730</v>
      </c>
      <c r="AC140" s="69">
        <v>2016</v>
      </c>
      <c r="AD140" s="69" t="s">
        <v>2011</v>
      </c>
      <c r="AG140" s="136" t="s">
        <v>2034</v>
      </c>
      <c r="AH140" s="136"/>
    </row>
    <row r="141" spans="1:34" ht="16.05" customHeight="1">
      <c r="A141" s="6" t="s">
        <v>739</v>
      </c>
      <c r="B141" s="264">
        <v>8.5</v>
      </c>
      <c r="C141" s="4"/>
      <c r="D141" s="6" t="s">
        <v>702</v>
      </c>
      <c r="E141" s="264">
        <v>7.5</v>
      </c>
      <c r="F141" s="4"/>
      <c r="G141" s="6" t="s">
        <v>725</v>
      </c>
      <c r="H141" s="264">
        <v>10.5</v>
      </c>
      <c r="I141" s="22"/>
      <c r="J141" s="6" t="s">
        <v>747</v>
      </c>
      <c r="K141" s="264">
        <v>9</v>
      </c>
      <c r="L141" s="22"/>
      <c r="M141" s="6" t="s">
        <v>759</v>
      </c>
      <c r="N141" s="264">
        <v>9.5</v>
      </c>
      <c r="O141" s="22"/>
      <c r="R141" s="60">
        <v>9</v>
      </c>
      <c r="S141" s="53" t="s">
        <v>337</v>
      </c>
      <c r="T141" s="70">
        <v>9</v>
      </c>
      <c r="U141" s="70">
        <v>8.67</v>
      </c>
      <c r="V141" s="180">
        <v>8.7899999999999991</v>
      </c>
      <c r="W141" s="53">
        <v>8.69</v>
      </c>
      <c r="X141" s="53">
        <v>0.86</v>
      </c>
      <c r="Y141" s="53">
        <v>20</v>
      </c>
      <c r="Z141" s="53">
        <v>101</v>
      </c>
      <c r="AA141" s="53">
        <v>4</v>
      </c>
      <c r="AB141" s="53" t="s">
        <v>960</v>
      </c>
      <c r="AC141" s="53" t="s">
        <v>2012</v>
      </c>
      <c r="AD141" s="53" t="s">
        <v>1965</v>
      </c>
      <c r="AG141" s="69" t="s">
        <v>2035</v>
      </c>
      <c r="AH141" s="137" t="s">
        <v>2036</v>
      </c>
    </row>
    <row r="142" spans="1:34" ht="16.05" customHeight="1" thickBot="1">
      <c r="A142" s="6" t="s">
        <v>740</v>
      </c>
      <c r="B142" s="264">
        <v>8</v>
      </c>
      <c r="C142" s="4"/>
      <c r="D142" s="6" t="s">
        <v>703</v>
      </c>
      <c r="E142" s="264">
        <v>7</v>
      </c>
      <c r="F142" s="4"/>
      <c r="G142" s="6" t="s">
        <v>726</v>
      </c>
      <c r="H142" s="264">
        <v>8</v>
      </c>
      <c r="I142" s="22"/>
      <c r="J142" s="6" t="s">
        <v>748</v>
      </c>
      <c r="K142" s="264">
        <v>8.5</v>
      </c>
      <c r="L142" s="22"/>
      <c r="M142" s="9" t="s">
        <v>760</v>
      </c>
      <c r="N142" s="265">
        <v>8.5</v>
      </c>
      <c r="O142" s="22"/>
      <c r="R142" s="60">
        <v>10</v>
      </c>
      <c r="S142" s="69" t="s">
        <v>1552</v>
      </c>
      <c r="T142" s="71">
        <v>2</v>
      </c>
      <c r="U142" s="71">
        <v>8.6300000000000008</v>
      </c>
      <c r="V142" s="250">
        <v>8.59</v>
      </c>
      <c r="W142" s="69">
        <v>8.5</v>
      </c>
      <c r="X142" s="69">
        <v>1.05</v>
      </c>
      <c r="Y142" s="69">
        <v>4</v>
      </c>
      <c r="Z142" s="69">
        <v>22</v>
      </c>
      <c r="AA142" s="69">
        <v>2</v>
      </c>
      <c r="AB142" s="69" t="s">
        <v>1615</v>
      </c>
      <c r="AC142" s="69" t="s">
        <v>2013</v>
      </c>
      <c r="AD142" s="69" t="s">
        <v>1997</v>
      </c>
      <c r="AG142" s="53" t="s">
        <v>2037</v>
      </c>
      <c r="AH142" s="138" t="s">
        <v>2038</v>
      </c>
    </row>
    <row r="143" spans="1:34" ht="16.05" customHeight="1" thickBot="1">
      <c r="A143" s="9" t="s">
        <v>741</v>
      </c>
      <c r="B143" s="265">
        <v>8</v>
      </c>
      <c r="C143" s="4"/>
      <c r="D143" s="6" t="s">
        <v>704</v>
      </c>
      <c r="E143" s="264">
        <v>9</v>
      </c>
      <c r="F143" s="4"/>
      <c r="G143" s="6" t="s">
        <v>727</v>
      </c>
      <c r="H143" s="264">
        <v>7</v>
      </c>
      <c r="I143" s="22"/>
      <c r="J143" s="6" t="s">
        <v>749</v>
      </c>
      <c r="K143" s="264">
        <v>8</v>
      </c>
      <c r="L143" s="4"/>
      <c r="M143" s="21"/>
      <c r="N143" s="21"/>
      <c r="O143" s="22"/>
      <c r="R143" s="60">
        <v>11</v>
      </c>
      <c r="S143" s="53" t="s">
        <v>344</v>
      </c>
      <c r="T143" s="70">
        <v>8</v>
      </c>
      <c r="U143" s="70">
        <v>8.58</v>
      </c>
      <c r="V143" s="185">
        <v>8.5500000000000007</v>
      </c>
      <c r="W143" s="53">
        <v>8.4700000000000006</v>
      </c>
      <c r="X143" s="53">
        <v>0.76</v>
      </c>
      <c r="Y143" s="53">
        <v>7</v>
      </c>
      <c r="Z143" s="53">
        <v>60</v>
      </c>
      <c r="AA143" s="53">
        <v>2</v>
      </c>
      <c r="AB143" s="53" t="s">
        <v>2081</v>
      </c>
      <c r="AC143" s="53" t="s">
        <v>2082</v>
      </c>
      <c r="AD143" s="53" t="s">
        <v>1969</v>
      </c>
      <c r="AG143" s="69" t="s">
        <v>2039</v>
      </c>
      <c r="AH143" s="137" t="s">
        <v>2040</v>
      </c>
    </row>
    <row r="144" spans="1:34" ht="16.05" customHeight="1" thickBot="1">
      <c r="A144" s="21"/>
      <c r="B144" s="21"/>
      <c r="C144" s="4"/>
      <c r="D144" s="9" t="s">
        <v>705</v>
      </c>
      <c r="E144" s="265"/>
      <c r="F144" s="4"/>
      <c r="G144" s="6" t="s">
        <v>728</v>
      </c>
      <c r="H144" s="264">
        <v>10</v>
      </c>
      <c r="I144" s="22"/>
      <c r="J144" s="6" t="s">
        <v>750</v>
      </c>
      <c r="K144" s="264">
        <v>8.5</v>
      </c>
      <c r="L144" s="22"/>
      <c r="M144" s="82" t="s">
        <v>801</v>
      </c>
      <c r="N144" s="14">
        <f>ROUND(SUM(N145:N150)/COUNT(N145:N150), 2)</f>
        <v>8.67</v>
      </c>
      <c r="O144" s="22"/>
      <c r="R144" s="60">
        <v>12</v>
      </c>
      <c r="S144" s="69" t="s">
        <v>732</v>
      </c>
      <c r="T144" s="71">
        <v>3</v>
      </c>
      <c r="U144" s="71">
        <v>8.5500000000000007</v>
      </c>
      <c r="V144" s="185">
        <v>8.5500000000000007</v>
      </c>
      <c r="W144" s="69">
        <v>8.17</v>
      </c>
      <c r="X144" s="69">
        <v>0.83</v>
      </c>
      <c r="Y144" s="69">
        <v>6</v>
      </c>
      <c r="Z144" s="69">
        <v>46</v>
      </c>
      <c r="AA144" s="69">
        <v>4</v>
      </c>
      <c r="AB144" s="69" t="s">
        <v>1468</v>
      </c>
      <c r="AC144" s="69" t="s">
        <v>2014</v>
      </c>
      <c r="AD144" s="69" t="s">
        <v>1977</v>
      </c>
      <c r="AG144" s="53" t="s">
        <v>2041</v>
      </c>
      <c r="AH144" s="138" t="s">
        <v>2042</v>
      </c>
    </row>
    <row r="145" spans="1:34" ht="16.05" customHeight="1" thickBot="1">
      <c r="A145" s="87" t="s">
        <v>881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729</v>
      </c>
      <c r="H145" s="264">
        <v>8.5</v>
      </c>
      <c r="I145" s="22"/>
      <c r="J145" s="6" t="s">
        <v>751</v>
      </c>
      <c r="K145" s="264">
        <v>8</v>
      </c>
      <c r="L145" s="4"/>
      <c r="M145" s="13" t="s">
        <v>761</v>
      </c>
      <c r="N145" s="263">
        <v>10</v>
      </c>
      <c r="O145" s="22"/>
      <c r="R145" s="60">
        <v>13</v>
      </c>
      <c r="S145" s="53" t="s">
        <v>349</v>
      </c>
      <c r="T145" s="70">
        <v>2</v>
      </c>
      <c r="U145" s="70">
        <v>8.5399999999999991</v>
      </c>
      <c r="V145" s="229">
        <v>8.4700000000000006</v>
      </c>
      <c r="W145" s="53">
        <v>8.5</v>
      </c>
      <c r="X145" s="53">
        <v>0.78</v>
      </c>
      <c r="Y145" s="53">
        <v>3</v>
      </c>
      <c r="Z145" s="53">
        <v>20</v>
      </c>
      <c r="AA145" s="53">
        <v>0</v>
      </c>
      <c r="AB145" s="53" t="s">
        <v>1950</v>
      </c>
      <c r="AC145" s="53" t="s">
        <v>2015</v>
      </c>
      <c r="AD145" s="53" t="s">
        <v>1970</v>
      </c>
      <c r="AG145" s="69" t="s">
        <v>2043</v>
      </c>
      <c r="AH145" s="137" t="s">
        <v>2044</v>
      </c>
    </row>
    <row r="146" spans="1:34" ht="16.05" customHeight="1" thickBot="1">
      <c r="A146" s="13" t="s">
        <v>802</v>
      </c>
      <c r="B146" s="263">
        <v>8</v>
      </c>
      <c r="C146" s="22"/>
      <c r="D146" s="83" t="s">
        <v>831</v>
      </c>
      <c r="E146" s="14">
        <f>ROUND(SUM(E147:E159)/COUNT(E147:E159), 2)</f>
        <v>8.82</v>
      </c>
      <c r="F146" s="4"/>
      <c r="G146" s="6" t="s">
        <v>730</v>
      </c>
      <c r="H146" s="264">
        <v>8</v>
      </c>
      <c r="I146" s="22"/>
      <c r="J146" s="6" t="s">
        <v>752</v>
      </c>
      <c r="K146" s="264">
        <v>8</v>
      </c>
      <c r="L146" s="4"/>
      <c r="M146" s="6" t="s">
        <v>762</v>
      </c>
      <c r="N146" s="264">
        <v>8</v>
      </c>
      <c r="O146" s="22"/>
      <c r="R146" s="60">
        <v>14</v>
      </c>
      <c r="S146" s="69" t="s">
        <v>1171</v>
      </c>
      <c r="T146" s="71">
        <v>2</v>
      </c>
      <c r="U146" s="71">
        <v>8.52</v>
      </c>
      <c r="V146" s="253">
        <v>8.4499999999999993</v>
      </c>
      <c r="W146" s="69">
        <v>8.25</v>
      </c>
      <c r="X146" s="69">
        <v>0.96</v>
      </c>
      <c r="Y146" s="69">
        <v>6</v>
      </c>
      <c r="Z146" s="69">
        <v>41</v>
      </c>
      <c r="AA146" s="69">
        <v>2</v>
      </c>
      <c r="AB146" s="69" t="s">
        <v>1782</v>
      </c>
      <c r="AC146" s="69" t="s">
        <v>2016</v>
      </c>
      <c r="AD146" s="69" t="s">
        <v>2017</v>
      </c>
      <c r="AG146" s="53" t="s">
        <v>2045</v>
      </c>
      <c r="AH146" s="138" t="s">
        <v>2092</v>
      </c>
    </row>
    <row r="147" spans="1:34" ht="16.05" customHeight="1" thickBot="1">
      <c r="A147" s="6" t="s">
        <v>803</v>
      </c>
      <c r="B147" s="264">
        <v>9</v>
      </c>
      <c r="C147" s="22"/>
      <c r="D147" s="13" t="s">
        <v>819</v>
      </c>
      <c r="E147" s="263">
        <v>9</v>
      </c>
      <c r="F147" s="4"/>
      <c r="G147" s="9" t="s">
        <v>731</v>
      </c>
      <c r="H147" s="265">
        <v>8</v>
      </c>
      <c r="I147" s="22"/>
      <c r="J147" s="9" t="s">
        <v>753</v>
      </c>
      <c r="K147" s="265">
        <v>9</v>
      </c>
      <c r="L147" s="4"/>
      <c r="M147" s="6" t="s">
        <v>763</v>
      </c>
      <c r="N147" s="264">
        <v>9</v>
      </c>
      <c r="O147" s="22"/>
      <c r="R147" s="60">
        <v>15</v>
      </c>
      <c r="S147" s="53" t="s">
        <v>347</v>
      </c>
      <c r="T147" s="70">
        <v>4</v>
      </c>
      <c r="U147" s="70">
        <v>8.4600000000000009</v>
      </c>
      <c r="V147" s="285">
        <v>8.4</v>
      </c>
      <c r="W147" s="53">
        <v>8.25</v>
      </c>
      <c r="X147" s="53">
        <v>0.95</v>
      </c>
      <c r="Y147" s="53">
        <v>8</v>
      </c>
      <c r="Z147" s="53">
        <v>53</v>
      </c>
      <c r="AA147" s="53">
        <v>4</v>
      </c>
      <c r="AB147" s="53" t="s">
        <v>1599</v>
      </c>
      <c r="AC147" s="53" t="s">
        <v>2018</v>
      </c>
      <c r="AD147" s="53" t="s">
        <v>2011</v>
      </c>
      <c r="AG147" s="69" t="s">
        <v>2046</v>
      </c>
      <c r="AH147" s="137" t="s">
        <v>2085</v>
      </c>
    </row>
    <row r="148" spans="1:34" ht="16.05" customHeight="1" thickBot="1">
      <c r="A148" s="6" t="s">
        <v>804</v>
      </c>
      <c r="B148" s="264">
        <v>10</v>
      </c>
      <c r="C148" s="22"/>
      <c r="D148" s="6" t="s">
        <v>820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764</v>
      </c>
      <c r="N148" s="264">
        <v>8</v>
      </c>
      <c r="O148" s="22"/>
      <c r="R148" s="60">
        <v>16</v>
      </c>
      <c r="S148" s="69" t="s">
        <v>348</v>
      </c>
      <c r="T148" s="71">
        <v>2</v>
      </c>
      <c r="U148" s="71">
        <v>8.39</v>
      </c>
      <c r="V148" s="233">
        <v>8.3699999999999992</v>
      </c>
      <c r="W148" s="69">
        <v>8.25</v>
      </c>
      <c r="X148" s="69">
        <v>0.72</v>
      </c>
      <c r="Y148" s="69">
        <v>2</v>
      </c>
      <c r="Z148" s="69">
        <v>20</v>
      </c>
      <c r="AA148" s="69">
        <v>0</v>
      </c>
      <c r="AB148" s="69" t="s">
        <v>791</v>
      </c>
      <c r="AC148" s="69" t="s">
        <v>2019</v>
      </c>
      <c r="AD148" s="69" t="s">
        <v>1956</v>
      </c>
    </row>
    <row r="149" spans="1:34" ht="16.05" customHeight="1" thickBot="1">
      <c r="A149" s="6" t="s">
        <v>805</v>
      </c>
      <c r="B149" s="264">
        <v>8</v>
      </c>
      <c r="C149" s="22"/>
      <c r="D149" s="6" t="s">
        <v>821</v>
      </c>
      <c r="E149" s="264">
        <v>10</v>
      </c>
      <c r="F149" s="22"/>
      <c r="G149" s="86" t="s">
        <v>880</v>
      </c>
      <c r="H149" s="14">
        <f>ROUND(SUM(H150:H163)/COUNT(H150:H163), 2)</f>
        <v>8.7100000000000009</v>
      </c>
      <c r="I149" s="22"/>
      <c r="J149" s="84" t="s">
        <v>856</v>
      </c>
      <c r="K149" s="14">
        <f>ROUND(SUM(K150:K163)/COUNT(K150:K163), 2)</f>
        <v>8.5</v>
      </c>
      <c r="L149" s="4"/>
      <c r="M149" s="6" t="s">
        <v>765</v>
      </c>
      <c r="N149" s="264">
        <v>8</v>
      </c>
      <c r="O149" s="22"/>
      <c r="R149" s="60">
        <v>17</v>
      </c>
      <c r="S149" s="53" t="s">
        <v>832</v>
      </c>
      <c r="T149" s="70">
        <v>2</v>
      </c>
      <c r="U149" s="70">
        <v>8.07</v>
      </c>
      <c r="V149" s="289">
        <v>7.99</v>
      </c>
      <c r="W149" s="53">
        <v>8.1300000000000008</v>
      </c>
      <c r="X149" s="53">
        <v>0.8</v>
      </c>
      <c r="Y149" s="53">
        <v>3</v>
      </c>
      <c r="Z149" s="53">
        <v>31</v>
      </c>
      <c r="AA149" s="53">
        <v>2</v>
      </c>
      <c r="AB149" s="53" t="s">
        <v>2020</v>
      </c>
      <c r="AC149" s="53" t="s">
        <v>2021</v>
      </c>
      <c r="AD149" s="53" t="s">
        <v>1997</v>
      </c>
      <c r="AG149" s="136" t="s">
        <v>2047</v>
      </c>
      <c r="AH149" s="136"/>
    </row>
    <row r="150" spans="1:34" ht="16.05" customHeight="1" thickBot="1">
      <c r="A150" s="6" t="s">
        <v>806</v>
      </c>
      <c r="B150" s="264">
        <v>7</v>
      </c>
      <c r="C150" s="22"/>
      <c r="D150" s="6" t="s">
        <v>822</v>
      </c>
      <c r="E150" s="264"/>
      <c r="F150" s="4"/>
      <c r="G150" s="13" t="s">
        <v>840</v>
      </c>
      <c r="H150" s="263">
        <v>10</v>
      </c>
      <c r="I150" s="22"/>
      <c r="J150" s="13" t="s">
        <v>857</v>
      </c>
      <c r="K150" s="263">
        <v>10</v>
      </c>
      <c r="L150" s="4"/>
      <c r="M150" s="9" t="s">
        <v>766</v>
      </c>
      <c r="N150" s="265">
        <v>9</v>
      </c>
      <c r="O150" s="22"/>
      <c r="R150" s="60">
        <v>18</v>
      </c>
      <c r="S150" s="69" t="s">
        <v>345</v>
      </c>
      <c r="T150" s="71">
        <v>5</v>
      </c>
      <c r="U150" s="71">
        <v>7.9</v>
      </c>
      <c r="V150" s="259">
        <v>7.94</v>
      </c>
      <c r="W150" s="69">
        <v>7.75</v>
      </c>
      <c r="X150" s="69">
        <v>1.07</v>
      </c>
      <c r="Y150" s="69">
        <v>11</v>
      </c>
      <c r="Z150" s="69">
        <v>48</v>
      </c>
      <c r="AA150" s="69">
        <v>0</v>
      </c>
      <c r="AB150" s="69" t="s">
        <v>1848</v>
      </c>
      <c r="AC150" s="69" t="s">
        <v>2022</v>
      </c>
      <c r="AD150" s="69" t="s">
        <v>1969</v>
      </c>
      <c r="AG150" s="53" t="s">
        <v>2048</v>
      </c>
      <c r="AH150" s="138" t="s">
        <v>2112</v>
      </c>
    </row>
    <row r="151" spans="1:34" ht="16.05" customHeight="1" thickBot="1">
      <c r="A151" s="6" t="s">
        <v>807</v>
      </c>
      <c r="B151" s="264">
        <v>9.5</v>
      </c>
      <c r="C151" s="22"/>
      <c r="D151" s="6" t="s">
        <v>823</v>
      </c>
      <c r="E151" s="264">
        <v>9</v>
      </c>
      <c r="F151" s="4"/>
      <c r="G151" s="6" t="s">
        <v>841</v>
      </c>
      <c r="H151" s="264">
        <v>9</v>
      </c>
      <c r="I151" s="22"/>
      <c r="J151" s="6" t="s">
        <v>858</v>
      </c>
      <c r="K151" s="264">
        <v>9</v>
      </c>
      <c r="L151" s="4"/>
      <c r="M151" s="21"/>
      <c r="N151" s="21"/>
      <c r="O151" s="22"/>
      <c r="V151"/>
      <c r="W151"/>
      <c r="X151"/>
      <c r="Y151"/>
      <c r="Z151"/>
      <c r="AG151" s="69" t="s">
        <v>2049</v>
      </c>
      <c r="AH151" s="137" t="s">
        <v>1997</v>
      </c>
    </row>
    <row r="152" spans="1:34" ht="16.05" customHeight="1" thickBot="1">
      <c r="A152" s="6" t="s">
        <v>808</v>
      </c>
      <c r="B152" s="264">
        <v>8.5</v>
      </c>
      <c r="C152" s="22"/>
      <c r="D152" s="6" t="s">
        <v>824</v>
      </c>
      <c r="E152" s="264">
        <v>7.5</v>
      </c>
      <c r="F152" s="4"/>
      <c r="G152" s="6" t="s">
        <v>842</v>
      </c>
      <c r="H152" s="264">
        <v>8.5</v>
      </c>
      <c r="I152" s="22"/>
      <c r="J152" s="6" t="s">
        <v>859</v>
      </c>
      <c r="K152" s="264">
        <v>9</v>
      </c>
      <c r="L152" s="22"/>
      <c r="M152" s="85" t="s">
        <v>873</v>
      </c>
      <c r="N152" s="14">
        <f>ROUND(SUM(N153:N159)/COUNT(N153:N159), 2)</f>
        <v>8.7100000000000009</v>
      </c>
      <c r="O152" s="22"/>
      <c r="R152" s="293" t="s">
        <v>1816</v>
      </c>
      <c r="S152" s="293"/>
      <c r="T152" s="293"/>
      <c r="U152" s="293"/>
      <c r="V152" s="293"/>
      <c r="W152"/>
      <c r="X152"/>
      <c r="Y152"/>
      <c r="Z152"/>
      <c r="AG152" s="53" t="s">
        <v>2050</v>
      </c>
      <c r="AH152" s="138" t="s">
        <v>2051</v>
      </c>
    </row>
    <row r="153" spans="1:34" ht="16.05" customHeight="1">
      <c r="A153" s="6" t="s">
        <v>809</v>
      </c>
      <c r="B153" s="264">
        <v>8</v>
      </c>
      <c r="C153" s="22"/>
      <c r="D153" s="6" t="s">
        <v>825</v>
      </c>
      <c r="E153" s="264">
        <v>8</v>
      </c>
      <c r="F153" s="4"/>
      <c r="G153" s="6" t="s">
        <v>843</v>
      </c>
      <c r="H153" s="264">
        <v>10.5</v>
      </c>
      <c r="I153" s="22"/>
      <c r="J153" s="6" t="s">
        <v>860</v>
      </c>
      <c r="K153" s="264">
        <v>8.5</v>
      </c>
      <c r="L153" s="22"/>
      <c r="M153" s="13" t="s">
        <v>874</v>
      </c>
      <c r="N153" s="263">
        <v>9</v>
      </c>
      <c r="O153" s="22"/>
      <c r="R153" s="52" t="s">
        <v>362</v>
      </c>
      <c r="S153" s="52" t="s">
        <v>329</v>
      </c>
      <c r="T153" s="52" t="s">
        <v>330</v>
      </c>
      <c r="U153" s="52" t="s">
        <v>331</v>
      </c>
      <c r="V153" s="52" t="s">
        <v>1018</v>
      </c>
      <c r="W153"/>
      <c r="X153"/>
      <c r="Y153"/>
      <c r="Z153"/>
      <c r="AG153" s="69" t="s">
        <v>2052</v>
      </c>
      <c r="AH153" s="137" t="s">
        <v>2053</v>
      </c>
    </row>
    <row r="154" spans="1:34" ht="16.05" customHeight="1">
      <c r="A154" s="6" t="s">
        <v>810</v>
      </c>
      <c r="B154" s="264">
        <v>7.5</v>
      </c>
      <c r="C154" s="22"/>
      <c r="D154" s="6" t="s">
        <v>826</v>
      </c>
      <c r="E154" s="264">
        <v>10</v>
      </c>
      <c r="F154" s="4"/>
      <c r="G154" s="6" t="s">
        <v>844</v>
      </c>
      <c r="H154" s="264">
        <v>8</v>
      </c>
      <c r="I154" s="22"/>
      <c r="J154" s="6" t="s">
        <v>861</v>
      </c>
      <c r="K154" s="264">
        <v>8</v>
      </c>
      <c r="L154" s="22"/>
      <c r="M154" s="6" t="s">
        <v>875</v>
      </c>
      <c r="N154" s="264">
        <v>8</v>
      </c>
      <c r="O154" s="22"/>
      <c r="R154" s="61">
        <v>1</v>
      </c>
      <c r="S154" s="53" t="s">
        <v>1012</v>
      </c>
      <c r="T154" s="53" t="s">
        <v>1010</v>
      </c>
      <c r="U154" s="70">
        <v>10.5</v>
      </c>
      <c r="V154" s="127">
        <v>10.85</v>
      </c>
      <c r="W154"/>
      <c r="X154"/>
      <c r="Y154"/>
      <c r="Z154"/>
    </row>
    <row r="155" spans="1:34" ht="16.05" customHeight="1">
      <c r="A155" s="6" t="s">
        <v>811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862</v>
      </c>
      <c r="K155" s="264">
        <v>8</v>
      </c>
      <c r="L155" s="22"/>
      <c r="M155" s="6" t="s">
        <v>876</v>
      </c>
      <c r="N155" s="264">
        <v>9.5</v>
      </c>
      <c r="O155" s="22"/>
      <c r="R155" s="62">
        <v>2</v>
      </c>
      <c r="S155" s="69" t="s">
        <v>336</v>
      </c>
      <c r="T155" s="69" t="s">
        <v>7</v>
      </c>
      <c r="U155" s="71">
        <v>9.89</v>
      </c>
      <c r="V155" s="127">
        <v>10.52</v>
      </c>
      <c r="W155"/>
      <c r="X155"/>
      <c r="Y155"/>
      <c r="Z155"/>
      <c r="AG155" s="136" t="s">
        <v>2054</v>
      </c>
      <c r="AH155" s="136"/>
    </row>
    <row r="156" spans="1:34" ht="16.05" customHeight="1">
      <c r="A156" s="6" t="s">
        <v>812</v>
      </c>
      <c r="B156" s="264">
        <v>10</v>
      </c>
      <c r="C156" s="22"/>
      <c r="D156" s="6" t="s">
        <v>827</v>
      </c>
      <c r="E156" s="264">
        <v>8</v>
      </c>
      <c r="F156" s="4"/>
      <c r="G156" s="6" t="s">
        <v>845</v>
      </c>
      <c r="H156" s="264">
        <v>8</v>
      </c>
      <c r="I156" s="22"/>
      <c r="J156" s="6" t="s">
        <v>863</v>
      </c>
      <c r="K156" s="264">
        <v>7.5</v>
      </c>
      <c r="L156" s="22"/>
      <c r="M156" s="6" t="s">
        <v>877</v>
      </c>
      <c r="N156" s="264">
        <v>8.5</v>
      </c>
      <c r="O156" s="22"/>
      <c r="R156" s="63">
        <v>3</v>
      </c>
      <c r="S156" s="53" t="s">
        <v>342</v>
      </c>
      <c r="T156" s="53" t="s">
        <v>1043</v>
      </c>
      <c r="U156" s="70">
        <v>10</v>
      </c>
      <c r="V156" s="127">
        <v>10.39</v>
      </c>
      <c r="W156"/>
      <c r="X156"/>
      <c r="Y156"/>
      <c r="Z156"/>
      <c r="AG156" s="53" t="s">
        <v>2055</v>
      </c>
      <c r="AH156" s="138"/>
    </row>
    <row r="157" spans="1:34" ht="16.05" customHeight="1">
      <c r="A157" s="6" t="s">
        <v>813</v>
      </c>
      <c r="B157" s="264">
        <v>6</v>
      </c>
      <c r="C157" s="22"/>
      <c r="D157" s="6" t="s">
        <v>828</v>
      </c>
      <c r="E157" s="264">
        <v>9</v>
      </c>
      <c r="F157" s="4"/>
      <c r="G157" s="6" t="s">
        <v>846</v>
      </c>
      <c r="H157" s="264">
        <v>9</v>
      </c>
      <c r="I157" s="22"/>
      <c r="J157" s="6" t="s">
        <v>864</v>
      </c>
      <c r="K157" s="264">
        <v>7</v>
      </c>
      <c r="L157" s="22"/>
      <c r="M157" s="6" t="s">
        <v>912</v>
      </c>
      <c r="N157" s="264">
        <v>10.5</v>
      </c>
      <c r="O157" s="22"/>
      <c r="R157" s="60">
        <v>4</v>
      </c>
      <c r="S157" s="69" t="s">
        <v>337</v>
      </c>
      <c r="T157" s="69" t="s">
        <v>338</v>
      </c>
      <c r="U157" s="71">
        <v>9.6999999999999993</v>
      </c>
      <c r="V157" s="127">
        <v>10.37</v>
      </c>
      <c r="W157"/>
      <c r="X157"/>
      <c r="Y157"/>
      <c r="Z157"/>
      <c r="AG157" s="69" t="s">
        <v>1051</v>
      </c>
      <c r="AH157" s="137" t="s">
        <v>2113</v>
      </c>
    </row>
    <row r="158" spans="1:34" ht="16.05" customHeight="1">
      <c r="A158" s="6" t="s">
        <v>814</v>
      </c>
      <c r="B158" s="264">
        <v>7</v>
      </c>
      <c r="C158" s="22"/>
      <c r="D158" s="6" t="s">
        <v>829</v>
      </c>
      <c r="E158" s="264">
        <v>8</v>
      </c>
      <c r="F158" s="4"/>
      <c r="G158" s="6" t="s">
        <v>847</v>
      </c>
      <c r="H158" s="264">
        <v>9</v>
      </c>
      <c r="I158" s="22"/>
      <c r="J158" s="6" t="s">
        <v>865</v>
      </c>
      <c r="K158" s="264">
        <v>10.5</v>
      </c>
      <c r="L158" s="22"/>
      <c r="M158" s="6" t="s">
        <v>878</v>
      </c>
      <c r="N158" s="264">
        <v>8</v>
      </c>
      <c r="O158" s="22"/>
      <c r="R158" s="60">
        <v>5</v>
      </c>
      <c r="S158" s="53" t="s">
        <v>688</v>
      </c>
      <c r="T158" s="53" t="s">
        <v>689</v>
      </c>
      <c r="U158" s="70">
        <v>9.8800000000000008</v>
      </c>
      <c r="V158" s="127">
        <v>10.220000000000001</v>
      </c>
      <c r="W158"/>
      <c r="X158"/>
      <c r="Y158"/>
      <c r="Z158"/>
      <c r="AG158" s="53" t="s">
        <v>2056</v>
      </c>
      <c r="AH158" s="138" t="s">
        <v>2114</v>
      </c>
    </row>
    <row r="159" spans="1:34" ht="16.05" customHeight="1" thickBot="1">
      <c r="A159" s="6" t="s">
        <v>815</v>
      </c>
      <c r="B159" s="264">
        <v>10</v>
      </c>
      <c r="C159" s="4"/>
      <c r="D159" s="9" t="s">
        <v>830</v>
      </c>
      <c r="E159" s="265"/>
      <c r="F159" s="4"/>
      <c r="G159" s="6" t="s">
        <v>848</v>
      </c>
      <c r="H159" s="264">
        <v>8.5</v>
      </c>
      <c r="I159" s="22"/>
      <c r="J159" s="6" t="s">
        <v>866</v>
      </c>
      <c r="K159" s="264"/>
      <c r="L159" s="22"/>
      <c r="M159" s="9" t="s">
        <v>879</v>
      </c>
      <c r="N159" s="265">
        <v>7.5</v>
      </c>
      <c r="O159" s="22"/>
      <c r="R159" s="60">
        <v>6</v>
      </c>
      <c r="S159" s="69" t="s">
        <v>340</v>
      </c>
      <c r="T159" s="69" t="s">
        <v>275</v>
      </c>
      <c r="U159" s="71">
        <v>9.3800000000000008</v>
      </c>
      <c r="V159" s="210">
        <v>9.5299999999999994</v>
      </c>
      <c r="W159"/>
      <c r="X159"/>
      <c r="Y159"/>
      <c r="Z159"/>
      <c r="AG159" s="69" t="s">
        <v>1054</v>
      </c>
      <c r="AH159" s="137" t="s">
        <v>2115</v>
      </c>
    </row>
    <row r="160" spans="1:34" ht="16.05" customHeight="1" thickBot="1">
      <c r="A160" s="9" t="s">
        <v>816</v>
      </c>
      <c r="B160" s="265">
        <v>8.5</v>
      </c>
      <c r="C160" s="4"/>
      <c r="D160" s="19"/>
      <c r="E160" s="21"/>
      <c r="F160" s="4"/>
      <c r="G160" s="6" t="s">
        <v>849</v>
      </c>
      <c r="H160" s="264">
        <v>8</v>
      </c>
      <c r="I160" s="22"/>
      <c r="J160" s="6" t="s">
        <v>867</v>
      </c>
      <c r="K160" s="264">
        <v>8.5</v>
      </c>
      <c r="L160" s="4"/>
      <c r="M160" s="21"/>
      <c r="N160" s="21"/>
      <c r="O160" s="22"/>
      <c r="R160" s="60">
        <v>7</v>
      </c>
      <c r="S160" s="53" t="s">
        <v>341</v>
      </c>
      <c r="T160" s="53" t="s">
        <v>1202</v>
      </c>
      <c r="U160" s="70">
        <v>9.4</v>
      </c>
      <c r="V160" s="177">
        <v>9.4600000000000009</v>
      </c>
      <c r="W160"/>
      <c r="X160"/>
      <c r="Y160"/>
      <c r="Z160"/>
      <c r="AG160" s="53" t="s">
        <v>1060</v>
      </c>
      <c r="AH160" s="138" t="s">
        <v>2116</v>
      </c>
    </row>
    <row r="161" spans="1:34" ht="16.05" customHeight="1" thickBot="1">
      <c r="A161" s="21"/>
      <c r="B161" s="21"/>
      <c r="C161" s="22"/>
      <c r="D161" s="118" t="s">
        <v>914</v>
      </c>
      <c r="E161" s="14">
        <f>ROUND(SUM(E162:E170)/COUNT(E162:E170), 2)</f>
        <v>9.06</v>
      </c>
      <c r="F161" s="4"/>
      <c r="G161" s="6" t="s">
        <v>850</v>
      </c>
      <c r="H161" s="264">
        <v>8.5</v>
      </c>
      <c r="I161" s="22"/>
      <c r="J161" s="6" t="s">
        <v>868</v>
      </c>
      <c r="K161" s="264">
        <v>8</v>
      </c>
      <c r="L161" s="22"/>
      <c r="M161" s="119" t="s">
        <v>927</v>
      </c>
      <c r="N161" s="14">
        <f>ROUND(SUM(N162:N180)/COUNT(N162:N180), 2)</f>
        <v>8.5500000000000007</v>
      </c>
      <c r="O161" s="22"/>
      <c r="R161" s="60">
        <v>8</v>
      </c>
      <c r="S161" s="69" t="s">
        <v>345</v>
      </c>
      <c r="T161" s="69" t="s">
        <v>56</v>
      </c>
      <c r="U161" s="71">
        <v>9.25</v>
      </c>
      <c r="V161" s="211">
        <v>9.3699999999999992</v>
      </c>
      <c r="W161"/>
      <c r="X161"/>
      <c r="Y161"/>
      <c r="Z161"/>
      <c r="AG161" s="69" t="s">
        <v>333</v>
      </c>
      <c r="AH161" s="137" t="s">
        <v>2117</v>
      </c>
    </row>
    <row r="162" spans="1:34" ht="16.05" customHeight="1" thickBot="1">
      <c r="A162" s="120" t="s">
        <v>949</v>
      </c>
      <c r="B162" s="14">
        <f>ROUND(SUM(B163:B170)/COUNT(B163:B170), 2)</f>
        <v>7.88</v>
      </c>
      <c r="C162" s="4"/>
      <c r="D162" s="13" t="s">
        <v>915</v>
      </c>
      <c r="E162" s="263">
        <v>10</v>
      </c>
      <c r="F162" s="4"/>
      <c r="G162" s="6" t="s">
        <v>851</v>
      </c>
      <c r="H162" s="264">
        <v>8</v>
      </c>
      <c r="I162" s="22"/>
      <c r="J162" s="6" t="s">
        <v>869</v>
      </c>
      <c r="K162" s="264">
        <v>7.5</v>
      </c>
      <c r="L162" s="4"/>
      <c r="M162" s="13" t="s">
        <v>928</v>
      </c>
      <c r="N162" s="263">
        <v>10</v>
      </c>
      <c r="O162" s="22"/>
      <c r="R162" s="60">
        <v>9</v>
      </c>
      <c r="S162" s="53" t="s">
        <v>346</v>
      </c>
      <c r="T162" s="53" t="s">
        <v>189</v>
      </c>
      <c r="U162" s="70">
        <v>9.2100000000000009</v>
      </c>
      <c r="V162" s="213">
        <v>9.34</v>
      </c>
      <c r="W162"/>
      <c r="X162"/>
      <c r="Y162"/>
      <c r="Z162"/>
      <c r="AG162" s="53" t="s">
        <v>2057</v>
      </c>
      <c r="AH162" s="138" t="s">
        <v>2086</v>
      </c>
    </row>
    <row r="163" spans="1:34" ht="16.05" customHeight="1" thickBot="1">
      <c r="A163" s="13" t="s">
        <v>950</v>
      </c>
      <c r="B163" s="263">
        <v>9</v>
      </c>
      <c r="C163" s="4"/>
      <c r="D163" s="6" t="s">
        <v>916</v>
      </c>
      <c r="E163" s="264">
        <v>10</v>
      </c>
      <c r="F163" s="4"/>
      <c r="G163" s="9" t="s">
        <v>852</v>
      </c>
      <c r="H163" s="265">
        <v>9</v>
      </c>
      <c r="I163" s="22"/>
      <c r="J163" s="9" t="s">
        <v>870</v>
      </c>
      <c r="K163" s="265">
        <v>9</v>
      </c>
      <c r="L163" s="4"/>
      <c r="M163" s="6" t="s">
        <v>929</v>
      </c>
      <c r="N163" s="264">
        <v>9</v>
      </c>
      <c r="O163" s="22"/>
      <c r="R163" s="60">
        <v>10</v>
      </c>
      <c r="S163" s="69" t="s">
        <v>344</v>
      </c>
      <c r="T163" s="69" t="s">
        <v>132</v>
      </c>
      <c r="U163" s="71">
        <v>9.2100000000000009</v>
      </c>
      <c r="V163" s="214">
        <v>9.2799999999999994</v>
      </c>
      <c r="W163"/>
      <c r="X163"/>
      <c r="Y163"/>
      <c r="Z163"/>
      <c r="AG163" s="69" t="s">
        <v>2058</v>
      </c>
      <c r="AH163" s="137" t="s">
        <v>2087</v>
      </c>
    </row>
    <row r="164" spans="1:34" ht="16.05" customHeight="1" thickBot="1">
      <c r="A164" s="6" t="s">
        <v>951</v>
      </c>
      <c r="B164" s="264">
        <v>7</v>
      </c>
      <c r="C164" s="4"/>
      <c r="D164" s="6" t="s">
        <v>917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930</v>
      </c>
      <c r="N164" s="264">
        <v>9</v>
      </c>
      <c r="O164" s="22"/>
      <c r="R164" s="60">
        <v>11</v>
      </c>
      <c r="S164" s="53" t="s">
        <v>456</v>
      </c>
      <c r="T164" s="53" t="s">
        <v>36</v>
      </c>
      <c r="U164" s="70">
        <v>9.15</v>
      </c>
      <c r="V164" s="131">
        <v>9.23</v>
      </c>
      <c r="W164"/>
      <c r="X164"/>
      <c r="Y164"/>
      <c r="Z164"/>
    </row>
    <row r="165" spans="1:34" ht="16.05" customHeight="1" thickBot="1">
      <c r="A165" s="6" t="s">
        <v>952</v>
      </c>
      <c r="B165" s="264">
        <v>7.5</v>
      </c>
      <c r="C165" s="4"/>
      <c r="D165" s="6" t="s">
        <v>918</v>
      </c>
      <c r="E165" s="264">
        <v>8.5</v>
      </c>
      <c r="F165" s="22"/>
      <c r="G165" s="121" t="s">
        <v>961</v>
      </c>
      <c r="H165" s="14">
        <f>ROUND(SUM(H166:H175)/COUNT(H166:H175), 2)</f>
        <v>8.67</v>
      </c>
      <c r="I165" s="22"/>
      <c r="J165" s="122" t="s">
        <v>974</v>
      </c>
      <c r="K165" s="14">
        <f>ROUND(SUM(K166:K173)/COUNT(K166:K173), 2)</f>
        <v>9</v>
      </c>
      <c r="L165" s="4"/>
      <c r="M165" s="6" t="s">
        <v>931</v>
      </c>
      <c r="N165" s="264">
        <v>10</v>
      </c>
      <c r="O165" s="22"/>
      <c r="R165" s="60">
        <v>12</v>
      </c>
      <c r="S165" s="69" t="s">
        <v>492</v>
      </c>
      <c r="T165" s="69" t="s">
        <v>510</v>
      </c>
      <c r="U165" s="71">
        <v>9.17</v>
      </c>
      <c r="V165" s="131">
        <v>9.23</v>
      </c>
      <c r="W165"/>
      <c r="X165"/>
      <c r="Y165"/>
      <c r="Z165"/>
      <c r="AG165" s="69" t="s">
        <v>2059</v>
      </c>
      <c r="AH165" s="137" t="s">
        <v>2118</v>
      </c>
    </row>
    <row r="166" spans="1:34" ht="16.05" customHeight="1">
      <c r="A166" s="6" t="s">
        <v>953</v>
      </c>
      <c r="B166" s="264">
        <v>6.5</v>
      </c>
      <c r="C166" s="4"/>
      <c r="D166" s="6" t="s">
        <v>919</v>
      </c>
      <c r="E166" s="264"/>
      <c r="F166" s="4"/>
      <c r="G166" s="13" t="s">
        <v>962</v>
      </c>
      <c r="H166" s="263"/>
      <c r="I166" s="22"/>
      <c r="J166" s="13" t="s">
        <v>975</v>
      </c>
      <c r="K166" s="263">
        <v>10.5</v>
      </c>
      <c r="L166" s="4"/>
      <c r="M166" s="6" t="s">
        <v>932</v>
      </c>
      <c r="N166" s="264">
        <v>8.5</v>
      </c>
      <c r="O166" s="22"/>
      <c r="R166" s="60">
        <v>13</v>
      </c>
      <c r="S166" s="53" t="s">
        <v>924</v>
      </c>
      <c r="T166" s="53" t="s">
        <v>915</v>
      </c>
      <c r="U166" s="70">
        <v>9.06</v>
      </c>
      <c r="V166" s="141">
        <v>9.1</v>
      </c>
      <c r="W166"/>
      <c r="X166"/>
      <c r="Y166"/>
      <c r="Z166"/>
      <c r="AG166" s="53" t="s">
        <v>2060</v>
      </c>
      <c r="AH166" s="138" t="s">
        <v>2088</v>
      </c>
    </row>
    <row r="167" spans="1:34" ht="16.05" customHeight="1">
      <c r="A167" s="6" t="s">
        <v>954</v>
      </c>
      <c r="B167" s="264">
        <v>9</v>
      </c>
      <c r="C167" s="4"/>
      <c r="D167" s="6" t="s">
        <v>920</v>
      </c>
      <c r="E167" s="264">
        <v>10.5</v>
      </c>
      <c r="F167" s="4"/>
      <c r="G167" s="6" t="s">
        <v>963</v>
      </c>
      <c r="H167" s="264">
        <v>10</v>
      </c>
      <c r="I167" s="22"/>
      <c r="J167" s="6" t="s">
        <v>976</v>
      </c>
      <c r="K167" s="264">
        <v>10</v>
      </c>
      <c r="L167" s="4"/>
      <c r="M167" s="6" t="s">
        <v>933</v>
      </c>
      <c r="N167" s="264">
        <v>9.5</v>
      </c>
      <c r="O167" s="22"/>
      <c r="R167" s="60">
        <v>14</v>
      </c>
      <c r="S167" s="69" t="s">
        <v>347</v>
      </c>
      <c r="T167" s="69" t="s">
        <v>159</v>
      </c>
      <c r="U167" s="71">
        <v>9</v>
      </c>
      <c r="V167" s="141">
        <v>9.09</v>
      </c>
      <c r="W167"/>
      <c r="X167"/>
      <c r="Y167"/>
      <c r="Z167"/>
    </row>
    <row r="168" spans="1:34" ht="16.05" customHeight="1">
      <c r="A168" s="6" t="s">
        <v>955</v>
      </c>
      <c r="B168" s="264">
        <v>8.5</v>
      </c>
      <c r="C168" s="4"/>
      <c r="D168" s="6" t="s">
        <v>921</v>
      </c>
      <c r="E168" s="264">
        <v>8</v>
      </c>
      <c r="F168" s="4"/>
      <c r="G168" s="6" t="s">
        <v>964</v>
      </c>
      <c r="H168" s="264">
        <v>8.5</v>
      </c>
      <c r="I168" s="22"/>
      <c r="J168" s="6" t="s">
        <v>977</v>
      </c>
      <c r="K168" s="264">
        <v>8.5</v>
      </c>
      <c r="L168" s="4"/>
      <c r="M168" s="6" t="s">
        <v>934</v>
      </c>
      <c r="N168" s="264">
        <v>8</v>
      </c>
      <c r="O168" s="22"/>
      <c r="R168" s="60">
        <v>15</v>
      </c>
      <c r="S168" s="53" t="s">
        <v>348</v>
      </c>
      <c r="T168" s="53" t="s">
        <v>265</v>
      </c>
      <c r="U168" s="70">
        <v>9</v>
      </c>
      <c r="V168" s="141">
        <v>9.09</v>
      </c>
      <c r="W168"/>
      <c r="X168"/>
      <c r="Y168"/>
      <c r="Z168"/>
    </row>
    <row r="169" spans="1:34" ht="16.05" customHeight="1">
      <c r="A169" s="6" t="s">
        <v>956</v>
      </c>
      <c r="B169" s="264">
        <v>7.5</v>
      </c>
      <c r="C169" s="4"/>
      <c r="D169" s="6" t="s">
        <v>922</v>
      </c>
      <c r="E169" s="264">
        <v>8</v>
      </c>
      <c r="F169" s="4"/>
      <c r="G169" s="6" t="s">
        <v>965</v>
      </c>
      <c r="H169" s="264">
        <v>8.5</v>
      </c>
      <c r="I169" s="22"/>
      <c r="J169" s="6" t="s">
        <v>978</v>
      </c>
      <c r="K169" s="264">
        <v>8</v>
      </c>
      <c r="L169" s="4"/>
      <c r="M169" s="6" t="s">
        <v>935</v>
      </c>
      <c r="N169" s="264">
        <v>9</v>
      </c>
      <c r="O169" s="22"/>
      <c r="R169" s="60">
        <v>16</v>
      </c>
      <c r="S169" s="69" t="s">
        <v>355</v>
      </c>
      <c r="T169" s="69" t="s">
        <v>1650</v>
      </c>
      <c r="U169" s="71">
        <v>8.94</v>
      </c>
      <c r="V169" s="219">
        <v>8.9499999999999993</v>
      </c>
      <c r="W169"/>
      <c r="X169"/>
      <c r="Y169"/>
      <c r="Z169"/>
    </row>
    <row r="170" spans="1:34" ht="16.05" customHeight="1" thickBot="1">
      <c r="A170" s="9" t="s">
        <v>957</v>
      </c>
      <c r="B170" s="265">
        <v>8</v>
      </c>
      <c r="C170" s="4"/>
      <c r="D170" s="9" t="s">
        <v>923</v>
      </c>
      <c r="E170" s="265">
        <v>9</v>
      </c>
      <c r="F170" s="4"/>
      <c r="G170" s="6" t="s">
        <v>966</v>
      </c>
      <c r="H170" s="264">
        <v>9.5</v>
      </c>
      <c r="I170" s="22"/>
      <c r="J170" s="6" t="s">
        <v>979</v>
      </c>
      <c r="K170" s="264">
        <v>8.5</v>
      </c>
      <c r="L170" s="4"/>
      <c r="M170" s="6" t="s">
        <v>936</v>
      </c>
      <c r="N170" s="264">
        <v>8</v>
      </c>
      <c r="O170" s="22"/>
      <c r="R170" s="60">
        <v>17</v>
      </c>
      <c r="S170" s="53" t="s">
        <v>356</v>
      </c>
      <c r="T170" s="53" t="s">
        <v>1895</v>
      </c>
      <c r="U170" s="70">
        <v>8.9600000000000009</v>
      </c>
      <c r="V170" s="282">
        <v>8.93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967</v>
      </c>
      <c r="H171" s="264">
        <v>8</v>
      </c>
      <c r="I171" s="22"/>
      <c r="J171" s="6" t="s">
        <v>980</v>
      </c>
      <c r="K171" s="264">
        <v>8</v>
      </c>
      <c r="L171" s="4"/>
      <c r="M171" s="6" t="s">
        <v>937</v>
      </c>
      <c r="N171" s="264">
        <v>8</v>
      </c>
      <c r="O171" s="22"/>
      <c r="R171" s="60">
        <v>18</v>
      </c>
      <c r="S171" s="69" t="s">
        <v>1358</v>
      </c>
      <c r="T171" s="69" t="s">
        <v>1349</v>
      </c>
      <c r="U171" s="71">
        <v>8.9499999999999993</v>
      </c>
      <c r="V171" s="290">
        <v>8.91</v>
      </c>
      <c r="W171"/>
      <c r="X171"/>
      <c r="Y171"/>
      <c r="Z171"/>
    </row>
    <row r="172" spans="1:34" ht="16.05" customHeight="1" thickBot="1">
      <c r="A172" s="125" t="s">
        <v>998</v>
      </c>
      <c r="B172" s="14">
        <f>ROUND(SUM(B173:B183)/COUNT(B173:B183), 2)</f>
        <v>8.73</v>
      </c>
      <c r="C172" s="22"/>
      <c r="D172" s="123" t="s">
        <v>984</v>
      </c>
      <c r="E172" s="14">
        <f>ROUND(SUM(E173:E184)/COUNT(E173:E184), 2)</f>
        <v>7.5</v>
      </c>
      <c r="F172" s="4"/>
      <c r="G172" s="6" t="s">
        <v>968</v>
      </c>
      <c r="H172" s="264">
        <v>8.5</v>
      </c>
      <c r="I172" s="22"/>
      <c r="J172" s="6" t="s">
        <v>981</v>
      </c>
      <c r="K172" s="264">
        <v>9</v>
      </c>
      <c r="L172" s="4"/>
      <c r="M172" s="6" t="s">
        <v>938</v>
      </c>
      <c r="N172" s="264">
        <v>7.5</v>
      </c>
      <c r="O172" s="22"/>
      <c r="R172" s="60">
        <v>19</v>
      </c>
      <c r="S172" s="53" t="s">
        <v>732</v>
      </c>
      <c r="T172" s="53" t="s">
        <v>1454</v>
      </c>
      <c r="U172" s="70">
        <v>8.8800000000000008</v>
      </c>
      <c r="V172" s="54">
        <v>8.89</v>
      </c>
      <c r="W172"/>
      <c r="X172"/>
      <c r="Y172"/>
      <c r="Z172"/>
    </row>
    <row r="173" spans="1:34" ht="16.05" customHeight="1" thickBot="1">
      <c r="A173" s="13" t="s">
        <v>999</v>
      </c>
      <c r="B173" s="263">
        <v>9</v>
      </c>
      <c r="C173" s="41"/>
      <c r="D173" s="124" t="s">
        <v>985</v>
      </c>
      <c r="E173" s="263">
        <v>8</v>
      </c>
      <c r="F173" s="4"/>
      <c r="G173" s="6" t="s">
        <v>969</v>
      </c>
      <c r="H173" s="264">
        <v>9</v>
      </c>
      <c r="I173" s="22"/>
      <c r="J173" s="9" t="s">
        <v>982</v>
      </c>
      <c r="K173" s="265">
        <v>9.5</v>
      </c>
      <c r="L173" s="4"/>
      <c r="M173" s="6" t="s">
        <v>939</v>
      </c>
      <c r="N173" s="264">
        <v>8.5</v>
      </c>
      <c r="O173" s="22"/>
      <c r="R173" s="60">
        <v>20</v>
      </c>
      <c r="S173" s="69" t="s">
        <v>1398</v>
      </c>
      <c r="T173" s="69" t="s">
        <v>1399</v>
      </c>
      <c r="U173" s="71">
        <v>8.82</v>
      </c>
      <c r="V173" s="220">
        <v>8.8800000000000008</v>
      </c>
      <c r="W173"/>
      <c r="X173"/>
      <c r="Y173"/>
      <c r="Z173"/>
    </row>
    <row r="174" spans="1:34" ht="16.05" customHeight="1" thickBot="1">
      <c r="A174" s="6" t="s">
        <v>1000</v>
      </c>
      <c r="B174" s="264">
        <v>10</v>
      </c>
      <c r="C174" s="4"/>
      <c r="D174" s="6" t="s">
        <v>986</v>
      </c>
      <c r="E174" s="264">
        <v>9</v>
      </c>
      <c r="F174" s="4"/>
      <c r="G174" s="6" t="s">
        <v>970</v>
      </c>
      <c r="H174" s="264">
        <v>8.5</v>
      </c>
      <c r="I174" s="4"/>
      <c r="J174" s="19"/>
      <c r="K174" s="19"/>
      <c r="L174" s="4"/>
      <c r="M174" s="6" t="s">
        <v>940</v>
      </c>
      <c r="N174" s="264">
        <v>8.5</v>
      </c>
      <c r="O174" s="22"/>
      <c r="V174"/>
      <c r="W174"/>
      <c r="X174"/>
      <c r="Y174"/>
      <c r="Z174"/>
    </row>
    <row r="175" spans="1:34" ht="16.05" customHeight="1" thickBot="1">
      <c r="A175" s="6" t="s">
        <v>1001</v>
      </c>
      <c r="B175" s="264">
        <v>9</v>
      </c>
      <c r="C175" s="4"/>
      <c r="D175" s="6" t="s">
        <v>987</v>
      </c>
      <c r="E175" s="264">
        <v>7.5</v>
      </c>
      <c r="F175" s="4"/>
      <c r="G175" s="9" t="s">
        <v>971</v>
      </c>
      <c r="H175" s="265">
        <v>7.5</v>
      </c>
      <c r="I175" s="22"/>
      <c r="J175" s="134" t="s">
        <v>1020</v>
      </c>
      <c r="K175" s="14">
        <f>ROUND(SUM(K176:K180)/COUNT(K176:K180), 2)</f>
        <v>9.3000000000000007</v>
      </c>
      <c r="L175" s="4"/>
      <c r="M175" s="6" t="s">
        <v>941</v>
      </c>
      <c r="N175" s="264">
        <v>9</v>
      </c>
      <c r="O175" s="22"/>
      <c r="V175"/>
      <c r="W175"/>
      <c r="X175"/>
      <c r="Y175"/>
      <c r="Z175"/>
    </row>
    <row r="176" spans="1:34" ht="16.05" customHeight="1" thickBot="1">
      <c r="A176" s="6" t="s">
        <v>1002</v>
      </c>
      <c r="B176" s="264">
        <v>9.5</v>
      </c>
      <c r="C176" s="4"/>
      <c r="D176" s="6" t="s">
        <v>988</v>
      </c>
      <c r="E176" s="264">
        <v>8.5</v>
      </c>
      <c r="F176" s="4"/>
      <c r="G176" s="21"/>
      <c r="H176" s="21"/>
      <c r="I176" s="4"/>
      <c r="J176" s="13" t="s">
        <v>1021</v>
      </c>
      <c r="K176" s="263">
        <v>9</v>
      </c>
      <c r="L176" s="4"/>
      <c r="M176" s="6" t="s">
        <v>942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1003</v>
      </c>
      <c r="B177" s="264">
        <v>10.5</v>
      </c>
      <c r="C177" s="4"/>
      <c r="D177" s="6" t="s">
        <v>989</v>
      </c>
      <c r="E177" s="264">
        <v>7.5</v>
      </c>
      <c r="F177" s="22"/>
      <c r="G177" s="268" t="s">
        <v>1276</v>
      </c>
      <c r="H177" s="14">
        <f>ROUND(SUM(H178:H189)/COUNT(H178:H189), 2)</f>
        <v>8.5500000000000007</v>
      </c>
      <c r="I177" s="4"/>
      <c r="J177" s="6" t="s">
        <v>1022</v>
      </c>
      <c r="K177" s="264">
        <v>10</v>
      </c>
      <c r="L177" s="4"/>
      <c r="M177" s="6" t="s">
        <v>943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1004</v>
      </c>
      <c r="B178" s="264">
        <v>8</v>
      </c>
      <c r="C178" s="4"/>
      <c r="D178" s="6" t="s">
        <v>990</v>
      </c>
      <c r="E178" s="264">
        <v>7.5</v>
      </c>
      <c r="F178" s="4"/>
      <c r="G178" s="13" t="s">
        <v>1026</v>
      </c>
      <c r="H178" s="263"/>
      <c r="I178" s="4"/>
      <c r="J178" s="6" t="s">
        <v>1023</v>
      </c>
      <c r="K178" s="264">
        <v>9</v>
      </c>
      <c r="L178" s="4"/>
      <c r="M178" s="6" t="s">
        <v>944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1005</v>
      </c>
      <c r="B179" s="264">
        <v>7.5</v>
      </c>
      <c r="C179" s="4"/>
      <c r="D179" s="6" t="s">
        <v>991</v>
      </c>
      <c r="E179" s="264">
        <v>6.5</v>
      </c>
      <c r="F179" s="4"/>
      <c r="G179" s="6" t="s">
        <v>1027</v>
      </c>
      <c r="H179" s="264">
        <v>8.5</v>
      </c>
      <c r="I179" s="4"/>
      <c r="J179" s="6" t="s">
        <v>1024</v>
      </c>
      <c r="K179" s="264">
        <v>8</v>
      </c>
      <c r="L179" s="4"/>
      <c r="M179" s="6" t="s">
        <v>945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1006</v>
      </c>
      <c r="B180" s="264">
        <v>9</v>
      </c>
      <c r="C180" s="4"/>
      <c r="D180" s="6" t="s">
        <v>992</v>
      </c>
      <c r="E180" s="264">
        <v>7.5</v>
      </c>
      <c r="F180" s="4"/>
      <c r="G180" s="6" t="s">
        <v>1028</v>
      </c>
      <c r="H180" s="264">
        <v>9</v>
      </c>
      <c r="I180" s="4"/>
      <c r="J180" s="9" t="s">
        <v>1025</v>
      </c>
      <c r="K180" s="265">
        <v>10.5</v>
      </c>
      <c r="L180" s="4"/>
      <c r="M180" s="9" t="s">
        <v>946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1007</v>
      </c>
      <c r="B181" s="264">
        <v>8</v>
      </c>
      <c r="C181" s="4"/>
      <c r="D181" s="6" t="s">
        <v>993</v>
      </c>
      <c r="E181" s="264">
        <v>7</v>
      </c>
      <c r="F181" s="4"/>
      <c r="G181" s="6" t="s">
        <v>1029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1008</v>
      </c>
      <c r="B182" s="264">
        <v>8</v>
      </c>
      <c r="C182" s="4"/>
      <c r="D182" s="6" t="s">
        <v>994</v>
      </c>
      <c r="E182" s="264">
        <v>6.5</v>
      </c>
      <c r="F182" s="4"/>
      <c r="G182" s="6" t="s">
        <v>1030</v>
      </c>
      <c r="H182" s="264">
        <v>8.5</v>
      </c>
      <c r="I182" s="22"/>
      <c r="J182" s="135" t="s">
        <v>1045</v>
      </c>
      <c r="K182" s="14">
        <f>ROUND(SUM(K183:K187)/COUNT(K183:K187), 2)</f>
        <v>10</v>
      </c>
      <c r="L182" s="4"/>
      <c r="M182" s="126" t="s">
        <v>1011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1009</v>
      </c>
      <c r="B183" s="265">
        <v>7.5</v>
      </c>
      <c r="C183" s="4"/>
      <c r="D183" s="6" t="s">
        <v>995</v>
      </c>
      <c r="E183" s="264">
        <v>6.5</v>
      </c>
      <c r="F183" s="4"/>
      <c r="G183" s="6" t="s">
        <v>1031</v>
      </c>
      <c r="H183" s="264">
        <v>8</v>
      </c>
      <c r="I183" s="22"/>
      <c r="J183" s="13" t="s">
        <v>1040</v>
      </c>
      <c r="K183" s="263">
        <v>10.5</v>
      </c>
      <c r="L183" s="4"/>
      <c r="M183" s="269" t="s">
        <v>1010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996</v>
      </c>
      <c r="E184" s="265">
        <v>8</v>
      </c>
      <c r="F184" s="4"/>
      <c r="G184" s="6" t="s">
        <v>1032</v>
      </c>
      <c r="H184" s="264">
        <v>7.5</v>
      </c>
      <c r="I184" s="22"/>
      <c r="J184" s="6" t="s">
        <v>1041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1144</v>
      </c>
      <c r="B185" s="14">
        <f>ROUND(SUM(B186:B194)/COUNT(B186:B194), 2)</f>
        <v>9</v>
      </c>
      <c r="C185" s="4"/>
      <c r="D185" s="19"/>
      <c r="E185" s="21"/>
      <c r="F185" s="4"/>
      <c r="G185" s="6" t="s">
        <v>1033</v>
      </c>
      <c r="H185" s="264">
        <v>8</v>
      </c>
      <c r="I185" s="22"/>
      <c r="J185" s="6" t="s">
        <v>1042</v>
      </c>
      <c r="K185" s="264">
        <v>10</v>
      </c>
      <c r="L185" s="22"/>
      <c r="M185" s="173" t="s">
        <v>1554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1145</v>
      </c>
      <c r="B186" s="263">
        <v>9.5</v>
      </c>
      <c r="C186" s="41"/>
      <c r="D186" s="142" t="s">
        <v>1157</v>
      </c>
      <c r="E186" s="14">
        <f>ROUND(SUM(E187:E199)/COUNT(E187:E199), 2)</f>
        <v>8.4600000000000009</v>
      </c>
      <c r="F186" s="4"/>
      <c r="G186" s="6" t="s">
        <v>1034</v>
      </c>
      <c r="H186" s="264">
        <v>9.5</v>
      </c>
      <c r="I186" s="22"/>
      <c r="J186" s="6" t="s">
        <v>1043</v>
      </c>
      <c r="K186" s="264">
        <v>10.5</v>
      </c>
      <c r="L186" s="4"/>
      <c r="M186" s="13" t="s">
        <v>1174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1146</v>
      </c>
      <c r="B187" s="264">
        <v>9</v>
      </c>
      <c r="C187" s="4"/>
      <c r="D187" s="13" t="s">
        <v>1158</v>
      </c>
      <c r="E187" s="263">
        <v>9</v>
      </c>
      <c r="F187" s="4"/>
      <c r="G187" s="6" t="s">
        <v>1035</v>
      </c>
      <c r="H187" s="264">
        <v>10</v>
      </c>
      <c r="I187" s="22"/>
      <c r="J187" s="9" t="s">
        <v>1044</v>
      </c>
      <c r="K187" s="265">
        <v>10</v>
      </c>
      <c r="L187" s="4"/>
      <c r="M187" s="6" t="s">
        <v>1175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1147</v>
      </c>
      <c r="B188" s="264">
        <v>10</v>
      </c>
      <c r="C188" s="4"/>
      <c r="D188" s="6" t="s">
        <v>1159</v>
      </c>
      <c r="E188" s="264">
        <v>8</v>
      </c>
      <c r="F188" s="4"/>
      <c r="G188" s="6" t="s">
        <v>1036</v>
      </c>
      <c r="H188" s="264">
        <v>8.5</v>
      </c>
      <c r="I188" s="4"/>
      <c r="J188" s="21"/>
      <c r="K188" s="21"/>
      <c r="L188" s="4"/>
      <c r="M188" s="6" t="s">
        <v>1176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1148</v>
      </c>
      <c r="B189" s="264">
        <v>10.5</v>
      </c>
      <c r="C189" s="4"/>
      <c r="D189" s="6" t="s">
        <v>1160</v>
      </c>
      <c r="E189" s="264">
        <v>10</v>
      </c>
      <c r="F189" s="4"/>
      <c r="G189" s="9" t="s">
        <v>1037</v>
      </c>
      <c r="H189" s="265">
        <v>8.5</v>
      </c>
      <c r="I189" s="22"/>
      <c r="J189" s="147" t="s">
        <v>1206</v>
      </c>
      <c r="K189" s="14">
        <f>ROUND(SUM(K190:K197)/COUNT(K190:K197), 2)</f>
        <v>7.71</v>
      </c>
      <c r="L189" s="4"/>
      <c r="M189" s="6" t="s">
        <v>1177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1149</v>
      </c>
      <c r="B190" s="264">
        <v>8</v>
      </c>
      <c r="C190" s="4"/>
      <c r="D190" s="6" t="s">
        <v>1161</v>
      </c>
      <c r="E190" s="264">
        <v>7.5</v>
      </c>
      <c r="F190" s="4"/>
      <c r="G190" s="21"/>
      <c r="H190" s="21"/>
      <c r="I190" s="4"/>
      <c r="J190" s="13" t="s">
        <v>1207</v>
      </c>
      <c r="K190" s="263"/>
      <c r="L190" s="4"/>
      <c r="M190" s="6" t="s">
        <v>1178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1150</v>
      </c>
      <c r="B191" s="264">
        <v>8.5</v>
      </c>
      <c r="C191" s="4"/>
      <c r="D191" s="6" t="s">
        <v>1162</v>
      </c>
      <c r="E191" s="264">
        <v>7</v>
      </c>
      <c r="F191" s="22"/>
      <c r="G191" s="150" t="s">
        <v>1219</v>
      </c>
      <c r="H191" s="14">
        <f>ROUND(SUM(H192:H200)/COUNT(H192:H200), 2)</f>
        <v>8.83</v>
      </c>
      <c r="I191" s="4"/>
      <c r="J191" s="6" t="s">
        <v>1208</v>
      </c>
      <c r="K191" s="264">
        <v>7</v>
      </c>
      <c r="L191" s="4"/>
      <c r="M191" s="6" t="s">
        <v>1179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1151</v>
      </c>
      <c r="B192" s="264">
        <v>8</v>
      </c>
      <c r="C192" s="4"/>
      <c r="D192" s="6" t="s">
        <v>1163</v>
      </c>
      <c r="E192" s="264">
        <v>9.5</v>
      </c>
      <c r="F192" s="4"/>
      <c r="G192" s="13" t="s">
        <v>1220</v>
      </c>
      <c r="H192" s="263">
        <v>9</v>
      </c>
      <c r="I192" s="4"/>
      <c r="J192" s="6" t="s">
        <v>1209</v>
      </c>
      <c r="K192" s="264">
        <v>7.5</v>
      </c>
      <c r="L192" s="4"/>
      <c r="M192" s="6" t="s">
        <v>1180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1152</v>
      </c>
      <c r="B193" s="264">
        <v>9.5</v>
      </c>
      <c r="C193" s="4"/>
      <c r="D193" s="6" t="s">
        <v>1164</v>
      </c>
      <c r="E193" s="264">
        <v>8</v>
      </c>
      <c r="F193" s="4"/>
      <c r="G193" s="6" t="s">
        <v>1221</v>
      </c>
      <c r="H193" s="264">
        <v>8.5</v>
      </c>
      <c r="I193" s="4"/>
      <c r="J193" s="6" t="s">
        <v>1210</v>
      </c>
      <c r="K193" s="264">
        <v>8</v>
      </c>
      <c r="L193" s="4"/>
      <c r="M193" s="6" t="s">
        <v>1181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1153</v>
      </c>
      <c r="B194" s="265">
        <v>8</v>
      </c>
      <c r="C194" s="4"/>
      <c r="D194" s="6" t="s">
        <v>1165</v>
      </c>
      <c r="E194" s="264">
        <v>7.5</v>
      </c>
      <c r="F194" s="4"/>
      <c r="G194" s="6" t="s">
        <v>1222</v>
      </c>
      <c r="H194" s="264">
        <v>8.5</v>
      </c>
      <c r="I194" s="4"/>
      <c r="J194" s="6" t="s">
        <v>1211</v>
      </c>
      <c r="K194" s="264">
        <v>7.5</v>
      </c>
      <c r="L194" s="4"/>
      <c r="M194" s="6" t="s">
        <v>1182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1166</v>
      </c>
      <c r="E195" s="264">
        <v>10</v>
      </c>
      <c r="F195" s="4"/>
      <c r="G195" s="6" t="s">
        <v>1223</v>
      </c>
      <c r="H195" s="264">
        <v>10</v>
      </c>
      <c r="I195" s="4"/>
      <c r="J195" s="6" t="s">
        <v>1212</v>
      </c>
      <c r="K195" s="264">
        <v>8.5</v>
      </c>
      <c r="L195" s="4"/>
      <c r="M195" s="6" t="s">
        <v>1183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1244</v>
      </c>
      <c r="B196" s="14">
        <f>ROUND(SUM(B197:B211)/COUNT(B197:B211), 2)</f>
        <v>8.5299999999999994</v>
      </c>
      <c r="C196" s="4"/>
      <c r="D196" s="6" t="s">
        <v>1167</v>
      </c>
      <c r="E196" s="264">
        <v>8</v>
      </c>
      <c r="F196" s="4"/>
      <c r="G196" s="6" t="s">
        <v>1224</v>
      </c>
      <c r="H196" s="264">
        <v>8</v>
      </c>
      <c r="I196" s="4"/>
      <c r="J196" s="6" t="s">
        <v>1213</v>
      </c>
      <c r="K196" s="264">
        <v>8</v>
      </c>
      <c r="L196" s="4"/>
      <c r="M196" s="6" t="s">
        <v>1184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1168</v>
      </c>
      <c r="E197" s="264">
        <v>7</v>
      </c>
      <c r="F197" s="4"/>
      <c r="G197" s="6" t="s">
        <v>1225</v>
      </c>
      <c r="H197" s="264">
        <v>10.5</v>
      </c>
      <c r="I197" s="4"/>
      <c r="J197" s="9" t="s">
        <v>1214</v>
      </c>
      <c r="K197" s="265">
        <v>7.5</v>
      </c>
      <c r="L197" s="4"/>
      <c r="M197" s="6" t="s">
        <v>1185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1231</v>
      </c>
      <c r="B198" s="264">
        <v>8.5</v>
      </c>
      <c r="C198" s="4"/>
      <c r="D198" s="6" t="s">
        <v>1169</v>
      </c>
      <c r="E198" s="264"/>
      <c r="F198" s="4"/>
      <c r="G198" s="6" t="s">
        <v>1226</v>
      </c>
      <c r="H198" s="264">
        <v>8</v>
      </c>
      <c r="I198" s="4"/>
      <c r="J198" s="21"/>
      <c r="K198" s="21"/>
      <c r="L198" s="4"/>
      <c r="M198" s="6" t="s">
        <v>1186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1232</v>
      </c>
      <c r="B199" s="264">
        <v>8.5</v>
      </c>
      <c r="C199" s="4"/>
      <c r="D199" s="9" t="s">
        <v>1170</v>
      </c>
      <c r="E199" s="265">
        <v>10</v>
      </c>
      <c r="F199" s="4"/>
      <c r="G199" s="6" t="s">
        <v>1227</v>
      </c>
      <c r="H199" s="264">
        <v>8.5</v>
      </c>
      <c r="I199" s="22"/>
      <c r="J199" s="151" t="s">
        <v>1251</v>
      </c>
      <c r="K199" s="14">
        <f>ROUND(SUM(K200:K206)/COUNT(K200:K206), 2)</f>
        <v>8.75</v>
      </c>
      <c r="L199" s="4"/>
      <c r="M199" s="6" t="s">
        <v>1187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1233</v>
      </c>
      <c r="B200" s="264">
        <v>7.5</v>
      </c>
      <c r="C200" s="4"/>
      <c r="D200" s="19"/>
      <c r="E200" s="21"/>
      <c r="F200" s="4"/>
      <c r="G200" s="9" t="s">
        <v>1228</v>
      </c>
      <c r="H200" s="265">
        <v>8.5</v>
      </c>
      <c r="I200" s="4"/>
      <c r="J200" s="13" t="s">
        <v>1252</v>
      </c>
      <c r="K200" s="263">
        <v>10</v>
      </c>
      <c r="L200" s="4"/>
      <c r="M200" s="6" t="s">
        <v>1188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1234</v>
      </c>
      <c r="B201" s="264">
        <v>8</v>
      </c>
      <c r="C201" s="22"/>
      <c r="D201" s="153" t="s">
        <v>1275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1253</v>
      </c>
      <c r="K201" s="264">
        <v>8</v>
      </c>
      <c r="L201" s="4"/>
      <c r="M201" s="6" t="s">
        <v>1189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1235</v>
      </c>
      <c r="B202" s="264">
        <v>10</v>
      </c>
      <c r="C202" s="22"/>
      <c r="D202" s="13" t="s">
        <v>1265</v>
      </c>
      <c r="E202" s="263">
        <v>9</v>
      </c>
      <c r="F202" s="22"/>
      <c r="G202" s="155" t="s">
        <v>1280</v>
      </c>
      <c r="H202" s="14">
        <f>ROUND(SUM(H203:H213)/COUNT(H203:H213), 2)</f>
        <v>8.4499999999999993</v>
      </c>
      <c r="I202" s="4"/>
      <c r="J202" s="6" t="s">
        <v>1254</v>
      </c>
      <c r="K202" s="264">
        <v>9.5</v>
      </c>
      <c r="L202" s="4"/>
      <c r="M202" s="6" t="s">
        <v>1190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1236</v>
      </c>
      <c r="B203" s="264">
        <v>8</v>
      </c>
      <c r="C203" s="22"/>
      <c r="D203" s="6" t="s">
        <v>1266</v>
      </c>
      <c r="E203" s="264">
        <v>10.5</v>
      </c>
      <c r="F203" s="4"/>
      <c r="G203" s="13" t="s">
        <v>1281</v>
      </c>
      <c r="H203" s="263">
        <v>8.5</v>
      </c>
      <c r="I203" s="4"/>
      <c r="J203" s="6" t="s">
        <v>1255</v>
      </c>
      <c r="K203" s="264">
        <v>8</v>
      </c>
      <c r="L203" s="4"/>
      <c r="M203" s="6" t="s">
        <v>1191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1237</v>
      </c>
      <c r="B204" s="264">
        <v>8.5</v>
      </c>
      <c r="C204" s="22"/>
      <c r="D204" s="6" t="s">
        <v>1267</v>
      </c>
      <c r="E204" s="264"/>
      <c r="F204" s="4"/>
      <c r="G204" s="6" t="s">
        <v>1282</v>
      </c>
      <c r="H204" s="264">
        <v>8.5</v>
      </c>
      <c r="I204" s="4"/>
      <c r="J204" s="6" t="s">
        <v>1256</v>
      </c>
      <c r="K204" s="264">
        <v>9</v>
      </c>
      <c r="L204" s="4"/>
      <c r="M204" s="6" t="s">
        <v>1192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1238</v>
      </c>
      <c r="B205" s="264">
        <v>7.5</v>
      </c>
      <c r="C205" s="22"/>
      <c r="D205" s="6" t="s">
        <v>1268</v>
      </c>
      <c r="E205" s="264">
        <v>10</v>
      </c>
      <c r="F205" s="4"/>
      <c r="G205" s="6" t="s">
        <v>1283</v>
      </c>
      <c r="H205" s="264">
        <v>9</v>
      </c>
      <c r="I205" s="4"/>
      <c r="J205" s="6" t="s">
        <v>1257</v>
      </c>
      <c r="K205" s="264"/>
      <c r="L205" s="4"/>
      <c r="M205" s="6" t="s">
        <v>1193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1239</v>
      </c>
      <c r="B206" s="264">
        <v>8.5</v>
      </c>
      <c r="C206" s="22"/>
      <c r="D206" s="6" t="s">
        <v>1269</v>
      </c>
      <c r="E206" s="264"/>
      <c r="F206" s="4"/>
      <c r="G206" s="6" t="s">
        <v>1284</v>
      </c>
      <c r="H206" s="264">
        <v>10</v>
      </c>
      <c r="I206" s="4"/>
      <c r="J206" s="9" t="s">
        <v>1258</v>
      </c>
      <c r="K206" s="265">
        <v>8</v>
      </c>
      <c r="L206" s="4"/>
      <c r="M206" s="6" t="s">
        <v>1194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1240</v>
      </c>
      <c r="B207" s="264">
        <v>10</v>
      </c>
      <c r="C207" s="22"/>
      <c r="D207" s="6" t="s">
        <v>1270</v>
      </c>
      <c r="E207" s="264">
        <v>10</v>
      </c>
      <c r="F207" s="4"/>
      <c r="G207" s="6" t="s">
        <v>1285</v>
      </c>
      <c r="H207" s="264">
        <v>9</v>
      </c>
      <c r="I207" s="4"/>
      <c r="J207" s="21"/>
      <c r="K207" s="21"/>
      <c r="L207" s="4"/>
      <c r="M207" s="6" t="s">
        <v>1195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1241</v>
      </c>
      <c r="B208" s="264">
        <v>9</v>
      </c>
      <c r="C208" s="22"/>
      <c r="D208" s="6" t="s">
        <v>1271</v>
      </c>
      <c r="E208" s="264">
        <v>7.5</v>
      </c>
      <c r="F208" s="4"/>
      <c r="G208" s="6" t="s">
        <v>1286</v>
      </c>
      <c r="H208" s="264">
        <v>8.5</v>
      </c>
      <c r="I208" s="22"/>
      <c r="J208" s="160" t="s">
        <v>1366</v>
      </c>
      <c r="K208" s="14">
        <f>ROUND(SUM(K209:K217)/COUNT(K209:K217), 2)</f>
        <v>8.67</v>
      </c>
      <c r="L208" s="4"/>
      <c r="M208" s="6" t="s">
        <v>1196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1242</v>
      </c>
      <c r="B209" s="264">
        <v>8.5</v>
      </c>
      <c r="C209" s="22"/>
      <c r="D209" s="6" t="s">
        <v>1272</v>
      </c>
      <c r="E209" s="264">
        <v>8</v>
      </c>
      <c r="F209" s="4"/>
      <c r="G209" s="6" t="s">
        <v>1287</v>
      </c>
      <c r="H209" s="264">
        <v>9</v>
      </c>
      <c r="I209" s="4"/>
      <c r="J209" s="13" t="s">
        <v>1294</v>
      </c>
      <c r="K209" s="263">
        <v>9</v>
      </c>
      <c r="L209" s="4"/>
      <c r="M209" s="9" t="s">
        <v>1197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1243</v>
      </c>
      <c r="B210" s="264">
        <v>6.5</v>
      </c>
      <c r="C210" s="22"/>
      <c r="D210" s="6" t="s">
        <v>1273</v>
      </c>
      <c r="E210" s="264">
        <v>10.5</v>
      </c>
      <c r="F210" s="4"/>
      <c r="G210" s="6" t="s">
        <v>1288</v>
      </c>
      <c r="H210" s="264">
        <v>8</v>
      </c>
      <c r="I210" s="4"/>
      <c r="J210" s="6" t="s">
        <v>1295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1274</v>
      </c>
      <c r="E211" s="265"/>
      <c r="F211" s="4"/>
      <c r="G211" s="6" t="s">
        <v>1289</v>
      </c>
      <c r="H211" s="264">
        <v>7.5</v>
      </c>
      <c r="I211" s="4"/>
      <c r="J211" s="6" t="s">
        <v>1296</v>
      </c>
      <c r="K211" s="264">
        <v>10.5</v>
      </c>
      <c r="L211" s="22"/>
      <c r="M211" s="157" t="s">
        <v>1326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1290</v>
      </c>
      <c r="H212" s="264">
        <v>8</v>
      </c>
      <c r="I212" s="4"/>
      <c r="J212" s="6" t="s">
        <v>1297</v>
      </c>
      <c r="K212" s="264">
        <v>7.5</v>
      </c>
      <c r="L212" s="4"/>
      <c r="M212" s="13" t="s">
        <v>1311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1345</v>
      </c>
      <c r="B213" s="14">
        <f>ROUND(SUM(B214:B224)/COUNT(B214:B224), 2)</f>
        <v>8.9499999999999993</v>
      </c>
      <c r="C213" s="4"/>
      <c r="D213" s="158" t="s">
        <v>1330</v>
      </c>
      <c r="E213" s="14">
        <f>ROUND(SUM(E214:E227)/COUNT(E214:E227), 2)</f>
        <v>8.77</v>
      </c>
      <c r="F213" s="4"/>
      <c r="G213" s="9" t="s">
        <v>1291</v>
      </c>
      <c r="H213" s="265">
        <v>7</v>
      </c>
      <c r="I213" s="4"/>
      <c r="J213" s="6" t="s">
        <v>1298</v>
      </c>
      <c r="K213" s="264">
        <v>9</v>
      </c>
      <c r="L213" s="4"/>
      <c r="M213" s="6" t="s">
        <v>1312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1346</v>
      </c>
      <c r="B214" s="263">
        <v>8.5</v>
      </c>
      <c r="C214" s="4"/>
      <c r="D214" s="13" t="s">
        <v>1331</v>
      </c>
      <c r="E214" s="263">
        <v>9</v>
      </c>
      <c r="F214" s="4"/>
      <c r="G214" s="21"/>
      <c r="H214" s="21"/>
      <c r="I214" s="4"/>
      <c r="J214" s="6" t="s">
        <v>1299</v>
      </c>
      <c r="K214" s="264">
        <v>7</v>
      </c>
      <c r="L214" s="4"/>
      <c r="M214" s="6" t="s">
        <v>1313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1347</v>
      </c>
      <c r="B215" s="264">
        <v>10</v>
      </c>
      <c r="C215" s="4"/>
      <c r="D215" s="6" t="s">
        <v>1332</v>
      </c>
      <c r="E215" s="264">
        <v>10</v>
      </c>
      <c r="F215" s="22"/>
      <c r="G215" s="165" t="s">
        <v>1367</v>
      </c>
      <c r="H215" s="14">
        <f>ROUND(SUM(H216:H227)/COUNT(H216:H227), 2)</f>
        <v>8.4600000000000009</v>
      </c>
      <c r="I215" s="4"/>
      <c r="J215" s="6" t="s">
        <v>1300</v>
      </c>
      <c r="K215" s="264">
        <v>8</v>
      </c>
      <c r="L215" s="4"/>
      <c r="M215" s="6" t="s">
        <v>1314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1348</v>
      </c>
      <c r="B216" s="264">
        <v>9.5</v>
      </c>
      <c r="C216" s="4"/>
      <c r="D216" s="6" t="s">
        <v>1333</v>
      </c>
      <c r="E216" s="264">
        <v>9.5</v>
      </c>
      <c r="F216" s="4"/>
      <c r="G216" s="13" t="s">
        <v>1368</v>
      </c>
      <c r="H216" s="263">
        <v>10</v>
      </c>
      <c r="I216" s="4"/>
      <c r="J216" s="6" t="s">
        <v>1301</v>
      </c>
      <c r="K216" s="264">
        <v>9</v>
      </c>
      <c r="L216" s="4"/>
      <c r="M216" s="6" t="s">
        <v>1315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1349</v>
      </c>
      <c r="B217" s="264">
        <v>9</v>
      </c>
      <c r="C217" s="4"/>
      <c r="D217" s="6" t="s">
        <v>1334</v>
      </c>
      <c r="E217" s="264">
        <v>10</v>
      </c>
      <c r="F217" s="4"/>
      <c r="G217" s="6" t="s">
        <v>1369</v>
      </c>
      <c r="H217" s="264">
        <v>9</v>
      </c>
      <c r="I217" s="4"/>
      <c r="J217" s="9" t="s">
        <v>1302</v>
      </c>
      <c r="K217" s="265">
        <v>10</v>
      </c>
      <c r="L217" s="4"/>
      <c r="M217" s="6" t="s">
        <v>1316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1350</v>
      </c>
      <c r="B218" s="264">
        <v>9</v>
      </c>
      <c r="C218" s="4"/>
      <c r="D218" s="6" t="s">
        <v>1335</v>
      </c>
      <c r="E218" s="264">
        <v>8.5</v>
      </c>
      <c r="F218" s="4"/>
      <c r="G218" s="6" t="s">
        <v>1370</v>
      </c>
      <c r="H218" s="264">
        <v>8.5</v>
      </c>
      <c r="I218" s="4"/>
      <c r="J218" s="21"/>
      <c r="K218" s="21"/>
      <c r="L218" s="4"/>
      <c r="M218" s="6" t="s">
        <v>1317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1351</v>
      </c>
      <c r="B219" s="264">
        <v>8.5</v>
      </c>
      <c r="C219" s="4"/>
      <c r="D219" s="6" t="s">
        <v>1336</v>
      </c>
      <c r="E219" s="264"/>
      <c r="F219" s="4"/>
      <c r="G219" s="6" t="s">
        <v>1371</v>
      </c>
      <c r="H219" s="264">
        <v>10.5</v>
      </c>
      <c r="I219" s="22"/>
      <c r="J219" s="161" t="s">
        <v>1381</v>
      </c>
      <c r="K219" s="14">
        <f>ROUND(SUM(K220:K235)/COUNT(K220:K235), 2)</f>
        <v>8.82</v>
      </c>
      <c r="L219" s="4"/>
      <c r="M219" s="6" t="s">
        <v>1318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1352</v>
      </c>
      <c r="B220" s="264">
        <v>8</v>
      </c>
      <c r="C220" s="4"/>
      <c r="D220" s="6" t="s">
        <v>1337</v>
      </c>
      <c r="E220" s="264">
        <v>8</v>
      </c>
      <c r="F220" s="4"/>
      <c r="G220" s="6" t="s">
        <v>1372</v>
      </c>
      <c r="H220" s="264">
        <v>8.5</v>
      </c>
      <c r="I220" s="4"/>
      <c r="J220" s="13" t="s">
        <v>1382</v>
      </c>
      <c r="K220" s="263">
        <v>10</v>
      </c>
      <c r="L220" s="4"/>
      <c r="M220" s="6" t="s">
        <v>1319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1353</v>
      </c>
      <c r="B221" s="264">
        <v>9.5</v>
      </c>
      <c r="C221" s="4"/>
      <c r="D221" s="6" t="s">
        <v>1338</v>
      </c>
      <c r="E221" s="264">
        <v>9.5</v>
      </c>
      <c r="F221" s="4"/>
      <c r="G221" s="6" t="s">
        <v>1373</v>
      </c>
      <c r="H221" s="264">
        <v>9</v>
      </c>
      <c r="I221" s="4"/>
      <c r="J221" s="6" t="s">
        <v>1383</v>
      </c>
      <c r="K221" s="264"/>
      <c r="L221" s="4"/>
      <c r="M221" s="6" t="s">
        <v>1320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1354</v>
      </c>
      <c r="B222" s="264">
        <v>9</v>
      </c>
      <c r="C222" s="4"/>
      <c r="D222" s="6" t="s">
        <v>1339</v>
      </c>
      <c r="E222" s="264">
        <v>8</v>
      </c>
      <c r="F222" s="4"/>
      <c r="G222" s="6" t="s">
        <v>1374</v>
      </c>
      <c r="H222" s="264">
        <v>7.5</v>
      </c>
      <c r="I222" s="4"/>
      <c r="J222" s="6" t="s">
        <v>1384</v>
      </c>
      <c r="K222" s="264">
        <v>10.5</v>
      </c>
      <c r="L222" s="4"/>
      <c r="M222" s="6" t="s">
        <v>1321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1355</v>
      </c>
      <c r="B223" s="264">
        <v>9</v>
      </c>
      <c r="C223" s="4"/>
      <c r="D223" s="6" t="s">
        <v>1340</v>
      </c>
      <c r="E223" s="264">
        <v>8</v>
      </c>
      <c r="F223" s="4"/>
      <c r="G223" s="6" t="s">
        <v>1375</v>
      </c>
      <c r="H223" s="264">
        <v>10.5</v>
      </c>
      <c r="I223" s="4"/>
      <c r="J223" s="6" t="s">
        <v>1385</v>
      </c>
      <c r="K223" s="264">
        <v>8.5</v>
      </c>
      <c r="L223" s="4"/>
      <c r="M223" s="6" t="s">
        <v>1322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1356</v>
      </c>
      <c r="B224" s="265">
        <v>8.5</v>
      </c>
      <c r="C224" s="4"/>
      <c r="D224" s="6" t="s">
        <v>1341</v>
      </c>
      <c r="E224" s="264">
        <v>8</v>
      </c>
      <c r="F224" s="4"/>
      <c r="G224" s="6" t="s">
        <v>1376</v>
      </c>
      <c r="H224" s="264">
        <v>7</v>
      </c>
      <c r="I224" s="4"/>
      <c r="J224" s="6" t="s">
        <v>1386</v>
      </c>
      <c r="K224" s="264">
        <v>9</v>
      </c>
      <c r="L224" s="4"/>
      <c r="M224" s="6" t="s">
        <v>1323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1342</v>
      </c>
      <c r="E225" s="264">
        <v>8</v>
      </c>
      <c r="F225" s="4"/>
      <c r="G225" s="6" t="s">
        <v>1377</v>
      </c>
      <c r="H225" s="264">
        <v>7.5</v>
      </c>
      <c r="I225" s="4"/>
      <c r="J225" s="6" t="s">
        <v>1387</v>
      </c>
      <c r="K225" s="264">
        <v>8</v>
      </c>
      <c r="L225" s="4"/>
      <c r="M225" s="6" t="s">
        <v>1324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1401</v>
      </c>
      <c r="B226" s="14">
        <f>ROUND(SUM(B227:B233)/COUNT(B227:B233), 2)</f>
        <v>8.86</v>
      </c>
      <c r="C226" s="41"/>
      <c r="D226" s="5" t="s">
        <v>1343</v>
      </c>
      <c r="E226" s="264">
        <v>8.5</v>
      </c>
      <c r="F226" s="4"/>
      <c r="G226" s="6" t="s">
        <v>1378</v>
      </c>
      <c r="H226" s="264">
        <v>6.5</v>
      </c>
      <c r="I226" s="4"/>
      <c r="J226" s="6" t="s">
        <v>1388</v>
      </c>
      <c r="K226" s="264">
        <v>9.5</v>
      </c>
      <c r="L226" s="4"/>
      <c r="M226" s="9" t="s">
        <v>1325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1402</v>
      </c>
      <c r="B227" s="263">
        <v>10</v>
      </c>
      <c r="C227" s="4"/>
      <c r="D227" s="9" t="s">
        <v>1344</v>
      </c>
      <c r="E227" s="265">
        <v>9</v>
      </c>
      <c r="F227" s="4"/>
      <c r="G227" s="9" t="s">
        <v>1379</v>
      </c>
      <c r="H227" s="265">
        <v>7</v>
      </c>
      <c r="I227" s="4"/>
      <c r="J227" s="6" t="s">
        <v>1389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1403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1390</v>
      </c>
      <c r="K228" s="264">
        <v>8</v>
      </c>
      <c r="L228" s="22"/>
      <c r="M228" s="164" t="s">
        <v>1438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1404</v>
      </c>
      <c r="B229" s="264">
        <v>9</v>
      </c>
      <c r="C229" s="4"/>
      <c r="D229" s="162" t="s">
        <v>1412</v>
      </c>
      <c r="E229" s="14">
        <f>ROUND(SUM(E230:E235)/COUNT(E230:E235), 2)</f>
        <v>8.83</v>
      </c>
      <c r="F229" s="22"/>
      <c r="G229" s="163" t="s">
        <v>1439</v>
      </c>
      <c r="H229" s="14">
        <f>ROUND(SUM(H230:H244)/COUNT(H230:H244), 2)</f>
        <v>8.8800000000000008</v>
      </c>
      <c r="I229" s="4"/>
      <c r="J229" s="6" t="s">
        <v>1391</v>
      </c>
      <c r="K229" s="264">
        <v>8</v>
      </c>
      <c r="L229" s="4"/>
      <c r="M229" s="13" t="s">
        <v>1426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1405</v>
      </c>
      <c r="B230" s="264">
        <v>8</v>
      </c>
      <c r="C230" s="4"/>
      <c r="D230" s="13" t="s">
        <v>1413</v>
      </c>
      <c r="E230" s="263">
        <v>8.5</v>
      </c>
      <c r="F230" s="4"/>
      <c r="G230" s="13" t="s">
        <v>1440</v>
      </c>
      <c r="H230" s="263"/>
      <c r="I230" s="4"/>
      <c r="J230" s="6" t="s">
        <v>1392</v>
      </c>
      <c r="K230" s="264">
        <v>10</v>
      </c>
      <c r="L230" s="4"/>
      <c r="M230" s="6" t="s">
        <v>1427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1406</v>
      </c>
      <c r="B231" s="264">
        <v>9</v>
      </c>
      <c r="C231" s="4"/>
      <c r="D231" s="6" t="s">
        <v>1414</v>
      </c>
      <c r="E231" s="264">
        <v>8.5</v>
      </c>
      <c r="F231" s="4"/>
      <c r="G231" s="6" t="s">
        <v>1441</v>
      </c>
      <c r="H231" s="264">
        <v>8.5</v>
      </c>
      <c r="I231" s="4"/>
      <c r="J231" s="6" t="s">
        <v>1393</v>
      </c>
      <c r="K231" s="264">
        <v>7.5</v>
      </c>
      <c r="L231" s="4"/>
      <c r="M231" s="6" t="s">
        <v>1428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1407</v>
      </c>
      <c r="B232" s="264">
        <v>8.5</v>
      </c>
      <c r="C232" s="4"/>
      <c r="D232" s="6" t="s">
        <v>1415</v>
      </c>
      <c r="E232" s="264">
        <v>8</v>
      </c>
      <c r="F232" s="4"/>
      <c r="G232" s="6" t="s">
        <v>1442</v>
      </c>
      <c r="H232" s="264">
        <v>9.5</v>
      </c>
      <c r="I232" s="4"/>
      <c r="J232" s="6" t="s">
        <v>1394</v>
      </c>
      <c r="K232" s="264">
        <v>9.5</v>
      </c>
      <c r="L232" s="4"/>
      <c r="M232" s="6" t="s">
        <v>1429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1408</v>
      </c>
      <c r="B233" s="265">
        <v>8</v>
      </c>
      <c r="C233" s="4"/>
      <c r="D233" s="6" t="s">
        <v>1416</v>
      </c>
      <c r="E233" s="264">
        <v>9</v>
      </c>
      <c r="F233" s="4"/>
      <c r="G233" s="6" t="s">
        <v>1443</v>
      </c>
      <c r="H233" s="264">
        <v>8.5</v>
      </c>
      <c r="I233" s="4"/>
      <c r="J233" s="6" t="s">
        <v>1395</v>
      </c>
      <c r="K233" s="264">
        <v>8</v>
      </c>
      <c r="L233" s="4"/>
      <c r="M233" s="6" t="s">
        <v>1430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1417</v>
      </c>
      <c r="E234" s="264">
        <v>9</v>
      </c>
      <c r="F234" s="4"/>
      <c r="G234" s="6" t="s">
        <v>1444</v>
      </c>
      <c r="H234" s="264">
        <v>10</v>
      </c>
      <c r="I234" s="4"/>
      <c r="J234" s="6" t="s">
        <v>1396</v>
      </c>
      <c r="K234" s="264">
        <v>9</v>
      </c>
      <c r="L234" s="4"/>
      <c r="M234" s="6" t="s">
        <v>1431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1456</v>
      </c>
      <c r="B235" s="14">
        <f>ROUND(SUM(B236:B244)/COUNT(B236:B244), 2)</f>
        <v>8.83</v>
      </c>
      <c r="C235" s="4"/>
      <c r="D235" s="9" t="s">
        <v>1418</v>
      </c>
      <c r="E235" s="265">
        <v>10</v>
      </c>
      <c r="F235" s="4"/>
      <c r="G235" s="6" t="s">
        <v>1445</v>
      </c>
      <c r="H235" s="266">
        <v>10.5</v>
      </c>
      <c r="I235" s="4"/>
      <c r="J235" s="9" t="s">
        <v>1397</v>
      </c>
      <c r="K235" s="265">
        <v>8</v>
      </c>
      <c r="L235" s="4"/>
      <c r="M235" s="6" t="s">
        <v>1432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1457</v>
      </c>
      <c r="B236" s="263">
        <v>9</v>
      </c>
      <c r="C236" s="4"/>
      <c r="D236" s="21"/>
      <c r="E236" s="21"/>
      <c r="F236" s="4"/>
      <c r="G236" s="6" t="s">
        <v>1446</v>
      </c>
      <c r="H236" s="264">
        <v>9</v>
      </c>
      <c r="I236" s="4"/>
      <c r="J236" s="21"/>
      <c r="K236" s="21"/>
      <c r="L236" s="4"/>
      <c r="M236" s="6" t="s">
        <v>1433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1458</v>
      </c>
      <c r="B237" s="264">
        <v>10</v>
      </c>
      <c r="C237" s="4"/>
      <c r="D237" s="168" t="s">
        <v>1490</v>
      </c>
      <c r="E237" s="3">
        <f>ROUND(SUM(E238:E252)/COUNT(E238:E252), 2)</f>
        <v>8.8000000000000007</v>
      </c>
      <c r="F237" s="4"/>
      <c r="G237" s="6" t="s">
        <v>1447</v>
      </c>
      <c r="H237" s="264">
        <v>8.5</v>
      </c>
      <c r="I237" s="22"/>
      <c r="J237" s="170" t="s">
        <v>1494</v>
      </c>
      <c r="K237" s="14">
        <f>ROUND(SUM(K238:K250)/COUNT(K238:K250), 2)</f>
        <v>8.73</v>
      </c>
      <c r="L237" s="4"/>
      <c r="M237" s="6" t="s">
        <v>1434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1459</v>
      </c>
      <c r="B238" s="264">
        <v>8.5</v>
      </c>
      <c r="C238" s="4"/>
      <c r="D238" s="13" t="s">
        <v>1471</v>
      </c>
      <c r="E238" s="263">
        <v>8</v>
      </c>
      <c r="F238" s="4"/>
      <c r="G238" s="6" t="s">
        <v>1448</v>
      </c>
      <c r="H238" s="264">
        <v>8.5</v>
      </c>
      <c r="I238" s="4"/>
      <c r="J238" s="13" t="s">
        <v>1507</v>
      </c>
      <c r="K238" s="263">
        <v>10.5</v>
      </c>
      <c r="L238" s="4"/>
      <c r="M238" s="9" t="s">
        <v>1435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1460</v>
      </c>
      <c r="B239" s="264">
        <v>8.5</v>
      </c>
      <c r="C239" s="4"/>
      <c r="D239" s="6" t="s">
        <v>1472</v>
      </c>
      <c r="E239" s="264">
        <v>8.5</v>
      </c>
      <c r="F239" s="4"/>
      <c r="G239" s="6" t="s">
        <v>1449</v>
      </c>
      <c r="H239" s="264">
        <v>8</v>
      </c>
      <c r="I239" s="4"/>
      <c r="J239" s="6" t="s">
        <v>1495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1461</v>
      </c>
      <c r="B240" s="264">
        <v>9.5</v>
      </c>
      <c r="C240" s="4"/>
      <c r="D240" s="6" t="s">
        <v>1473</v>
      </c>
      <c r="E240" s="264">
        <v>9.5</v>
      </c>
      <c r="F240" s="4"/>
      <c r="G240" s="6" t="s">
        <v>1450</v>
      </c>
      <c r="H240" s="264"/>
      <c r="I240" s="4"/>
      <c r="J240" s="6" t="s">
        <v>1496</v>
      </c>
      <c r="K240" s="264">
        <v>9</v>
      </c>
      <c r="L240" s="4"/>
      <c r="M240" s="273" t="s">
        <v>1511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1462</v>
      </c>
      <c r="B241" s="264">
        <v>8</v>
      </c>
      <c r="C241" s="4"/>
      <c r="D241" s="6" t="s">
        <v>1474</v>
      </c>
      <c r="E241" s="264">
        <v>10</v>
      </c>
      <c r="F241" s="4"/>
      <c r="G241" s="6" t="s">
        <v>1451</v>
      </c>
      <c r="H241" s="264">
        <v>9.5</v>
      </c>
      <c r="I241" s="4"/>
      <c r="J241" s="6" t="s">
        <v>1497</v>
      </c>
      <c r="K241" s="264">
        <v>9.5</v>
      </c>
      <c r="L241" s="4"/>
      <c r="M241" s="13" t="s">
        <v>1512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1463</v>
      </c>
      <c r="B242" s="264">
        <v>8.5</v>
      </c>
      <c r="C242" s="4"/>
      <c r="D242" s="6" t="s">
        <v>1475</v>
      </c>
      <c r="E242" s="264">
        <v>8.5</v>
      </c>
      <c r="F242" s="4"/>
      <c r="G242" s="6" t="s">
        <v>1452</v>
      </c>
      <c r="H242" s="264">
        <v>8</v>
      </c>
      <c r="I242" s="4"/>
      <c r="J242" s="6" t="s">
        <v>1498</v>
      </c>
      <c r="K242" s="264">
        <v>9</v>
      </c>
      <c r="L242" s="4"/>
      <c r="M242" s="6" t="s">
        <v>1513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1464</v>
      </c>
      <c r="B243" s="264">
        <v>9</v>
      </c>
      <c r="C243" s="4"/>
      <c r="D243" s="6" t="s">
        <v>1476</v>
      </c>
      <c r="E243" s="264">
        <v>9.5</v>
      </c>
      <c r="F243" s="4"/>
      <c r="G243" s="6" t="s">
        <v>1453</v>
      </c>
      <c r="H243" s="264">
        <v>8.5</v>
      </c>
      <c r="I243" s="4"/>
      <c r="J243" s="6" t="s">
        <v>1499</v>
      </c>
      <c r="K243" s="264">
        <v>8</v>
      </c>
      <c r="L243" s="4"/>
      <c r="M243" s="6" t="s">
        <v>1514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1465</v>
      </c>
      <c r="B244" s="265">
        <v>8.5</v>
      </c>
      <c r="C244" s="4"/>
      <c r="D244" s="6" t="s">
        <v>1477</v>
      </c>
      <c r="E244" s="264">
        <v>9.5</v>
      </c>
      <c r="F244" s="4"/>
      <c r="G244" s="9" t="s">
        <v>1454</v>
      </c>
      <c r="H244" s="265">
        <v>8.5</v>
      </c>
      <c r="I244" s="4"/>
      <c r="J244" s="6" t="s">
        <v>1500</v>
      </c>
      <c r="K244" s="264">
        <v>9</v>
      </c>
      <c r="L244" s="4"/>
      <c r="M244" s="6" t="s">
        <v>1515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1478</v>
      </c>
      <c r="E245" s="264">
        <v>8</v>
      </c>
      <c r="F245" s="4"/>
      <c r="G245" s="21"/>
      <c r="H245" s="21"/>
      <c r="I245" s="4"/>
      <c r="J245" s="6" t="s">
        <v>1501</v>
      </c>
      <c r="K245" s="264">
        <v>8.5</v>
      </c>
      <c r="L245" s="4"/>
      <c r="M245" s="6" t="s">
        <v>1516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1551</v>
      </c>
      <c r="B246" s="14">
        <f>ROUND(SUM(B247:B258)/COUNT(B247:B258), 2)</f>
        <v>8.82</v>
      </c>
      <c r="C246" s="4"/>
      <c r="D246" s="6" t="s">
        <v>1479</v>
      </c>
      <c r="E246" s="264">
        <v>8</v>
      </c>
      <c r="F246" s="4"/>
      <c r="G246" s="171" t="s">
        <v>1533</v>
      </c>
      <c r="H246" s="3">
        <f>ROUND(SUM(H247:H256)/COUNT(H247:H256), 2)</f>
        <v>8.75</v>
      </c>
      <c r="I246" s="4"/>
      <c r="J246" s="6" t="s">
        <v>1502</v>
      </c>
      <c r="K246" s="264">
        <v>8</v>
      </c>
      <c r="L246" s="4"/>
      <c r="M246" s="6" t="s">
        <v>1517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1539</v>
      </c>
      <c r="B247" s="263">
        <v>9.5</v>
      </c>
      <c r="C247" s="4"/>
      <c r="D247" s="6" t="s">
        <v>1480</v>
      </c>
      <c r="E247" s="264">
        <v>8.5</v>
      </c>
      <c r="F247" s="4"/>
      <c r="G247" s="6" t="s">
        <v>1524</v>
      </c>
      <c r="H247" s="264">
        <v>10</v>
      </c>
      <c r="I247" s="4"/>
      <c r="J247" s="6" t="s">
        <v>1503</v>
      </c>
      <c r="K247" s="264">
        <v>8</v>
      </c>
      <c r="L247" s="4"/>
      <c r="M247" s="9" t="s">
        <v>1518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1540</v>
      </c>
      <c r="B248" s="264">
        <v>8.5</v>
      </c>
      <c r="C248" s="4"/>
      <c r="D248" s="6" t="s">
        <v>1481</v>
      </c>
      <c r="E248" s="264">
        <v>10</v>
      </c>
      <c r="F248" s="4"/>
      <c r="G248" s="6" t="s">
        <v>1525</v>
      </c>
      <c r="H248" s="264">
        <v>9</v>
      </c>
      <c r="I248" s="4"/>
      <c r="J248" s="6" t="s">
        <v>1504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1541</v>
      </c>
      <c r="B249" s="264">
        <v>8.5</v>
      </c>
      <c r="C249" s="4"/>
      <c r="D249" s="6" t="s">
        <v>1482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1505</v>
      </c>
      <c r="K249" s="264">
        <v>8.5</v>
      </c>
      <c r="L249" s="4"/>
      <c r="M249" s="274" t="s">
        <v>1556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1542</v>
      </c>
      <c r="B250" s="264"/>
      <c r="C250" s="4"/>
      <c r="D250" s="6" t="s">
        <v>1483</v>
      </c>
      <c r="E250" s="264">
        <v>9</v>
      </c>
      <c r="F250" s="4"/>
      <c r="G250" s="6" t="s">
        <v>1526</v>
      </c>
      <c r="H250" s="264">
        <v>9</v>
      </c>
      <c r="I250" s="4"/>
      <c r="J250" s="9" t="s">
        <v>1506</v>
      </c>
      <c r="K250" s="265">
        <v>8</v>
      </c>
      <c r="L250" s="4"/>
      <c r="M250" s="13" t="s">
        <v>1555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1543</v>
      </c>
      <c r="B251" s="264">
        <v>8</v>
      </c>
      <c r="C251" s="4"/>
      <c r="D251" s="6" t="s">
        <v>1484</v>
      </c>
      <c r="E251" s="264">
        <v>8.5</v>
      </c>
      <c r="F251" s="4"/>
      <c r="G251" s="6" t="s">
        <v>1527</v>
      </c>
      <c r="H251" s="264">
        <v>8.5</v>
      </c>
      <c r="I251" s="4"/>
      <c r="J251" s="4"/>
      <c r="K251" s="4"/>
      <c r="L251" s="4"/>
      <c r="M251" s="6" t="s">
        <v>1557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1544</v>
      </c>
      <c r="B252" s="264">
        <v>10</v>
      </c>
      <c r="C252" s="4"/>
      <c r="D252" s="9" t="s">
        <v>1485</v>
      </c>
      <c r="E252" s="265">
        <v>8</v>
      </c>
      <c r="F252" s="4"/>
      <c r="G252" s="6" t="s">
        <v>1528</v>
      </c>
      <c r="H252" s="264">
        <v>8</v>
      </c>
      <c r="I252" s="4"/>
      <c r="J252" s="174" t="s">
        <v>1597</v>
      </c>
      <c r="K252" s="3">
        <f>ROUND(SUM(K253:K262)/COUNT(K253:K262), 2)</f>
        <v>8</v>
      </c>
      <c r="L252" s="4"/>
      <c r="M252" s="6" t="s">
        <v>1558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1545</v>
      </c>
      <c r="B253" s="264">
        <v>10.5</v>
      </c>
      <c r="C253" s="4"/>
      <c r="D253" s="4"/>
      <c r="E253" s="4"/>
      <c r="F253" s="4"/>
      <c r="G253" s="6" t="s">
        <v>1529</v>
      </c>
      <c r="H253" s="264">
        <v>9</v>
      </c>
      <c r="I253" s="4"/>
      <c r="J253" s="13" t="s">
        <v>1587</v>
      </c>
      <c r="K253" s="263">
        <v>8.5</v>
      </c>
      <c r="L253" s="4"/>
      <c r="M253" s="6" t="s">
        <v>1559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1546</v>
      </c>
      <c r="B254" s="264">
        <v>9</v>
      </c>
      <c r="C254" s="4"/>
      <c r="D254" s="175" t="s">
        <v>1603</v>
      </c>
      <c r="E254" s="3">
        <f>ROUND(SUM(E255:E264)/COUNT(E255:E264), 2)</f>
        <v>8.44</v>
      </c>
      <c r="F254" s="4"/>
      <c r="G254" s="6" t="s">
        <v>1530</v>
      </c>
      <c r="H254" s="264">
        <v>8</v>
      </c>
      <c r="I254" s="4"/>
      <c r="J254" s="6" t="s">
        <v>1588</v>
      </c>
      <c r="K254" s="264">
        <v>7.5</v>
      </c>
      <c r="L254" s="4"/>
      <c r="M254" s="6" t="s">
        <v>1560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1547</v>
      </c>
      <c r="B255" s="264">
        <v>8</v>
      </c>
      <c r="C255" s="4"/>
      <c r="D255" s="13" t="s">
        <v>1604</v>
      </c>
      <c r="E255" s="263">
        <v>8.5</v>
      </c>
      <c r="F255" s="4"/>
      <c r="G255" s="6" t="s">
        <v>1531</v>
      </c>
      <c r="H255" s="264">
        <v>8</v>
      </c>
      <c r="I255" s="4"/>
      <c r="J255" s="6" t="s">
        <v>1589</v>
      </c>
      <c r="K255" s="264">
        <v>9.5</v>
      </c>
      <c r="L255" s="4"/>
      <c r="M255" s="6" t="s">
        <v>1561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1548</v>
      </c>
      <c r="B256" s="264">
        <v>8</v>
      </c>
      <c r="C256" s="4"/>
      <c r="D256" s="6" t="s">
        <v>1605</v>
      </c>
      <c r="E256" s="264">
        <v>10</v>
      </c>
      <c r="F256" s="4"/>
      <c r="G256" s="9" t="s">
        <v>1532</v>
      </c>
      <c r="H256" s="265">
        <v>8</v>
      </c>
      <c r="I256" s="4"/>
      <c r="J256" s="6" t="s">
        <v>1590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1549</v>
      </c>
      <c r="B257" s="264">
        <v>8.5</v>
      </c>
      <c r="C257" s="4"/>
      <c r="D257" s="6" t="s">
        <v>1606</v>
      </c>
      <c r="E257" s="264">
        <v>9.5</v>
      </c>
      <c r="F257" s="4"/>
      <c r="G257" s="4"/>
      <c r="H257" s="4"/>
      <c r="I257" s="4"/>
      <c r="J257" s="6" t="s">
        <v>1591</v>
      </c>
      <c r="K257" s="264">
        <v>9</v>
      </c>
      <c r="L257" s="4"/>
      <c r="M257" s="6" t="s">
        <v>1562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1550</v>
      </c>
      <c r="B258" s="265">
        <v>8.5</v>
      </c>
      <c r="C258" s="4"/>
      <c r="D258" s="6" t="s">
        <v>1607</v>
      </c>
      <c r="E258" s="264">
        <v>10</v>
      </c>
      <c r="F258" s="4"/>
      <c r="G258" s="192" t="s">
        <v>1618</v>
      </c>
      <c r="H258" s="14">
        <f>ROUND(SUM(H259:H263)/COUNT(H259:H263), 2)</f>
        <v>8.9</v>
      </c>
      <c r="I258" s="4"/>
      <c r="J258" s="6" t="s">
        <v>1592</v>
      </c>
      <c r="K258" s="264">
        <v>6.5</v>
      </c>
      <c r="L258" s="4"/>
      <c r="M258" s="6" t="s">
        <v>1563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1608</v>
      </c>
      <c r="E259" s="264"/>
      <c r="F259" s="4"/>
      <c r="G259" s="13" t="s">
        <v>1619</v>
      </c>
      <c r="H259" s="263">
        <v>9</v>
      </c>
      <c r="I259" s="4"/>
      <c r="J259" s="6" t="s">
        <v>1593</v>
      </c>
      <c r="K259" s="264"/>
      <c r="L259" s="4"/>
      <c r="M259" s="6" t="s">
        <v>1564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1627</v>
      </c>
      <c r="B260" s="3">
        <f>ROUND(SUM(B261:B270)/COUNT(B261:B270), 2)</f>
        <v>8.75</v>
      </c>
      <c r="C260" s="4"/>
      <c r="D260" s="6" t="s">
        <v>1609</v>
      </c>
      <c r="E260" s="264">
        <v>8</v>
      </c>
      <c r="F260" s="4"/>
      <c r="G260" s="6" t="s">
        <v>1620</v>
      </c>
      <c r="H260" s="264">
        <v>8.5</v>
      </c>
      <c r="I260" s="4"/>
      <c r="J260" s="6" t="s">
        <v>1594</v>
      </c>
      <c r="K260" s="264">
        <v>7.5</v>
      </c>
      <c r="L260" s="4"/>
      <c r="M260" s="6" t="s">
        <v>1565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1628</v>
      </c>
      <c r="B261" s="264">
        <v>8</v>
      </c>
      <c r="C261" s="4"/>
      <c r="D261" s="6" t="s">
        <v>1610</v>
      </c>
      <c r="E261" s="264">
        <v>9</v>
      </c>
      <c r="F261" s="4"/>
      <c r="G261" s="6" t="s">
        <v>1621</v>
      </c>
      <c r="H261" s="264">
        <v>9</v>
      </c>
      <c r="I261" s="4"/>
      <c r="J261" s="6" t="s">
        <v>1595</v>
      </c>
      <c r="K261" s="264">
        <v>8.5</v>
      </c>
      <c r="L261" s="4"/>
      <c r="M261" s="6" t="s">
        <v>1566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1629</v>
      </c>
      <c r="B262" s="264">
        <v>9.5</v>
      </c>
      <c r="C262" s="4"/>
      <c r="D262" s="6" t="s">
        <v>1611</v>
      </c>
      <c r="E262" s="264">
        <v>8</v>
      </c>
      <c r="F262" s="4"/>
      <c r="G262" s="6" t="s">
        <v>1622</v>
      </c>
      <c r="H262" s="264">
        <v>8</v>
      </c>
      <c r="I262" s="4"/>
      <c r="J262" s="9" t="s">
        <v>1596</v>
      </c>
      <c r="K262" s="265">
        <v>7.5</v>
      </c>
      <c r="L262" s="4"/>
      <c r="M262" s="6" t="s">
        <v>1567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1630</v>
      </c>
      <c r="B263" s="264">
        <v>10</v>
      </c>
      <c r="C263" s="4"/>
      <c r="D263" s="6" t="s">
        <v>1612</v>
      </c>
      <c r="E263" s="264">
        <v>7</v>
      </c>
      <c r="F263" s="4"/>
      <c r="G263" s="9" t="s">
        <v>1623</v>
      </c>
      <c r="H263" s="265">
        <v>10</v>
      </c>
      <c r="I263" s="4"/>
      <c r="J263" s="4"/>
      <c r="K263" s="4"/>
      <c r="L263" s="4"/>
      <c r="M263" s="6" t="s">
        <v>1568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1631</v>
      </c>
      <c r="B264" s="264">
        <v>9.5</v>
      </c>
      <c r="C264" s="4"/>
      <c r="D264" s="9" t="s">
        <v>1613</v>
      </c>
      <c r="E264" s="265">
        <v>6</v>
      </c>
      <c r="F264" s="4"/>
      <c r="G264" s="4"/>
      <c r="H264" s="4"/>
      <c r="I264" s="4"/>
      <c r="J264" s="194" t="s">
        <v>1643</v>
      </c>
      <c r="K264" s="3">
        <f>ROUND(SUM(K265:K274)/COUNT(K265:K274), 2)</f>
        <v>8.94</v>
      </c>
      <c r="L264" s="4"/>
      <c r="M264" s="6" t="s">
        <v>1569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1632</v>
      </c>
      <c r="B265" s="264">
        <v>8</v>
      </c>
      <c r="C265" s="4"/>
      <c r="D265" s="4"/>
      <c r="E265" s="4"/>
      <c r="F265" s="4"/>
      <c r="G265" s="196" t="s">
        <v>1678</v>
      </c>
      <c r="H265" s="14">
        <f>ROUND(SUM(H266:H274)/COUNT(H266:H274), 2)</f>
        <v>8.75</v>
      </c>
      <c r="I265" s="4"/>
      <c r="J265" s="13" t="s">
        <v>1644</v>
      </c>
      <c r="K265" s="263">
        <v>8</v>
      </c>
      <c r="L265" s="4"/>
      <c r="M265" s="6" t="s">
        <v>1570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1633</v>
      </c>
      <c r="B266" s="264">
        <v>8.5</v>
      </c>
      <c r="C266" s="4"/>
      <c r="D266" s="195" t="s">
        <v>1654</v>
      </c>
      <c r="E266" s="14">
        <f>ROUND(SUM(E267:E276)/COUNT(E267:E276), 2)</f>
        <v>8.6</v>
      </c>
      <c r="F266" s="4"/>
      <c r="G266" s="13" t="s">
        <v>1669</v>
      </c>
      <c r="H266" s="263">
        <v>8.5</v>
      </c>
      <c r="I266" s="4"/>
      <c r="J266" s="6" t="s">
        <v>1645</v>
      </c>
      <c r="K266" s="264">
        <v>8.5</v>
      </c>
      <c r="L266" s="4"/>
      <c r="M266" s="6" t="s">
        <v>1571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1634</v>
      </c>
      <c r="B267" s="264">
        <v>8.5</v>
      </c>
      <c r="C267" s="4"/>
      <c r="D267" s="13" t="s">
        <v>1655</v>
      </c>
      <c r="E267" s="263">
        <v>9.5</v>
      </c>
      <c r="F267" s="4"/>
      <c r="G267" s="6" t="s">
        <v>1670</v>
      </c>
      <c r="H267" s="264">
        <v>10</v>
      </c>
      <c r="I267" s="4"/>
      <c r="J267" s="6" t="s">
        <v>1646</v>
      </c>
      <c r="K267" s="264">
        <v>8.5</v>
      </c>
      <c r="L267" s="4"/>
      <c r="M267" s="6" t="s">
        <v>1572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1635</v>
      </c>
      <c r="B268" s="264">
        <v>8</v>
      </c>
      <c r="C268" s="4"/>
      <c r="D268" s="6" t="s">
        <v>1656</v>
      </c>
      <c r="E268" s="264">
        <v>8.5</v>
      </c>
      <c r="F268" s="4"/>
      <c r="G268" s="6" t="s">
        <v>1677</v>
      </c>
      <c r="H268" s="264">
        <v>9</v>
      </c>
      <c r="I268" s="4"/>
      <c r="J268" s="6" t="s">
        <v>1647</v>
      </c>
      <c r="K268" s="264">
        <v>9</v>
      </c>
      <c r="L268" s="4"/>
      <c r="M268" s="6" t="s">
        <v>1573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1636</v>
      </c>
      <c r="B269" s="264">
        <v>7.5</v>
      </c>
      <c r="C269" s="4"/>
      <c r="D269" s="6" t="s">
        <v>1657</v>
      </c>
      <c r="E269" s="264">
        <v>8.5</v>
      </c>
      <c r="F269" s="4"/>
      <c r="G269" s="6" t="s">
        <v>1671</v>
      </c>
      <c r="H269" s="264">
        <v>8.5</v>
      </c>
      <c r="I269" s="4"/>
      <c r="J269" s="6" t="s">
        <v>1648</v>
      </c>
      <c r="K269" s="264">
        <v>10</v>
      </c>
      <c r="L269" s="4"/>
      <c r="M269" s="6" t="s">
        <v>1574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1637</v>
      </c>
      <c r="B270" s="265">
        <v>10</v>
      </c>
      <c r="C270" s="4"/>
      <c r="D270" s="6" t="s">
        <v>1658</v>
      </c>
      <c r="E270" s="264">
        <v>8</v>
      </c>
      <c r="F270" s="4"/>
      <c r="G270" s="6" t="s">
        <v>1672</v>
      </c>
      <c r="H270" s="264">
        <v>8.5</v>
      </c>
      <c r="I270" s="4"/>
      <c r="J270" s="6" t="s">
        <v>1649</v>
      </c>
      <c r="K270" s="264">
        <v>10.5</v>
      </c>
      <c r="L270" s="4"/>
      <c r="M270" s="6" t="s">
        <v>1575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1659</v>
      </c>
      <c r="E271" s="264">
        <v>7.5</v>
      </c>
      <c r="F271" s="4"/>
      <c r="G271" s="6" t="s">
        <v>1673</v>
      </c>
      <c r="H271" s="264"/>
      <c r="I271" s="4"/>
      <c r="J271" s="6" t="s">
        <v>1650</v>
      </c>
      <c r="K271" s="264"/>
      <c r="L271" s="4"/>
      <c r="M271" s="6" t="s">
        <v>1576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1685</v>
      </c>
      <c r="B272" s="14">
        <f>ROUND(SUM(B273:B277)/COUNT(B273:B277), 2)</f>
        <v>8.4</v>
      </c>
      <c r="C272" s="4"/>
      <c r="D272" s="6" t="s">
        <v>1660</v>
      </c>
      <c r="E272" s="264">
        <v>9.5</v>
      </c>
      <c r="F272" s="4"/>
      <c r="G272" s="6" t="s">
        <v>1674</v>
      </c>
      <c r="H272" s="264">
        <v>8.5</v>
      </c>
      <c r="I272" s="4"/>
      <c r="J272" s="6" t="s">
        <v>1651</v>
      </c>
      <c r="K272" s="264">
        <v>9</v>
      </c>
      <c r="L272" s="4"/>
      <c r="M272" s="6" t="s">
        <v>1577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1686</v>
      </c>
      <c r="B273" s="264">
        <v>8.5</v>
      </c>
      <c r="C273" s="4"/>
      <c r="D273" s="6" t="s">
        <v>1661</v>
      </c>
      <c r="E273" s="264">
        <v>10</v>
      </c>
      <c r="F273" s="4"/>
      <c r="G273" s="6" t="s">
        <v>1675</v>
      </c>
      <c r="H273" s="264">
        <v>9</v>
      </c>
      <c r="I273" s="4"/>
      <c r="J273" s="6" t="s">
        <v>1652</v>
      </c>
      <c r="K273" s="264">
        <v>8.5</v>
      </c>
      <c r="L273" s="4"/>
      <c r="M273" s="6" t="s">
        <v>1578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1687</v>
      </c>
      <c r="B274" s="264">
        <v>9</v>
      </c>
      <c r="C274" s="4"/>
      <c r="D274" s="6" t="s">
        <v>1662</v>
      </c>
      <c r="E274" s="264">
        <v>8</v>
      </c>
      <c r="F274" s="4"/>
      <c r="G274" s="9" t="s">
        <v>1676</v>
      </c>
      <c r="H274" s="265">
        <v>8</v>
      </c>
      <c r="I274" s="4"/>
      <c r="J274" s="9" t="s">
        <v>1653</v>
      </c>
      <c r="K274" s="265">
        <v>8.5</v>
      </c>
      <c r="L274" s="4"/>
      <c r="M274" s="6" t="s">
        <v>1579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1688</v>
      </c>
      <c r="B275" s="264">
        <v>8.5</v>
      </c>
      <c r="C275" s="4"/>
      <c r="D275" s="6" t="s">
        <v>1663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1580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1689</v>
      </c>
      <c r="B276" s="264">
        <v>8</v>
      </c>
      <c r="C276" s="4"/>
      <c r="D276" s="9" t="s">
        <v>1664</v>
      </c>
      <c r="E276" s="265">
        <v>9</v>
      </c>
      <c r="F276" s="4"/>
      <c r="G276" s="200" t="s">
        <v>1695</v>
      </c>
      <c r="H276" s="3">
        <f>ROUND(SUM(H277:H286)/COUNT(H277:H286), 2)</f>
        <v>8.85</v>
      </c>
      <c r="I276" s="4"/>
      <c r="J276" s="201" t="s">
        <v>1719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1690</v>
      </c>
      <c r="B277" s="265">
        <v>8</v>
      </c>
      <c r="C277" s="4"/>
      <c r="D277" s="4"/>
      <c r="E277" s="4"/>
      <c r="F277" s="4"/>
      <c r="G277" s="13" t="s">
        <v>1696</v>
      </c>
      <c r="H277" s="263">
        <v>9.5</v>
      </c>
      <c r="I277" s="4"/>
      <c r="J277" s="13" t="s">
        <v>1709</v>
      </c>
      <c r="K277" s="263">
        <v>8.5</v>
      </c>
      <c r="L277" s="4"/>
      <c r="M277" s="251" t="s">
        <v>1733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1720</v>
      </c>
      <c r="E278" s="14">
        <f>ROUND(SUM(E279:E286)/COUNT(E279:E286), 2)</f>
        <v>8.81</v>
      </c>
      <c r="F278" s="4"/>
      <c r="G278" s="6" t="s">
        <v>1697</v>
      </c>
      <c r="H278" s="264">
        <v>9</v>
      </c>
      <c r="I278" s="4"/>
      <c r="J278" s="6" t="s">
        <v>1710</v>
      </c>
      <c r="K278" s="264">
        <v>9</v>
      </c>
      <c r="L278" s="4"/>
      <c r="M278" s="6" t="s">
        <v>1734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1740</v>
      </c>
      <c r="B279" s="14">
        <f>ROUND(SUM(B280:B307)/COUNT(B280:B307), 2)</f>
        <v>8.57</v>
      </c>
      <c r="C279" s="4"/>
      <c r="D279" s="13" t="s">
        <v>1721</v>
      </c>
      <c r="E279" s="263">
        <v>8</v>
      </c>
      <c r="F279" s="4"/>
      <c r="G279" s="6" t="s">
        <v>1698</v>
      </c>
      <c r="H279" s="264">
        <v>10</v>
      </c>
      <c r="I279" s="4"/>
      <c r="J279" s="6" t="s">
        <v>1711</v>
      </c>
      <c r="K279" s="264"/>
      <c r="L279" s="4"/>
      <c r="M279" s="6" t="s">
        <v>1735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1741</v>
      </c>
      <c r="B280" s="263"/>
      <c r="C280" s="4"/>
      <c r="D280" s="6" t="s">
        <v>1722</v>
      </c>
      <c r="E280" s="264">
        <v>8.5</v>
      </c>
      <c r="F280" s="4"/>
      <c r="G280" s="6" t="s">
        <v>1699</v>
      </c>
      <c r="H280" s="264">
        <v>8.5</v>
      </c>
      <c r="I280" s="4"/>
      <c r="J280" s="6" t="s">
        <v>1712</v>
      </c>
      <c r="K280" s="264">
        <v>8.5</v>
      </c>
      <c r="L280" s="4"/>
      <c r="M280" s="6" t="s">
        <v>1736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1742</v>
      </c>
      <c r="B281" s="264">
        <v>10</v>
      </c>
      <c r="C281" s="4"/>
      <c r="D281" s="6" t="s">
        <v>1723</v>
      </c>
      <c r="E281" s="264">
        <v>8</v>
      </c>
      <c r="F281" s="4"/>
      <c r="G281" s="6" t="s">
        <v>1700</v>
      </c>
      <c r="H281" s="264">
        <v>8</v>
      </c>
      <c r="I281" s="4"/>
      <c r="J281" s="6" t="s">
        <v>1713</v>
      </c>
      <c r="K281" s="264">
        <v>10</v>
      </c>
      <c r="L281" s="4"/>
      <c r="M281" s="6" t="s">
        <v>1737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1743</v>
      </c>
      <c r="B282" s="264">
        <v>8</v>
      </c>
      <c r="C282" s="4"/>
      <c r="D282" s="6" t="s">
        <v>1724</v>
      </c>
      <c r="E282" s="264">
        <v>8.5</v>
      </c>
      <c r="F282" s="4"/>
      <c r="G282" s="6" t="s">
        <v>1701</v>
      </c>
      <c r="H282" s="264">
        <v>8.5</v>
      </c>
      <c r="I282" s="4"/>
      <c r="J282" s="6" t="s">
        <v>1714</v>
      </c>
      <c r="K282" s="264">
        <v>8</v>
      </c>
      <c r="L282" s="4"/>
      <c r="M282" s="9" t="s">
        <v>1738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1744</v>
      </c>
      <c r="B283" s="264">
        <v>9.5</v>
      </c>
      <c r="C283" s="4"/>
      <c r="D283" s="6" t="s">
        <v>1725</v>
      </c>
      <c r="E283" s="264">
        <v>10</v>
      </c>
      <c r="F283" s="4"/>
      <c r="G283" s="6" t="s">
        <v>1702</v>
      </c>
      <c r="H283" s="264">
        <v>8.5</v>
      </c>
      <c r="I283" s="4"/>
      <c r="J283" s="6" t="s">
        <v>1715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1745</v>
      </c>
      <c r="B284" s="264">
        <v>8</v>
      </c>
      <c r="C284" s="4"/>
      <c r="D284" s="6" t="s">
        <v>1726</v>
      </c>
      <c r="E284" s="264">
        <v>9.5</v>
      </c>
      <c r="F284" s="4"/>
      <c r="G284" s="6" t="s">
        <v>1703</v>
      </c>
      <c r="H284" s="264">
        <v>9</v>
      </c>
      <c r="I284" s="4"/>
      <c r="J284" s="9" t="s">
        <v>1716</v>
      </c>
      <c r="K284" s="265">
        <v>8</v>
      </c>
      <c r="L284" s="4"/>
      <c r="M284" s="262" t="s">
        <v>1769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1746</v>
      </c>
      <c r="B285" s="264">
        <v>10</v>
      </c>
      <c r="C285" s="4"/>
      <c r="D285" s="6" t="s">
        <v>1727</v>
      </c>
      <c r="E285" s="264">
        <v>8</v>
      </c>
      <c r="F285" s="4"/>
      <c r="G285" s="6" t="s">
        <v>1704</v>
      </c>
      <c r="H285" s="264">
        <v>8.5</v>
      </c>
      <c r="I285" s="4"/>
      <c r="J285" s="4"/>
      <c r="K285" s="4"/>
      <c r="L285" s="4"/>
      <c r="M285" s="13" t="s">
        <v>1770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1747</v>
      </c>
      <c r="B286" s="264">
        <v>9</v>
      </c>
      <c r="C286" s="4"/>
      <c r="D286" s="9" t="s">
        <v>1728</v>
      </c>
      <c r="E286" s="265">
        <v>10</v>
      </c>
      <c r="F286" s="4"/>
      <c r="G286" s="9" t="s">
        <v>1705</v>
      </c>
      <c r="H286" s="265">
        <v>9</v>
      </c>
      <c r="I286" s="4"/>
      <c r="J286" s="255" t="s">
        <v>1793</v>
      </c>
      <c r="K286" s="3">
        <f>ROUND(SUM(K287:K294)/COUNT(K287:K294), 2)</f>
        <v>8.06</v>
      </c>
      <c r="L286" s="4"/>
      <c r="M286" s="6" t="s">
        <v>1771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1748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1785</v>
      </c>
      <c r="K287" s="264">
        <v>9</v>
      </c>
      <c r="L287" s="4"/>
      <c r="M287" s="6" t="s">
        <v>1772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1749</v>
      </c>
      <c r="B288" s="264">
        <v>7.5</v>
      </c>
      <c r="C288" s="4"/>
      <c r="D288" s="256" t="s">
        <v>1795</v>
      </c>
      <c r="E288" s="14">
        <f>ROUND(SUM(E289:E297)/COUNT(E289:E297), 2)</f>
        <v>8.5</v>
      </c>
      <c r="F288" s="4"/>
      <c r="G288" s="261" t="s">
        <v>1807</v>
      </c>
      <c r="H288" s="14">
        <f>ROUND(SUM(H289:H294)/COUNT(H289:H294), 2)</f>
        <v>8.83</v>
      </c>
      <c r="I288" s="4"/>
      <c r="J288" s="6" t="s">
        <v>1786</v>
      </c>
      <c r="K288" s="264">
        <v>9</v>
      </c>
      <c r="L288" s="4"/>
      <c r="M288" s="6" t="s">
        <v>1773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1750</v>
      </c>
      <c r="B289" s="264">
        <v>8.5</v>
      </c>
      <c r="C289" s="4"/>
      <c r="D289" s="13" t="s">
        <v>1796</v>
      </c>
      <c r="E289" s="263">
        <v>8</v>
      </c>
      <c r="F289" s="4"/>
      <c r="G289" s="13" t="s">
        <v>1808</v>
      </c>
      <c r="H289" s="263">
        <v>9</v>
      </c>
      <c r="I289" s="4"/>
      <c r="J289" s="6" t="s">
        <v>1787</v>
      </c>
      <c r="K289" s="264">
        <v>8</v>
      </c>
      <c r="L289" s="4"/>
      <c r="M289" s="6" t="s">
        <v>1774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1751</v>
      </c>
      <c r="B290" s="264">
        <v>8.5</v>
      </c>
      <c r="C290" s="4"/>
      <c r="D290" s="6" t="s">
        <v>1797</v>
      </c>
      <c r="E290" s="264">
        <v>9</v>
      </c>
      <c r="F290" s="4"/>
      <c r="G290" s="6" t="s">
        <v>1809</v>
      </c>
      <c r="H290" s="264">
        <v>8.5</v>
      </c>
      <c r="I290" s="4"/>
      <c r="J290" s="6" t="s">
        <v>1788</v>
      </c>
      <c r="K290" s="264">
        <v>7</v>
      </c>
      <c r="L290" s="4"/>
      <c r="M290" s="6" t="s">
        <v>1775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1752</v>
      </c>
      <c r="B291" s="264">
        <v>8</v>
      </c>
      <c r="C291" s="4"/>
      <c r="D291" s="6" t="s">
        <v>1798</v>
      </c>
      <c r="E291" s="264">
        <v>8.5</v>
      </c>
      <c r="F291" s="4"/>
      <c r="G291" s="6" t="s">
        <v>1810</v>
      </c>
      <c r="H291" s="264">
        <v>8</v>
      </c>
      <c r="I291" s="4"/>
      <c r="J291" s="6" t="s">
        <v>1789</v>
      </c>
      <c r="K291" s="264">
        <v>7.5</v>
      </c>
      <c r="L291" s="4"/>
      <c r="M291" s="6" t="s">
        <v>579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1753</v>
      </c>
      <c r="B292" s="264">
        <v>9</v>
      </c>
      <c r="C292" s="4"/>
      <c r="D292" s="6" t="s">
        <v>1799</v>
      </c>
      <c r="E292" s="264">
        <v>8.5</v>
      </c>
      <c r="F292" s="4"/>
      <c r="G292" s="6" t="s">
        <v>1811</v>
      </c>
      <c r="H292" s="264">
        <v>9</v>
      </c>
      <c r="I292" s="4"/>
      <c r="J292" s="6" t="s">
        <v>1790</v>
      </c>
      <c r="K292" s="264">
        <v>8</v>
      </c>
      <c r="L292" s="4"/>
      <c r="M292" s="6" t="s">
        <v>1776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1754</v>
      </c>
      <c r="B293" s="264">
        <v>8.5</v>
      </c>
      <c r="C293" s="4"/>
      <c r="D293" s="6" t="s">
        <v>1800</v>
      </c>
      <c r="E293" s="264">
        <v>9</v>
      </c>
      <c r="F293" s="4"/>
      <c r="G293" s="6" t="s">
        <v>1812</v>
      </c>
      <c r="H293" s="264">
        <v>8.5</v>
      </c>
      <c r="I293" s="4"/>
      <c r="J293" s="6" t="s">
        <v>1791</v>
      </c>
      <c r="K293" s="264">
        <v>7</v>
      </c>
      <c r="L293" s="4"/>
      <c r="M293" s="6" t="s">
        <v>1777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1755</v>
      </c>
      <c r="B294" s="264">
        <v>8</v>
      </c>
      <c r="C294" s="4"/>
      <c r="D294" s="6" t="s">
        <v>1801</v>
      </c>
      <c r="E294" s="264">
        <v>8</v>
      </c>
      <c r="F294" s="4"/>
      <c r="G294" s="9" t="s">
        <v>1813</v>
      </c>
      <c r="H294" s="265">
        <v>10</v>
      </c>
      <c r="I294" s="4"/>
      <c r="J294" s="9" t="s">
        <v>1792</v>
      </c>
      <c r="K294" s="265">
        <v>9</v>
      </c>
      <c r="L294" s="4"/>
      <c r="M294" s="6" t="s">
        <v>1778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1756</v>
      </c>
      <c r="B295" s="264">
        <v>8</v>
      </c>
      <c r="C295" s="4"/>
      <c r="D295" s="6" t="s">
        <v>1802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1779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1757</v>
      </c>
      <c r="B296" s="264">
        <v>9</v>
      </c>
      <c r="C296" s="4"/>
      <c r="D296" s="6" t="s">
        <v>1803</v>
      </c>
      <c r="E296" s="264">
        <v>8.5</v>
      </c>
      <c r="F296" s="4"/>
      <c r="G296" s="257" t="s">
        <v>1831</v>
      </c>
      <c r="H296" s="14">
        <f>ROUND(SUM(H297:H307)/COUNT(H297:H307), 2)</f>
        <v>3.68</v>
      </c>
      <c r="I296" s="4"/>
      <c r="J296" s="276" t="s">
        <v>1851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1758</v>
      </c>
      <c r="B297" s="264">
        <v>8</v>
      </c>
      <c r="C297" s="4"/>
      <c r="D297" s="9" t="s">
        <v>1804</v>
      </c>
      <c r="E297" s="265">
        <v>8</v>
      </c>
      <c r="F297" s="4"/>
      <c r="G297" s="13" t="s">
        <v>1832</v>
      </c>
      <c r="H297" s="263">
        <v>6.5</v>
      </c>
      <c r="I297" s="4"/>
      <c r="J297" s="13" t="s">
        <v>1852</v>
      </c>
      <c r="K297" s="263">
        <v>9</v>
      </c>
      <c r="L297" s="4"/>
      <c r="M297" s="279" t="s">
        <v>1866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1833</v>
      </c>
      <c r="H298" s="264">
        <v>5</v>
      </c>
      <c r="I298" s="4"/>
      <c r="J298" s="6" t="s">
        <v>1853</v>
      </c>
      <c r="K298" s="264">
        <v>8.5</v>
      </c>
      <c r="L298" s="4"/>
      <c r="M298" s="13" t="s">
        <v>1859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1759</v>
      </c>
      <c r="B299" s="264">
        <v>7</v>
      </c>
      <c r="C299" s="4"/>
      <c r="D299" s="280" t="s">
        <v>1869</v>
      </c>
      <c r="E299" s="14">
        <f>ROUND(SUM(E300:E309)/COUNT(E300:E309), 2)</f>
        <v>8.2899999999999991</v>
      </c>
      <c r="F299" s="4"/>
      <c r="G299" s="6" t="s">
        <v>1834</v>
      </c>
      <c r="H299" s="264">
        <v>5.5</v>
      </c>
      <c r="I299" s="4"/>
      <c r="J299" s="6" t="s">
        <v>1854</v>
      </c>
      <c r="K299" s="264">
        <v>9</v>
      </c>
      <c r="L299" s="4"/>
      <c r="M299" s="6" t="s">
        <v>1860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1760</v>
      </c>
      <c r="B300" s="264">
        <v>8.5</v>
      </c>
      <c r="C300" s="4"/>
      <c r="D300" s="13" t="s">
        <v>1870</v>
      </c>
      <c r="E300" s="263"/>
      <c r="F300" s="4"/>
      <c r="G300" s="6" t="s">
        <v>1835</v>
      </c>
      <c r="H300" s="264">
        <v>4</v>
      </c>
      <c r="I300" s="4"/>
      <c r="J300" s="6" t="s">
        <v>1855</v>
      </c>
      <c r="K300" s="264">
        <v>8.5</v>
      </c>
      <c r="L300" s="4"/>
      <c r="M300" s="6" t="s">
        <v>1861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1761</v>
      </c>
      <c r="B301" s="264">
        <v>8.5</v>
      </c>
      <c r="C301" s="4"/>
      <c r="D301" s="6" t="s">
        <v>1871</v>
      </c>
      <c r="E301" s="264">
        <v>8.5</v>
      </c>
      <c r="F301" s="4"/>
      <c r="G301" s="6" t="s">
        <v>1836</v>
      </c>
      <c r="H301" s="264">
        <v>3</v>
      </c>
      <c r="I301" s="4"/>
      <c r="J301" s="6" t="s">
        <v>1856</v>
      </c>
      <c r="K301" s="264">
        <v>8</v>
      </c>
      <c r="L301" s="4"/>
      <c r="M301" s="6" t="s">
        <v>1862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1762</v>
      </c>
      <c r="B302" s="264">
        <v>7.5</v>
      </c>
      <c r="C302" s="4"/>
      <c r="D302" s="6" t="s">
        <v>1872</v>
      </c>
      <c r="E302" s="264">
        <v>9</v>
      </c>
      <c r="F302" s="4"/>
      <c r="G302" s="6" t="s">
        <v>1837</v>
      </c>
      <c r="H302" s="264">
        <v>3</v>
      </c>
      <c r="I302" s="4"/>
      <c r="J302" s="9" t="s">
        <v>1857</v>
      </c>
      <c r="K302" s="265">
        <v>10.5</v>
      </c>
      <c r="L302" s="4"/>
      <c r="M302" s="6" t="s">
        <v>1863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1763</v>
      </c>
      <c r="B303" s="264">
        <v>8.5</v>
      </c>
      <c r="C303" s="4"/>
      <c r="D303" s="6" t="s">
        <v>1873</v>
      </c>
      <c r="E303" s="264"/>
      <c r="F303" s="4"/>
      <c r="G303" s="6" t="s">
        <v>1838</v>
      </c>
      <c r="H303" s="264">
        <v>3</v>
      </c>
      <c r="I303" s="4"/>
      <c r="J303" s="4"/>
      <c r="K303" s="4"/>
      <c r="L303" s="4"/>
      <c r="M303" s="6" t="s">
        <v>1864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1764</v>
      </c>
      <c r="B304" s="264">
        <v>9</v>
      </c>
      <c r="C304" s="4"/>
      <c r="D304" s="6" t="s">
        <v>1874</v>
      </c>
      <c r="E304" s="264">
        <v>7.5</v>
      </c>
      <c r="F304" s="4"/>
      <c r="G304" s="6" t="s">
        <v>1839</v>
      </c>
      <c r="H304" s="264">
        <v>3.5</v>
      </c>
      <c r="I304" s="4"/>
      <c r="J304" s="281" t="s">
        <v>1894</v>
      </c>
      <c r="K304" s="14">
        <f>ROUND(SUM(K305:K316)/COUNT(K305:K316), 2)</f>
        <v>8.9600000000000009</v>
      </c>
      <c r="L304" s="4"/>
      <c r="M304" s="9" t="s">
        <v>1865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1765</v>
      </c>
      <c r="B305" s="264">
        <v>8.5</v>
      </c>
      <c r="C305" s="4"/>
      <c r="D305" s="6" t="s">
        <v>1875</v>
      </c>
      <c r="E305" s="264">
        <v>8.5</v>
      </c>
      <c r="F305" s="4"/>
      <c r="G305" s="6" t="s">
        <v>1840</v>
      </c>
      <c r="H305" s="264">
        <v>3</v>
      </c>
      <c r="I305" s="4"/>
      <c r="J305" s="13" t="s">
        <v>1882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1766</v>
      </c>
      <c r="B306" s="264">
        <v>9</v>
      </c>
      <c r="C306" s="4"/>
      <c r="D306" s="6" t="s">
        <v>1876</v>
      </c>
      <c r="E306" s="264">
        <v>8</v>
      </c>
      <c r="F306" s="4"/>
      <c r="G306" s="6" t="s">
        <v>1841</v>
      </c>
      <c r="H306" s="264">
        <v>2</v>
      </c>
      <c r="I306" s="4"/>
      <c r="J306" s="6" t="s">
        <v>1883</v>
      </c>
      <c r="K306" s="264">
        <v>10</v>
      </c>
      <c r="L306" s="4"/>
      <c r="M306" s="283" t="s">
        <v>1901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1767</v>
      </c>
      <c r="B307" s="265">
        <v>8.5</v>
      </c>
      <c r="C307" s="4"/>
      <c r="D307" s="6" t="s">
        <v>1877</v>
      </c>
      <c r="E307" s="264">
        <v>8</v>
      </c>
      <c r="F307" s="4"/>
      <c r="G307" s="9" t="s">
        <v>1842</v>
      </c>
      <c r="H307" s="265">
        <v>2</v>
      </c>
      <c r="I307" s="4"/>
      <c r="J307" s="6" t="s">
        <v>1884</v>
      </c>
      <c r="K307" s="264">
        <v>9</v>
      </c>
      <c r="L307" s="4"/>
      <c r="M307" s="13" t="s">
        <v>1902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1878</v>
      </c>
      <c r="E308" s="265">
        <v>8.5</v>
      </c>
      <c r="F308" s="4"/>
      <c r="G308" s="4"/>
      <c r="H308" s="4"/>
      <c r="I308" s="4"/>
      <c r="J308" s="6" t="s">
        <v>1885</v>
      </c>
      <c r="K308" s="264">
        <v>9</v>
      </c>
      <c r="L308" s="4"/>
      <c r="M308" s="6" t="s">
        <v>1903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86" t="s">
        <v>1919</v>
      </c>
      <c r="B309" s="14">
        <f>ROUND(SUM(B310:B320)/COUNT(B310:B320), 2)</f>
        <v>8.18</v>
      </c>
      <c r="C309" s="4"/>
      <c r="D309" s="4"/>
      <c r="E309" s="4"/>
      <c r="F309" s="4"/>
      <c r="G309" s="287" t="s">
        <v>1949</v>
      </c>
      <c r="H309" s="14">
        <f>ROUND(SUM(H310:H327)/COUNT(H310:H327), 2)</f>
        <v>7.31</v>
      </c>
      <c r="I309" s="4"/>
      <c r="J309" s="6" t="s">
        <v>1886</v>
      </c>
      <c r="K309" s="264">
        <v>9</v>
      </c>
      <c r="L309" s="4"/>
      <c r="M309" s="6" t="s">
        <v>1904</v>
      </c>
      <c r="N309" s="264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1920</v>
      </c>
      <c r="B310" s="263">
        <v>7.5</v>
      </c>
      <c r="C310" s="4"/>
      <c r="D310" s="291" t="s">
        <v>2061</v>
      </c>
      <c r="E310" s="14">
        <f>ROUND(SUM(E311:E318)/COUNT(E311:E318), 2)</f>
        <v>8.5</v>
      </c>
      <c r="F310" s="4"/>
      <c r="G310" s="13" t="s">
        <v>1931</v>
      </c>
      <c r="H310" s="263">
        <v>8.5</v>
      </c>
      <c r="I310" s="4"/>
      <c r="J310" s="6" t="s">
        <v>1887</v>
      </c>
      <c r="K310" s="264">
        <v>10</v>
      </c>
      <c r="L310" s="4"/>
      <c r="M310" s="6" t="s">
        <v>1905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6" t="s">
        <v>1921</v>
      </c>
      <c r="B311" s="264">
        <v>8.5</v>
      </c>
      <c r="C311" s="4"/>
      <c r="D311" s="13" t="s">
        <v>2062</v>
      </c>
      <c r="E311" s="263">
        <v>8.5</v>
      </c>
      <c r="F311" s="4"/>
      <c r="G311" s="6" t="s">
        <v>1932</v>
      </c>
      <c r="H311" s="264">
        <v>7.5</v>
      </c>
      <c r="I311" s="4"/>
      <c r="J311" s="6" t="s">
        <v>1888</v>
      </c>
      <c r="K311" s="264">
        <v>8</v>
      </c>
      <c r="L311" s="4"/>
      <c r="M311" s="6" t="s">
        <v>1906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6" t="s">
        <v>1164</v>
      </c>
      <c r="B312" s="264">
        <v>8</v>
      </c>
      <c r="C312" s="4"/>
      <c r="D312" s="6" t="s">
        <v>2063</v>
      </c>
      <c r="E312" s="264">
        <v>8.5</v>
      </c>
      <c r="F312" s="4"/>
      <c r="G312" s="6" t="s">
        <v>1933</v>
      </c>
      <c r="H312" s="264">
        <v>8.5</v>
      </c>
      <c r="I312" s="4"/>
      <c r="J312" s="6" t="s">
        <v>1889</v>
      </c>
      <c r="K312" s="264">
        <v>8.5</v>
      </c>
      <c r="L312" s="4"/>
      <c r="M312" s="6" t="s">
        <v>1907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6" t="s">
        <v>1922</v>
      </c>
      <c r="B313" s="264">
        <v>8</v>
      </c>
      <c r="C313" s="4"/>
      <c r="D313" s="6" t="s">
        <v>2064</v>
      </c>
      <c r="E313" s="264">
        <v>9</v>
      </c>
      <c r="F313" s="4"/>
      <c r="G313" s="6" t="s">
        <v>1934</v>
      </c>
      <c r="H313" s="264">
        <v>8.5</v>
      </c>
      <c r="I313" s="4"/>
      <c r="J313" s="6" t="s">
        <v>1890</v>
      </c>
      <c r="K313" s="264">
        <v>8.5</v>
      </c>
      <c r="L313" s="4"/>
      <c r="M313" s="6" t="s">
        <v>1908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6" t="s">
        <v>1923</v>
      </c>
      <c r="B314" s="264">
        <v>9.5</v>
      </c>
      <c r="C314" s="4"/>
      <c r="D314" s="6" t="s">
        <v>2065</v>
      </c>
      <c r="E314" s="264">
        <v>9</v>
      </c>
      <c r="F314" s="4"/>
      <c r="G314" s="6" t="s">
        <v>1935</v>
      </c>
      <c r="H314" s="264">
        <v>7.5</v>
      </c>
      <c r="I314" s="4"/>
      <c r="J314" s="6" t="s">
        <v>1891</v>
      </c>
      <c r="K314" s="264">
        <v>9</v>
      </c>
      <c r="L314" s="4"/>
      <c r="M314" s="6" t="s">
        <v>1909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6" t="s">
        <v>1924</v>
      </c>
      <c r="B315" s="264">
        <v>7</v>
      </c>
      <c r="C315" s="4"/>
      <c r="D315" s="6" t="s">
        <v>2066</v>
      </c>
      <c r="E315" s="264">
        <v>8</v>
      </c>
      <c r="F315" s="4"/>
      <c r="G315" s="6" t="s">
        <v>1936</v>
      </c>
      <c r="H315" s="264">
        <v>7</v>
      </c>
      <c r="I315" s="4"/>
      <c r="J315" s="6" t="s">
        <v>1892</v>
      </c>
      <c r="K315" s="264">
        <v>9.5</v>
      </c>
      <c r="L315" s="4"/>
      <c r="M315" s="6" t="s">
        <v>1910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1925</v>
      </c>
      <c r="B316" s="264">
        <v>10</v>
      </c>
      <c r="C316" s="4"/>
      <c r="D316" s="6" t="s">
        <v>2067</v>
      </c>
      <c r="E316" s="264">
        <v>8</v>
      </c>
      <c r="F316" s="4"/>
      <c r="G316" s="6" t="s">
        <v>1937</v>
      </c>
      <c r="H316" s="264">
        <v>7</v>
      </c>
      <c r="I316" s="4"/>
      <c r="J316" s="9" t="s">
        <v>1893</v>
      </c>
      <c r="K316" s="265">
        <v>8.5</v>
      </c>
      <c r="L316" s="4"/>
      <c r="M316" s="9" t="s">
        <v>1911</v>
      </c>
      <c r="N316" s="265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1926</v>
      </c>
      <c r="B317" s="264">
        <v>8.5</v>
      </c>
      <c r="C317" s="4"/>
      <c r="D317" s="6" t="s">
        <v>2068</v>
      </c>
      <c r="E317" s="264">
        <v>8.5</v>
      </c>
      <c r="F317" s="4"/>
      <c r="G317" s="6" t="s">
        <v>1938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1927</v>
      </c>
      <c r="B318" s="264">
        <v>7.5</v>
      </c>
      <c r="C318" s="4"/>
      <c r="D318" s="9" t="s">
        <v>2069</v>
      </c>
      <c r="E318" s="265">
        <v>8.5</v>
      </c>
      <c r="F318" s="4"/>
      <c r="G318" s="6" t="s">
        <v>1939</v>
      </c>
      <c r="H318" s="264">
        <v>7</v>
      </c>
      <c r="I318" s="4"/>
      <c r="J318" s="299" t="s">
        <v>2093</v>
      </c>
      <c r="K318" s="14">
        <f>ROUND(SUM(K319:K326)/COUNT(K319:K326), 2)</f>
        <v>8.43</v>
      </c>
      <c r="L318" s="4"/>
      <c r="V318"/>
      <c r="W318"/>
      <c r="X318"/>
      <c r="Y318"/>
      <c r="Z318"/>
    </row>
    <row r="319" spans="1:26" ht="16.05" customHeight="1" thickBot="1">
      <c r="A319" s="6" t="s">
        <v>1928</v>
      </c>
      <c r="B319" s="264">
        <v>7.5</v>
      </c>
      <c r="C319" s="4"/>
      <c r="D319" s="4"/>
      <c r="E319" s="4"/>
      <c r="F319" s="4"/>
      <c r="G319" s="6" t="s">
        <v>1940</v>
      </c>
      <c r="H319" s="264">
        <v>7</v>
      </c>
      <c r="I319" s="4"/>
      <c r="J319" s="294" t="s">
        <v>2094</v>
      </c>
      <c r="K319" s="263"/>
      <c r="L319" s="4"/>
      <c r="V319"/>
      <c r="W319"/>
      <c r="X319"/>
      <c r="Y319"/>
      <c r="Z319"/>
    </row>
    <row r="320" spans="1:26" ht="16.05" customHeight="1" thickBot="1">
      <c r="A320" s="9" t="s">
        <v>1929</v>
      </c>
      <c r="B320" s="265">
        <v>8</v>
      </c>
      <c r="C320" s="4"/>
      <c r="D320" s="297" t="s">
        <v>2072</v>
      </c>
      <c r="E320" s="14">
        <f>ROUND(SUM(E321:E326)/COUNT(E321:E326), 2)</f>
        <v>8.67</v>
      </c>
      <c r="F320" s="4"/>
      <c r="G320" s="6" t="s">
        <v>1941</v>
      </c>
      <c r="H320" s="264">
        <v>7.5</v>
      </c>
      <c r="I320" s="4"/>
      <c r="J320" s="295" t="s">
        <v>2095</v>
      </c>
      <c r="K320" s="264">
        <v>8.5</v>
      </c>
      <c r="L320" s="4"/>
      <c r="V320"/>
      <c r="W320"/>
      <c r="X320"/>
      <c r="Y320"/>
      <c r="Z320"/>
    </row>
    <row r="321" spans="1:26" ht="16.05" customHeight="1">
      <c r="A321" s="4"/>
      <c r="B321" s="4"/>
      <c r="C321" s="4"/>
      <c r="D321" s="294" t="s">
        <v>2073</v>
      </c>
      <c r="E321" s="263">
        <v>8.5</v>
      </c>
      <c r="F321" s="4"/>
      <c r="G321" s="6" t="s">
        <v>1942</v>
      </c>
      <c r="H321" s="264">
        <v>6</v>
      </c>
      <c r="I321" s="4"/>
      <c r="J321" s="295" t="s">
        <v>2096</v>
      </c>
      <c r="K321" s="264">
        <v>9</v>
      </c>
      <c r="L321" s="4"/>
      <c r="V321"/>
      <c r="W321"/>
      <c r="X321"/>
      <c r="Y321"/>
      <c r="Z321"/>
    </row>
    <row r="322" spans="1:26" ht="16.05" customHeight="1">
      <c r="C322" s="4"/>
      <c r="D322" s="295" t="s">
        <v>2074</v>
      </c>
      <c r="E322" s="264">
        <v>9</v>
      </c>
      <c r="F322" s="4"/>
      <c r="G322" s="6" t="s">
        <v>1943</v>
      </c>
      <c r="H322" s="264">
        <v>7</v>
      </c>
      <c r="I322" s="4"/>
      <c r="J322" s="295" t="s">
        <v>2097</v>
      </c>
      <c r="K322" s="264">
        <v>8.5</v>
      </c>
      <c r="L322" s="4"/>
      <c r="V322"/>
      <c r="W322"/>
      <c r="X322"/>
      <c r="Y322"/>
      <c r="Z322"/>
    </row>
    <row r="323" spans="1:26" ht="16.05" customHeight="1">
      <c r="C323" s="4"/>
      <c r="D323" s="295" t="s">
        <v>2075</v>
      </c>
      <c r="E323" s="264">
        <v>8.5</v>
      </c>
      <c r="F323" s="4"/>
      <c r="G323" s="6" t="s">
        <v>1944</v>
      </c>
      <c r="H323" s="264">
        <v>8</v>
      </c>
      <c r="I323" s="4"/>
      <c r="J323" s="295" t="s">
        <v>2098</v>
      </c>
      <c r="K323" s="264">
        <v>8.5</v>
      </c>
      <c r="L323" s="4"/>
      <c r="V323"/>
      <c r="W323"/>
      <c r="X323"/>
      <c r="Y323"/>
      <c r="Z323"/>
    </row>
    <row r="324" spans="1:26" ht="16.05" customHeight="1">
      <c r="C324" s="4"/>
      <c r="D324" s="295" t="s">
        <v>2076</v>
      </c>
      <c r="E324" s="264">
        <v>7.5</v>
      </c>
      <c r="F324" s="4"/>
      <c r="G324" s="6" t="s">
        <v>1945</v>
      </c>
      <c r="H324" s="264">
        <v>7.5</v>
      </c>
      <c r="I324" s="4"/>
      <c r="J324" s="295" t="s">
        <v>2099</v>
      </c>
      <c r="K324" s="264">
        <v>7.5</v>
      </c>
      <c r="L324" s="4"/>
      <c r="V324"/>
      <c r="W324"/>
      <c r="X324"/>
      <c r="Y324"/>
      <c r="Z324"/>
    </row>
    <row r="325" spans="1:26" ht="16.05" customHeight="1">
      <c r="C325" s="4"/>
      <c r="D325" s="295" t="s">
        <v>2077</v>
      </c>
      <c r="E325" s="264">
        <v>9</v>
      </c>
      <c r="F325" s="4"/>
      <c r="G325" s="6" t="s">
        <v>1946</v>
      </c>
      <c r="H325" s="264">
        <v>7</v>
      </c>
      <c r="I325" s="4"/>
      <c r="J325" s="295" t="s">
        <v>2100</v>
      </c>
      <c r="K325" s="264">
        <v>8</v>
      </c>
      <c r="L325" s="4"/>
      <c r="V325"/>
      <c r="W325"/>
      <c r="X325"/>
      <c r="Y325"/>
      <c r="Z325"/>
    </row>
    <row r="326" spans="1:26" ht="16.05" customHeight="1" thickBot="1">
      <c r="C326" s="4"/>
      <c r="D326" s="296" t="s">
        <v>2078</v>
      </c>
      <c r="E326" s="265">
        <v>9.5</v>
      </c>
      <c r="F326" s="4"/>
      <c r="G326" s="6" t="s">
        <v>1947</v>
      </c>
      <c r="H326" s="264">
        <v>6</v>
      </c>
      <c r="I326" s="4"/>
      <c r="J326" s="296" t="s">
        <v>2101</v>
      </c>
      <c r="K326" s="265">
        <v>9</v>
      </c>
      <c r="L326" s="4"/>
      <c r="V326"/>
      <c r="W326"/>
      <c r="X326"/>
      <c r="Y326"/>
      <c r="Z326"/>
    </row>
    <row r="327" spans="1:26" ht="16.05" customHeight="1" thickBot="1">
      <c r="C327" s="4"/>
      <c r="D327" s="4"/>
      <c r="E327" s="4"/>
      <c r="F327" s="4"/>
      <c r="G327" s="9" t="s">
        <v>1948</v>
      </c>
      <c r="H327" s="265">
        <v>6.5</v>
      </c>
      <c r="I327" s="4"/>
      <c r="J327" s="4"/>
      <c r="K327" s="4"/>
      <c r="L327" s="4"/>
      <c r="V327"/>
      <c r="W327"/>
      <c r="X327"/>
      <c r="Y327"/>
      <c r="Z327"/>
    </row>
    <row r="328" spans="1:26" ht="16.05" customHeight="1"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V329"/>
      <c r="W329"/>
      <c r="X329"/>
      <c r="Y329"/>
      <c r="Z329"/>
    </row>
    <row r="330" spans="1:26" ht="16.05" customHeight="1">
      <c r="V330"/>
      <c r="W330"/>
      <c r="X330"/>
      <c r="Y330"/>
      <c r="Z330"/>
    </row>
    <row r="331" spans="1:26" ht="16.05" customHeight="1">
      <c r="V331"/>
      <c r="W331"/>
      <c r="X331"/>
      <c r="Y331"/>
      <c r="Z331"/>
    </row>
    <row r="332" spans="1:26" ht="16.05" customHeight="1">
      <c r="V332"/>
      <c r="W332"/>
      <c r="X332"/>
      <c r="Y332"/>
      <c r="Z332"/>
    </row>
    <row r="333" spans="1:26" ht="16.05" customHeight="1">
      <c r="V333"/>
      <c r="W333"/>
      <c r="X333"/>
      <c r="Y333"/>
      <c r="Z333"/>
    </row>
    <row r="334" spans="1:26" ht="16.05" customHeight="1">
      <c r="V334"/>
      <c r="W334"/>
      <c r="X334"/>
      <c r="Y334"/>
      <c r="Z334"/>
    </row>
    <row r="335" spans="1:26" ht="16.05" customHeight="1">
      <c r="V335"/>
      <c r="W335"/>
      <c r="X335"/>
      <c r="Y335"/>
      <c r="Z335"/>
    </row>
    <row r="336" spans="1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31:AD131"/>
    <mergeCell ref="R152:V152"/>
    <mergeCell ref="AG1:AH1"/>
    <mergeCell ref="R1:AD1"/>
  </mergeCells>
  <phoneticPr fontId="207" type="noConversion"/>
  <conditionalFormatting sqref="A2:B2 D2:E2 G2:H2 J2:K2 M2:N2 A16:B16 A26:B26 D14:E14 G17:H17 J14:K14 M14:N14 D30:E30 J25:K25 AK28:AK31">
    <cfRule type="colorScale" priority="1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886" priority="1116" operator="between">
      <formula>10.1</formula>
      <formula>10.6</formula>
    </cfRule>
    <cfRule type="cellIs" dxfId="885" priority="1154" operator="between">
      <formula>7</formula>
      <formula>7.9</formula>
    </cfRule>
    <cfRule type="cellIs" dxfId="884" priority="1155" stopIfTrue="1" operator="between">
      <formula>8</formula>
      <formula>8.9</formula>
    </cfRule>
    <cfRule type="cellIs" dxfId="883" priority="1156" operator="between">
      <formula>9</formula>
      <formula>9.9</formula>
    </cfRule>
    <cfRule type="cellIs" dxfId="882" priority="1157" stopIfTrue="1" operator="between">
      <formula>10</formula>
      <formula>10</formula>
    </cfRule>
    <cfRule type="containsBlanks" dxfId="881" priority="1158" stopIfTrue="1">
      <formula>LEN(TRIM(B3))=0</formula>
    </cfRule>
  </conditionalFormatting>
  <conditionalFormatting sqref="B17:B24">
    <cfRule type="cellIs" dxfId="880" priority="1092" operator="between">
      <formula>10.1</formula>
      <formula>10.6</formula>
    </cfRule>
    <cfRule type="cellIs" dxfId="879" priority="1093" operator="between">
      <formula>7</formula>
      <formula>7.9</formula>
    </cfRule>
    <cfRule type="cellIs" dxfId="878" priority="1094" stopIfTrue="1" operator="between">
      <formula>8</formula>
      <formula>8.9</formula>
    </cfRule>
    <cfRule type="cellIs" dxfId="877" priority="1095" operator="between">
      <formula>9</formula>
      <formula>9.9</formula>
    </cfRule>
    <cfRule type="cellIs" dxfId="876" priority="1096" stopIfTrue="1" operator="between">
      <formula>10</formula>
      <formula>10</formula>
    </cfRule>
    <cfRule type="containsBlanks" dxfId="875" priority="1097" stopIfTrue="1">
      <formula>LEN(TRIM(B17))=0</formula>
    </cfRule>
  </conditionalFormatting>
  <conditionalFormatting sqref="B27:B31">
    <cfRule type="cellIs" dxfId="874" priority="1086" operator="between">
      <formula>10.1</formula>
      <formula>10.6</formula>
    </cfRule>
    <cfRule type="cellIs" dxfId="873" priority="1087" operator="between">
      <formula>7</formula>
      <formula>7.9</formula>
    </cfRule>
    <cfRule type="cellIs" dxfId="872" priority="1088" stopIfTrue="1" operator="between">
      <formula>8</formula>
      <formula>8.9</formula>
    </cfRule>
    <cfRule type="cellIs" dxfId="871" priority="1089" operator="between">
      <formula>9</formula>
      <formula>9.9</formula>
    </cfRule>
    <cfRule type="cellIs" dxfId="870" priority="1090" stopIfTrue="1" operator="between">
      <formula>10</formula>
      <formula>10</formula>
    </cfRule>
    <cfRule type="containsBlanks" dxfId="869" priority="1091" stopIfTrue="1">
      <formula>LEN(TRIM(B27))=0</formula>
    </cfRule>
  </conditionalFormatting>
  <conditionalFormatting sqref="B33">
    <cfRule type="colorScale" priority="1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68" priority="1080" operator="between">
      <formula>10.1</formula>
      <formula>10.6</formula>
    </cfRule>
    <cfRule type="cellIs" dxfId="867" priority="1081" operator="between">
      <formula>7</formula>
      <formula>7.9</formula>
    </cfRule>
    <cfRule type="cellIs" dxfId="866" priority="1082" stopIfTrue="1" operator="between">
      <formula>8</formula>
      <formula>8.9</formula>
    </cfRule>
    <cfRule type="cellIs" dxfId="865" priority="1083" operator="between">
      <formula>9</formula>
      <formula>9.9</formula>
    </cfRule>
    <cfRule type="cellIs" dxfId="864" priority="1084" stopIfTrue="1" operator="between">
      <formula>10</formula>
      <formula>10</formula>
    </cfRule>
    <cfRule type="containsBlanks" dxfId="863" priority="1085" stopIfTrue="1">
      <formula>LEN(TRIM(B34))=0</formula>
    </cfRule>
  </conditionalFormatting>
  <conditionalFormatting sqref="B47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62" priority="1050" operator="between">
      <formula>10.1</formula>
      <formula>10.6</formula>
    </cfRule>
    <cfRule type="cellIs" dxfId="861" priority="1051" operator="between">
      <formula>7</formula>
      <formula>7.9</formula>
    </cfRule>
    <cfRule type="cellIs" dxfId="860" priority="1052" stopIfTrue="1" operator="between">
      <formula>8</formula>
      <formula>8.9</formula>
    </cfRule>
    <cfRule type="cellIs" dxfId="859" priority="1053" operator="between">
      <formula>9</formula>
      <formula>9.9</formula>
    </cfRule>
    <cfRule type="cellIs" dxfId="858" priority="1054" stopIfTrue="1" operator="between">
      <formula>10</formula>
      <formula>10</formula>
    </cfRule>
    <cfRule type="containsBlanks" dxfId="857" priority="1055" stopIfTrue="1">
      <formula>LEN(TRIM(B48))=0</formula>
    </cfRule>
  </conditionalFormatting>
  <conditionalFormatting sqref="B59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56" priority="1028" operator="between">
      <formula>10.1</formula>
      <formula>10.6</formula>
    </cfRule>
    <cfRule type="cellIs" dxfId="855" priority="1029" operator="between">
      <formula>7</formula>
      <formula>7.9</formula>
    </cfRule>
    <cfRule type="cellIs" dxfId="854" priority="1030" stopIfTrue="1" operator="between">
      <formula>8</formula>
      <formula>8.9</formula>
    </cfRule>
    <cfRule type="cellIs" dxfId="853" priority="1031" operator="between">
      <formula>9</formula>
      <formula>9.9</formula>
    </cfRule>
    <cfRule type="cellIs" dxfId="852" priority="1032" stopIfTrue="1" operator="between">
      <formula>10</formula>
      <formula>10</formula>
    </cfRule>
    <cfRule type="containsBlanks" dxfId="851" priority="1033" stopIfTrue="1">
      <formula>LEN(TRIM(B60))=0</formula>
    </cfRule>
  </conditionalFormatting>
  <conditionalFormatting sqref="B70">
    <cfRule type="colorScale" priority="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2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50" priority="942" operator="between">
      <formula>10.1</formula>
      <formula>10.6</formula>
    </cfRule>
    <cfRule type="cellIs" dxfId="849" priority="943" operator="between">
      <formula>7</formula>
      <formula>7.9</formula>
    </cfRule>
    <cfRule type="cellIs" dxfId="848" priority="944" stopIfTrue="1" operator="between">
      <formula>8</formula>
      <formula>8.9</formula>
    </cfRule>
    <cfRule type="cellIs" dxfId="847" priority="945" operator="between">
      <formula>9</formula>
      <formula>9.9</formula>
    </cfRule>
    <cfRule type="cellIs" dxfId="846" priority="946" stopIfTrue="1" operator="between">
      <formula>10</formula>
      <formula>10</formula>
    </cfRule>
    <cfRule type="containsBlanks" dxfId="845" priority="947" stopIfTrue="1">
      <formula>LEN(TRIM(B71))=0</formula>
    </cfRule>
  </conditionalFormatting>
  <conditionalFormatting sqref="B73">
    <cfRule type="cellIs" dxfId="844" priority="941" operator="between">
      <formula>6</formula>
      <formula>6.9</formula>
    </cfRule>
  </conditionalFormatting>
  <conditionalFormatting sqref="B79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43" priority="918" operator="between">
      <formula>10.1</formula>
      <formula>10.6</formula>
    </cfRule>
    <cfRule type="cellIs" dxfId="842" priority="919" operator="between">
      <formula>7</formula>
      <formula>7.9</formula>
    </cfRule>
    <cfRule type="cellIs" dxfId="841" priority="920" stopIfTrue="1" operator="between">
      <formula>8</formula>
      <formula>8.9</formula>
    </cfRule>
    <cfRule type="cellIs" dxfId="840" priority="921" operator="between">
      <formula>9</formula>
      <formula>9.9</formula>
    </cfRule>
    <cfRule type="cellIs" dxfId="839" priority="922" stopIfTrue="1" operator="between">
      <formula>10</formula>
      <formula>10</formula>
    </cfRule>
    <cfRule type="containsBlanks" dxfId="838" priority="923" stopIfTrue="1">
      <formula>LEN(TRIM(B80))=0</formula>
    </cfRule>
  </conditionalFormatting>
  <conditionalFormatting sqref="B93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37" priority="871" operator="between">
      <formula>10.1</formula>
      <formula>10.6</formula>
    </cfRule>
    <cfRule type="cellIs" dxfId="836" priority="872" operator="between">
      <formula>7</formula>
      <formula>7.9</formula>
    </cfRule>
    <cfRule type="cellIs" dxfId="835" priority="873" stopIfTrue="1" operator="between">
      <formula>8</formula>
      <formula>8.9</formula>
    </cfRule>
    <cfRule type="cellIs" dxfId="834" priority="874" operator="between">
      <formula>9</formula>
      <formula>9.9</formula>
    </cfRule>
    <cfRule type="cellIs" dxfId="833" priority="875" stopIfTrue="1" operator="between">
      <formula>10</formula>
      <formula>10</formula>
    </cfRule>
    <cfRule type="containsBlanks" dxfId="832" priority="876" stopIfTrue="1">
      <formula>LEN(TRIM(B94))=0</formula>
    </cfRule>
  </conditionalFormatting>
  <conditionalFormatting sqref="B103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831" priority="822" operator="between">
      <formula>10.1</formula>
      <formula>10.6</formula>
    </cfRule>
    <cfRule type="cellIs" dxfId="830" priority="823" operator="between">
      <formula>7</formula>
      <formula>7.9</formula>
    </cfRule>
    <cfRule type="cellIs" dxfId="829" priority="824" stopIfTrue="1" operator="between">
      <formula>8</formula>
      <formula>8.9</formula>
    </cfRule>
    <cfRule type="cellIs" dxfId="828" priority="825" operator="between">
      <formula>9</formula>
      <formula>9.9</formula>
    </cfRule>
    <cfRule type="cellIs" dxfId="827" priority="826" stopIfTrue="1" operator="between">
      <formula>10</formula>
      <formula>10</formula>
    </cfRule>
    <cfRule type="containsBlanks" dxfId="826" priority="827" stopIfTrue="1">
      <formula>LEN(TRIM(B104))=0</formula>
    </cfRule>
  </conditionalFormatting>
  <conditionalFormatting sqref="B114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25" priority="776" operator="between">
      <formula>6</formula>
      <formula>6.9</formula>
    </cfRule>
    <cfRule type="cellIs" dxfId="824" priority="777" operator="between">
      <formula>10.1</formula>
      <formula>10.6</formula>
    </cfRule>
    <cfRule type="cellIs" dxfId="823" priority="778" operator="between">
      <formula>7</formula>
      <formula>7.9</formula>
    </cfRule>
    <cfRule type="cellIs" dxfId="822" priority="779" stopIfTrue="1" operator="between">
      <formula>8</formula>
      <formula>8.9</formula>
    </cfRule>
    <cfRule type="cellIs" dxfId="821" priority="780" operator="between">
      <formula>9</formula>
      <formula>9.9</formula>
    </cfRule>
    <cfRule type="cellIs" dxfId="820" priority="781" stopIfTrue="1" operator="between">
      <formula>10</formula>
      <formula>10</formula>
    </cfRule>
    <cfRule type="containsBlanks" dxfId="819" priority="782" stopIfTrue="1">
      <formula>LEN(TRIM(B115))=0</formula>
    </cfRule>
  </conditionalFormatting>
  <conditionalFormatting sqref="B134"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18" priority="699" operator="between">
      <formula>6</formula>
      <formula>6.9</formula>
    </cfRule>
    <cfRule type="cellIs" dxfId="817" priority="700" operator="between">
      <formula>10.1</formula>
      <formula>10.6</formula>
    </cfRule>
    <cfRule type="cellIs" dxfId="816" priority="701" operator="between">
      <formula>7</formula>
      <formula>7.9</formula>
    </cfRule>
    <cfRule type="cellIs" dxfId="815" priority="702" stopIfTrue="1" operator="between">
      <formula>8</formula>
      <formula>8.9</formula>
    </cfRule>
    <cfRule type="cellIs" dxfId="814" priority="703" operator="between">
      <formula>9</formula>
      <formula>9.9</formula>
    </cfRule>
    <cfRule type="cellIs" dxfId="813" priority="704" stopIfTrue="1" operator="between">
      <formula>10</formula>
      <formula>10</formula>
    </cfRule>
    <cfRule type="containsBlanks" dxfId="812" priority="705" stopIfTrue="1">
      <formula>LEN(TRIM(B135))=0</formula>
    </cfRule>
  </conditionalFormatting>
  <conditionalFormatting sqref="B145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11" priority="654" operator="between">
      <formula>6</formula>
      <formula>6.9</formula>
    </cfRule>
    <cfRule type="cellIs" dxfId="810" priority="655" operator="between">
      <formula>10.1</formula>
      <formula>10.6</formula>
    </cfRule>
    <cfRule type="cellIs" dxfId="809" priority="656" operator="between">
      <formula>7</formula>
      <formula>7.9</formula>
    </cfRule>
    <cfRule type="cellIs" dxfId="808" priority="657" stopIfTrue="1" operator="between">
      <formula>8</formula>
      <formula>8.9</formula>
    </cfRule>
    <cfRule type="cellIs" dxfId="807" priority="658" operator="between">
      <formula>9</formula>
      <formula>9.9</formula>
    </cfRule>
    <cfRule type="cellIs" dxfId="806" priority="659" stopIfTrue="1" operator="between">
      <formula>10</formula>
      <formula>10</formula>
    </cfRule>
    <cfRule type="containsBlanks" dxfId="805" priority="660" stopIfTrue="1">
      <formula>LEN(TRIM(B146))=0</formula>
    </cfRule>
  </conditionalFormatting>
  <conditionalFormatting sqref="B162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04" priority="593" operator="between">
      <formula>6</formula>
      <formula>6.9</formula>
    </cfRule>
    <cfRule type="cellIs" dxfId="803" priority="594" operator="between">
      <formula>10.1</formula>
      <formula>10.6</formula>
    </cfRule>
    <cfRule type="cellIs" dxfId="802" priority="595" operator="between">
      <formula>7</formula>
      <formula>7.9</formula>
    </cfRule>
    <cfRule type="cellIs" dxfId="801" priority="596" stopIfTrue="1" operator="between">
      <formula>8</formula>
      <formula>8.9</formula>
    </cfRule>
    <cfRule type="cellIs" dxfId="800" priority="597" operator="between">
      <formula>9</formula>
      <formula>9.9</formula>
    </cfRule>
    <cfRule type="cellIs" dxfId="799" priority="598" stopIfTrue="1" operator="between">
      <formula>10</formula>
      <formula>10</formula>
    </cfRule>
    <cfRule type="containsBlanks" dxfId="798" priority="599" stopIfTrue="1">
      <formula>LEN(TRIM(B163))=0</formula>
    </cfRule>
  </conditionalFormatting>
  <conditionalFormatting sqref="B172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797" priority="555" operator="between">
      <formula>6</formula>
      <formula>6.9</formula>
    </cfRule>
    <cfRule type="cellIs" dxfId="796" priority="556" operator="between">
      <formula>10.1</formula>
      <formula>10.6</formula>
    </cfRule>
    <cfRule type="cellIs" dxfId="795" priority="557" operator="between">
      <formula>7</formula>
      <formula>7.9</formula>
    </cfRule>
    <cfRule type="cellIs" dxfId="794" priority="558" stopIfTrue="1" operator="between">
      <formula>8</formula>
      <formula>8.9</formula>
    </cfRule>
    <cfRule type="cellIs" dxfId="793" priority="559" operator="between">
      <formula>9</formula>
      <formula>9.9</formula>
    </cfRule>
    <cfRule type="cellIs" dxfId="792" priority="560" stopIfTrue="1" operator="between">
      <formula>10</formula>
      <formula>10</formula>
    </cfRule>
    <cfRule type="containsBlanks" dxfId="791" priority="561" stopIfTrue="1">
      <formula>LEN(TRIM(B173))=0</formula>
    </cfRule>
  </conditionalFormatting>
  <conditionalFormatting sqref="B185"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90" priority="517" operator="between">
      <formula>6</formula>
      <formula>6.9</formula>
    </cfRule>
    <cfRule type="cellIs" dxfId="789" priority="518" operator="between">
      <formula>10.1</formula>
      <formula>10.6</formula>
    </cfRule>
    <cfRule type="cellIs" dxfId="788" priority="519" operator="between">
      <formula>7</formula>
      <formula>7.9</formula>
    </cfRule>
    <cfRule type="cellIs" dxfId="787" priority="520" stopIfTrue="1" operator="between">
      <formula>8</formula>
      <formula>8.9</formula>
    </cfRule>
    <cfRule type="cellIs" dxfId="786" priority="521" operator="between">
      <formula>9</formula>
      <formula>9.9</formula>
    </cfRule>
    <cfRule type="cellIs" dxfId="785" priority="522" stopIfTrue="1" operator="between">
      <formula>10</formula>
      <formula>10</formula>
    </cfRule>
    <cfRule type="containsBlanks" dxfId="784" priority="523" stopIfTrue="1">
      <formula>LEN(TRIM(B186))=0</formula>
    </cfRule>
  </conditionalFormatting>
  <conditionalFormatting sqref="B196">
    <cfRule type="colorScale" priority="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83" priority="468" operator="between">
      <formula>6</formula>
      <formula>6.9</formula>
    </cfRule>
    <cfRule type="cellIs" dxfId="782" priority="469" operator="between">
      <formula>10.1</formula>
      <formula>10.6</formula>
    </cfRule>
    <cfRule type="cellIs" dxfId="781" priority="470" operator="between">
      <formula>7</formula>
      <formula>7.9</formula>
    </cfRule>
    <cfRule type="cellIs" dxfId="780" priority="471" stopIfTrue="1" operator="between">
      <formula>8</formula>
      <formula>8.9</formula>
    </cfRule>
    <cfRule type="cellIs" dxfId="779" priority="472" operator="between">
      <formula>9</formula>
      <formula>9.9</formula>
    </cfRule>
    <cfRule type="cellIs" dxfId="778" priority="473" stopIfTrue="1" operator="between">
      <formula>10</formula>
      <formula>10</formula>
    </cfRule>
    <cfRule type="containsBlanks" dxfId="777" priority="474" stopIfTrue="1">
      <formula>LEN(TRIM(B197))=0</formula>
    </cfRule>
  </conditionalFormatting>
  <conditionalFormatting sqref="B213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76" priority="392" operator="between">
      <formula>6</formula>
      <formula>6.9</formula>
    </cfRule>
    <cfRule type="cellIs" dxfId="775" priority="393" operator="between">
      <formula>10.1</formula>
      <formula>10.6</formula>
    </cfRule>
    <cfRule type="cellIs" dxfId="774" priority="394" operator="between">
      <formula>7</formula>
      <formula>7.9</formula>
    </cfRule>
    <cfRule type="cellIs" dxfId="773" priority="395" stopIfTrue="1" operator="between">
      <formula>8</formula>
      <formula>8.9</formula>
    </cfRule>
    <cfRule type="cellIs" dxfId="772" priority="396" operator="between">
      <formula>9</formula>
      <formula>9.9</formula>
    </cfRule>
    <cfRule type="cellIs" dxfId="771" priority="397" stopIfTrue="1" operator="between">
      <formula>10</formula>
      <formula>10</formula>
    </cfRule>
    <cfRule type="containsBlanks" dxfId="770" priority="398" stopIfTrue="1">
      <formula>LEN(TRIM(B214))=0</formula>
    </cfRule>
  </conditionalFormatting>
  <conditionalFormatting sqref="B226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69" priority="329" operator="between">
      <formula>6</formula>
      <formula>6.9</formula>
    </cfRule>
    <cfRule type="cellIs" dxfId="768" priority="330" operator="between">
      <formula>10.1</formula>
      <formula>10.6</formula>
    </cfRule>
    <cfRule type="cellIs" dxfId="767" priority="331" operator="between">
      <formula>7</formula>
      <formula>7.9</formula>
    </cfRule>
    <cfRule type="cellIs" dxfId="766" priority="332" stopIfTrue="1" operator="between">
      <formula>8</formula>
      <formula>8.9</formula>
    </cfRule>
    <cfRule type="cellIs" dxfId="765" priority="333" operator="between">
      <formula>9</formula>
      <formula>9.9</formula>
    </cfRule>
    <cfRule type="cellIs" dxfId="764" priority="334" stopIfTrue="1" operator="between">
      <formula>10</formula>
      <formula>10</formula>
    </cfRule>
    <cfRule type="containsBlanks" dxfId="763" priority="335" stopIfTrue="1">
      <formula>LEN(TRIM(B236))=0</formula>
    </cfRule>
  </conditionalFormatting>
  <conditionalFormatting sqref="B246"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62" priority="284" operator="between">
      <formula>6</formula>
      <formula>6.9</formula>
    </cfRule>
    <cfRule type="cellIs" dxfId="761" priority="285" operator="between">
      <formula>10.1</formula>
      <formula>10.6</formula>
    </cfRule>
    <cfRule type="cellIs" dxfId="760" priority="286" operator="between">
      <formula>7</formula>
      <formula>7.9</formula>
    </cfRule>
    <cfRule type="cellIs" dxfId="759" priority="287" stopIfTrue="1" operator="between">
      <formula>8</formula>
      <formula>8.9</formula>
    </cfRule>
    <cfRule type="cellIs" dxfId="758" priority="288" operator="between">
      <formula>9</formula>
      <formula>9.9</formula>
    </cfRule>
    <cfRule type="cellIs" dxfId="757" priority="289" stopIfTrue="1" operator="between">
      <formula>10</formula>
      <formula>10</formula>
    </cfRule>
    <cfRule type="containsBlanks" dxfId="756" priority="290" stopIfTrue="1">
      <formula>LEN(TRIM(B247))=0</formula>
    </cfRule>
  </conditionalFormatting>
  <conditionalFormatting sqref="B260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55" priority="246" operator="between">
      <formula>6</formula>
      <formula>6.9</formula>
    </cfRule>
    <cfRule type="cellIs" dxfId="754" priority="247" operator="between">
      <formula>10.1</formula>
      <formula>10.6</formula>
    </cfRule>
    <cfRule type="cellIs" dxfId="753" priority="248" operator="between">
      <formula>7</formula>
      <formula>7.9</formula>
    </cfRule>
    <cfRule type="cellIs" dxfId="752" priority="249" stopIfTrue="1" operator="between">
      <formula>8</formula>
      <formula>8.9</formula>
    </cfRule>
    <cfRule type="cellIs" dxfId="751" priority="250" operator="between">
      <formula>9</formula>
      <formula>9.9</formula>
    </cfRule>
    <cfRule type="cellIs" dxfId="750" priority="251" stopIfTrue="1" operator="between">
      <formula>10</formula>
      <formula>10</formula>
    </cfRule>
    <cfRule type="containsBlanks" dxfId="749" priority="252" stopIfTrue="1">
      <formula>LEN(TRIM(B261))=0</formula>
    </cfRule>
  </conditionalFormatting>
  <conditionalFormatting sqref="B27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48" priority="204" operator="between">
      <formula>6</formula>
      <formula>6.9</formula>
    </cfRule>
    <cfRule type="cellIs" dxfId="747" priority="205" operator="between">
      <formula>10.1</formula>
      <formula>10.6</formula>
    </cfRule>
    <cfRule type="cellIs" dxfId="746" priority="206" operator="between">
      <formula>7</formula>
      <formula>7.9</formula>
    </cfRule>
    <cfRule type="cellIs" dxfId="745" priority="207" stopIfTrue="1" operator="between">
      <formula>8</formula>
      <formula>8.9</formula>
    </cfRule>
    <cfRule type="cellIs" dxfId="744" priority="208" operator="between">
      <formula>9</formula>
      <formula>9.9</formula>
    </cfRule>
    <cfRule type="cellIs" dxfId="743" priority="209" stopIfTrue="1" operator="between">
      <formula>10</formula>
      <formula>10</formula>
    </cfRule>
    <cfRule type="containsBlanks" dxfId="742" priority="210" stopIfTrue="1">
      <formula>LEN(TRIM(B273))=0</formula>
    </cfRule>
  </conditionalFormatting>
  <conditionalFormatting sqref="B279">
    <cfRule type="colorScale" priority="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41" priority="156" operator="between">
      <formula>6</formula>
      <formula>6.9</formula>
    </cfRule>
    <cfRule type="cellIs" dxfId="740" priority="157" operator="between">
      <formula>10.1</formula>
      <formula>10.6</formula>
    </cfRule>
    <cfRule type="cellIs" dxfId="739" priority="158" operator="between">
      <formula>7</formula>
      <formula>7.9</formula>
    </cfRule>
    <cfRule type="cellIs" dxfId="738" priority="159" stopIfTrue="1" operator="between">
      <formula>8</formula>
      <formula>8.9</formula>
    </cfRule>
    <cfRule type="cellIs" dxfId="737" priority="160" operator="between">
      <formula>9</formula>
      <formula>9.9</formula>
    </cfRule>
    <cfRule type="cellIs" dxfId="736" priority="161" stopIfTrue="1" operator="between">
      <formula>10</formula>
      <formula>10</formula>
    </cfRule>
    <cfRule type="containsBlanks" dxfId="735" priority="162" stopIfTrue="1">
      <formula>LEN(TRIM(B280))=0</formula>
    </cfRule>
  </conditionalFormatting>
  <conditionalFormatting sqref="B309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34" priority="45" operator="between">
      <formula>6</formula>
      <formula>6.9</formula>
    </cfRule>
    <cfRule type="cellIs" dxfId="733" priority="46" operator="between">
      <formula>10.1</formula>
      <formula>10.6</formula>
    </cfRule>
    <cfRule type="cellIs" dxfId="732" priority="47" operator="between">
      <formula>7</formula>
      <formula>7.9</formula>
    </cfRule>
    <cfRule type="cellIs" dxfId="731" priority="48" stopIfTrue="1" operator="between">
      <formula>8</formula>
      <formula>8.9</formula>
    </cfRule>
    <cfRule type="cellIs" dxfId="730" priority="49" operator="between">
      <formula>9</formula>
      <formula>9.9</formula>
    </cfRule>
    <cfRule type="cellIs" dxfId="729" priority="50" stopIfTrue="1" operator="between">
      <formula>10</formula>
      <formula>10</formula>
    </cfRule>
    <cfRule type="containsBlanks" dxfId="728" priority="51" stopIfTrue="1">
      <formula>LEN(TRIM(B310))=0</formula>
    </cfRule>
  </conditionalFormatting>
  <conditionalFormatting sqref="E3:E12">
    <cfRule type="cellIs" dxfId="727" priority="1110" operator="between">
      <formula>10.1</formula>
      <formula>10.6</formula>
    </cfRule>
    <cfRule type="cellIs" dxfId="726" priority="1111" operator="between">
      <formula>7</formula>
      <formula>7.9</formula>
    </cfRule>
    <cfRule type="cellIs" dxfId="725" priority="1112" stopIfTrue="1" operator="between">
      <formula>8</formula>
      <formula>8.9</formula>
    </cfRule>
    <cfRule type="cellIs" dxfId="724" priority="1113" operator="between">
      <formula>9</formula>
      <formula>9.9</formula>
    </cfRule>
    <cfRule type="cellIs" dxfId="723" priority="1114" stopIfTrue="1" operator="between">
      <formula>10</formula>
      <formula>10</formula>
    </cfRule>
    <cfRule type="containsBlanks" dxfId="722" priority="1115" stopIfTrue="1">
      <formula>LEN(TRIM(E3))=0</formula>
    </cfRule>
  </conditionalFormatting>
  <conditionalFormatting sqref="E15:E28">
    <cfRule type="cellIs" dxfId="721" priority="420" operator="between">
      <formula>7</formula>
      <formula>7.9</formula>
    </cfRule>
    <cfRule type="cellIs" dxfId="720" priority="421" stopIfTrue="1" operator="between">
      <formula>8</formula>
      <formula>8.9</formula>
    </cfRule>
    <cfRule type="cellIs" dxfId="719" priority="422" operator="between">
      <formula>9</formula>
      <formula>9.9</formula>
    </cfRule>
    <cfRule type="cellIs" dxfId="718" priority="423" stopIfTrue="1" operator="between">
      <formula>10</formula>
      <formula>10</formula>
    </cfRule>
    <cfRule type="containsBlanks" dxfId="717" priority="424" stopIfTrue="1">
      <formula>LEN(TRIM(E15))=0</formula>
    </cfRule>
  </conditionalFormatting>
  <conditionalFormatting sqref="E16">
    <cfRule type="cellIs" dxfId="716" priority="419" operator="between">
      <formula>10.1</formula>
      <formula>10.6</formula>
    </cfRule>
  </conditionalFormatting>
  <conditionalFormatting sqref="E31:E37">
    <cfRule type="cellIs" dxfId="715" priority="1074" operator="between">
      <formula>10.1</formula>
      <formula>10.6</formula>
    </cfRule>
    <cfRule type="cellIs" dxfId="714" priority="1075" operator="between">
      <formula>7</formula>
      <formula>7.9</formula>
    </cfRule>
    <cfRule type="cellIs" dxfId="713" priority="1076" stopIfTrue="1" operator="between">
      <formula>8</formula>
      <formula>8.9</formula>
    </cfRule>
    <cfRule type="cellIs" dxfId="712" priority="1077" operator="between">
      <formula>9</formula>
      <formula>9.9</formula>
    </cfRule>
    <cfRule type="cellIs" dxfId="711" priority="1078" stopIfTrue="1" operator="between">
      <formula>10</formula>
      <formula>10</formula>
    </cfRule>
    <cfRule type="containsBlanks" dxfId="710" priority="1079" stopIfTrue="1">
      <formula>LEN(TRIM(E31))=0</formula>
    </cfRule>
  </conditionalFormatting>
  <conditionalFormatting sqref="E39">
    <cfRule type="colorScale" priority="1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09" priority="1186" operator="between">
      <formula>7</formula>
      <formula>7.9</formula>
    </cfRule>
    <cfRule type="cellIs" dxfId="708" priority="1187" stopIfTrue="1" operator="between">
      <formula>8</formula>
      <formula>8.9</formula>
    </cfRule>
    <cfRule type="cellIs" dxfId="707" priority="1188" operator="between">
      <formula>9</formula>
      <formula>9.9</formula>
    </cfRule>
    <cfRule type="cellIs" dxfId="706" priority="1189" stopIfTrue="1" operator="between">
      <formula>10</formula>
      <formula>10</formula>
    </cfRule>
  </conditionalFormatting>
  <conditionalFormatting sqref="E54"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05" priority="1056" operator="between">
      <formula>10.1</formula>
      <formula>10.6</formula>
    </cfRule>
    <cfRule type="cellIs" dxfId="704" priority="1057" operator="between">
      <formula>7</formula>
      <formula>7.9</formula>
    </cfRule>
    <cfRule type="cellIs" dxfId="703" priority="1058" stopIfTrue="1" operator="between">
      <formula>8</formula>
      <formula>8.9</formula>
    </cfRule>
    <cfRule type="cellIs" dxfId="702" priority="1059" operator="between">
      <formula>9</formula>
      <formula>9.9</formula>
    </cfRule>
    <cfRule type="cellIs" dxfId="701" priority="1060" stopIfTrue="1" operator="between">
      <formula>10</formula>
      <formula>10</formula>
    </cfRule>
    <cfRule type="containsBlanks" dxfId="700" priority="1061" stopIfTrue="1">
      <formula>LEN(TRIM(E55))=0</formula>
    </cfRule>
  </conditionalFormatting>
  <conditionalFormatting sqref="E65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699" priority="989" operator="between">
      <formula>10.1</formula>
      <formula>10.6</formula>
    </cfRule>
    <cfRule type="cellIs" dxfId="698" priority="990" operator="between">
      <formula>7</formula>
      <formula>7.9</formula>
    </cfRule>
    <cfRule type="cellIs" dxfId="697" priority="991" stopIfTrue="1" operator="between">
      <formula>8</formula>
      <formula>8.9</formula>
    </cfRule>
    <cfRule type="cellIs" dxfId="696" priority="992" operator="between">
      <formula>9</formula>
      <formula>9.9</formula>
    </cfRule>
    <cfRule type="cellIs" dxfId="695" priority="993" stopIfTrue="1" operator="between">
      <formula>10</formula>
      <formula>10</formula>
    </cfRule>
    <cfRule type="containsBlanks" dxfId="694" priority="994" stopIfTrue="1">
      <formula>LEN(TRIM(E66))=0</formula>
    </cfRule>
  </conditionalFormatting>
  <conditionalFormatting sqref="E80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693" priority="910" operator="between">
      <formula>10.1</formula>
      <formula>10.6</formula>
    </cfRule>
    <cfRule type="cellIs" dxfId="692" priority="911" operator="between">
      <formula>7</formula>
      <formula>7.9</formula>
    </cfRule>
    <cfRule type="cellIs" dxfId="691" priority="912" stopIfTrue="1" operator="between">
      <formula>8</formula>
      <formula>8.9</formula>
    </cfRule>
    <cfRule type="cellIs" dxfId="690" priority="913" operator="between">
      <formula>9</formula>
      <formula>9.9</formula>
    </cfRule>
    <cfRule type="cellIs" dxfId="689" priority="914" stopIfTrue="1" operator="between">
      <formula>10</formula>
      <formula>10</formula>
    </cfRule>
    <cfRule type="containsBlanks" dxfId="688" priority="915" stopIfTrue="1">
      <formula>LEN(TRIM(E81))=0</formula>
    </cfRule>
  </conditionalFormatting>
  <conditionalFormatting sqref="E101"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87" priority="832" operator="between">
      <formula>10.1</formula>
      <formula>10.6</formula>
    </cfRule>
    <cfRule type="cellIs" dxfId="686" priority="833" operator="between">
      <formula>7</formula>
      <formula>7.9</formula>
    </cfRule>
    <cfRule type="cellIs" dxfId="685" priority="834" stopIfTrue="1" operator="between">
      <formula>8</formula>
      <formula>8.9</formula>
    </cfRule>
    <cfRule type="cellIs" dxfId="684" priority="835" operator="between">
      <formula>9</formula>
      <formula>9.9</formula>
    </cfRule>
    <cfRule type="cellIs" dxfId="683" priority="836" stopIfTrue="1" operator="between">
      <formula>10</formula>
      <formula>10</formula>
    </cfRule>
    <cfRule type="containsBlanks" dxfId="682" priority="837" stopIfTrue="1">
      <formula>LEN(TRIM(E102))=0</formula>
    </cfRule>
  </conditionalFormatting>
  <conditionalFormatting sqref="E117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81" priority="765" operator="between">
      <formula>6</formula>
      <formula>6.9</formula>
    </cfRule>
    <cfRule type="cellIs" dxfId="680" priority="766" operator="between">
      <formula>10.1</formula>
      <formula>10.6</formula>
    </cfRule>
    <cfRule type="cellIs" dxfId="679" priority="767" operator="between">
      <formula>7</formula>
      <formula>7.9</formula>
    </cfRule>
    <cfRule type="cellIs" dxfId="678" priority="768" stopIfTrue="1" operator="between">
      <formula>8</formula>
      <formula>8.9</formula>
    </cfRule>
    <cfRule type="cellIs" dxfId="677" priority="769" operator="between">
      <formula>9</formula>
      <formula>9.9</formula>
    </cfRule>
    <cfRule type="cellIs" dxfId="676" priority="770" stopIfTrue="1" operator="between">
      <formula>10</formula>
      <formula>10</formula>
    </cfRule>
    <cfRule type="containsBlanks" dxfId="675" priority="771" stopIfTrue="1">
      <formula>LEN(TRIM(E118))=0</formula>
    </cfRule>
  </conditionalFormatting>
  <conditionalFormatting sqref="E128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674" priority="732" operator="between">
      <formula>6</formula>
      <formula>6.9</formula>
    </cfRule>
    <cfRule type="cellIs" dxfId="673" priority="733" operator="between">
      <formula>10.1</formula>
      <formula>10.6</formula>
    </cfRule>
    <cfRule type="cellIs" dxfId="672" priority="734" operator="between">
      <formula>7</formula>
      <formula>7.9</formula>
    </cfRule>
    <cfRule type="cellIs" dxfId="671" priority="735" stopIfTrue="1" operator="between">
      <formula>8</formula>
      <formula>8.9</formula>
    </cfRule>
    <cfRule type="cellIs" dxfId="670" priority="736" operator="between">
      <formula>9</formula>
      <formula>9.9</formula>
    </cfRule>
    <cfRule type="cellIs" dxfId="669" priority="737" stopIfTrue="1" operator="between">
      <formula>10</formula>
      <formula>10</formula>
    </cfRule>
    <cfRule type="containsBlanks" dxfId="668" priority="738" stopIfTrue="1">
      <formula>LEN(TRIM(E129))=0</formula>
    </cfRule>
  </conditionalFormatting>
  <conditionalFormatting sqref="E146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67" priority="645" operator="between">
      <formula>6</formula>
      <formula>6.9</formula>
    </cfRule>
    <cfRule type="cellIs" dxfId="666" priority="646" operator="between">
      <formula>10.1</formula>
      <formula>10.6</formula>
    </cfRule>
    <cfRule type="cellIs" dxfId="665" priority="647" operator="between">
      <formula>7</formula>
      <formula>7.9</formula>
    </cfRule>
    <cfRule type="cellIs" dxfId="664" priority="648" stopIfTrue="1" operator="between">
      <formula>8</formula>
      <formula>8.9</formula>
    </cfRule>
    <cfRule type="cellIs" dxfId="663" priority="649" operator="between">
      <formula>9</formula>
      <formula>9.9</formula>
    </cfRule>
    <cfRule type="cellIs" dxfId="662" priority="650" stopIfTrue="1" operator="between">
      <formula>10</formula>
      <formula>10</formula>
    </cfRule>
    <cfRule type="containsBlanks" dxfId="661" priority="651" stopIfTrue="1">
      <formula>LEN(TRIM(E147))=0</formula>
    </cfRule>
  </conditionalFormatting>
  <conditionalFormatting sqref="E161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60" priority="609" operator="between">
      <formula>6</formula>
      <formula>6.9</formula>
    </cfRule>
    <cfRule type="cellIs" dxfId="659" priority="610" operator="between">
      <formula>10.1</formula>
      <formula>10.6</formula>
    </cfRule>
    <cfRule type="cellIs" dxfId="658" priority="611" operator="between">
      <formula>7</formula>
      <formula>7.9</formula>
    </cfRule>
    <cfRule type="cellIs" dxfId="657" priority="612" stopIfTrue="1" operator="between">
      <formula>8</formula>
      <formula>8.9</formula>
    </cfRule>
    <cfRule type="cellIs" dxfId="656" priority="613" operator="between">
      <formula>9</formula>
      <formula>9.9</formula>
    </cfRule>
    <cfRule type="cellIs" dxfId="655" priority="614" stopIfTrue="1" operator="between">
      <formula>10</formula>
      <formula>10</formula>
    </cfRule>
    <cfRule type="containsBlanks" dxfId="654" priority="615" stopIfTrue="1">
      <formula>LEN(TRIM(E162))=0</formula>
    </cfRule>
  </conditionalFormatting>
  <conditionalFormatting sqref="E172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53" priority="564" operator="between">
      <formula>6</formula>
      <formula>6.9</formula>
    </cfRule>
    <cfRule type="cellIs" dxfId="652" priority="565" operator="between">
      <formula>10.1</formula>
      <formula>10.6</formula>
    </cfRule>
    <cfRule type="cellIs" dxfId="651" priority="566" operator="between">
      <formula>7</formula>
      <formula>7.9</formula>
    </cfRule>
    <cfRule type="cellIs" dxfId="650" priority="567" stopIfTrue="1" operator="between">
      <formula>8</formula>
      <formula>8.9</formula>
    </cfRule>
    <cfRule type="cellIs" dxfId="649" priority="568" operator="between">
      <formula>9</formula>
      <formula>9.9</formula>
    </cfRule>
    <cfRule type="cellIs" dxfId="648" priority="569" stopIfTrue="1" operator="between">
      <formula>10</formula>
      <formula>10</formula>
    </cfRule>
    <cfRule type="containsBlanks" dxfId="647" priority="570" stopIfTrue="1">
      <formula>LEN(TRIM(E173))=0</formula>
    </cfRule>
  </conditionalFormatting>
  <conditionalFormatting sqref="E186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46" priority="502" operator="between">
      <formula>6</formula>
      <formula>6.9</formula>
    </cfRule>
    <cfRule type="cellIs" dxfId="645" priority="503" operator="between">
      <formula>10.1</formula>
      <formula>10.6</formula>
    </cfRule>
    <cfRule type="cellIs" dxfId="644" priority="504" operator="between">
      <formula>7</formula>
      <formula>7.9</formula>
    </cfRule>
    <cfRule type="cellIs" dxfId="643" priority="505" stopIfTrue="1" operator="between">
      <formula>8</formula>
      <formula>8.9</formula>
    </cfRule>
    <cfRule type="cellIs" dxfId="642" priority="506" operator="between">
      <formula>9</formula>
      <formula>9.9</formula>
    </cfRule>
    <cfRule type="cellIs" dxfId="641" priority="507" stopIfTrue="1" operator="between">
      <formula>10</formula>
      <formula>10</formula>
    </cfRule>
    <cfRule type="containsBlanks" dxfId="640" priority="508" stopIfTrue="1">
      <formula>LEN(TRIM(E187))=0</formula>
    </cfRule>
  </conditionalFormatting>
  <conditionalFormatting sqref="E201">
    <cfRule type="colorScale" priority="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39" priority="448" operator="between">
      <formula>6</formula>
      <formula>6.9</formula>
    </cfRule>
    <cfRule type="cellIs" dxfId="638" priority="449" operator="between">
      <formula>10.1</formula>
      <formula>11</formula>
    </cfRule>
    <cfRule type="cellIs" dxfId="637" priority="450" operator="between">
      <formula>7</formula>
      <formula>7.9</formula>
    </cfRule>
    <cfRule type="cellIs" dxfId="636" priority="451" stopIfTrue="1" operator="between">
      <formula>8</formula>
      <formula>8.9</formula>
    </cfRule>
    <cfRule type="cellIs" dxfId="635" priority="452" operator="between">
      <formula>9</formula>
      <formula>9.9</formula>
    </cfRule>
    <cfRule type="cellIs" dxfId="634" priority="453" stopIfTrue="1" operator="between">
      <formula>10</formula>
      <formula>10</formula>
    </cfRule>
    <cfRule type="containsBlanks" dxfId="633" priority="454" stopIfTrue="1">
      <formula>LEN(TRIM(E202))=0</formula>
    </cfRule>
  </conditionalFormatting>
  <conditionalFormatting sqref="E213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32" priority="403" operator="between">
      <formula>6</formula>
      <formula>6.9</formula>
    </cfRule>
    <cfRule type="cellIs" dxfId="631" priority="404" operator="between">
      <formula>10.1</formula>
      <formula>10.6</formula>
    </cfRule>
    <cfRule type="cellIs" dxfId="630" priority="405" operator="between">
      <formula>7</formula>
      <formula>7.9</formula>
    </cfRule>
    <cfRule type="cellIs" dxfId="629" priority="406" stopIfTrue="1" operator="between">
      <formula>8</formula>
      <formula>8.9</formula>
    </cfRule>
    <cfRule type="cellIs" dxfId="628" priority="407" operator="between">
      <formula>9</formula>
      <formula>9.9</formula>
    </cfRule>
    <cfRule type="cellIs" dxfId="627" priority="408" stopIfTrue="1" operator="between">
      <formula>10</formula>
      <formula>10</formula>
    </cfRule>
    <cfRule type="containsBlanks" dxfId="626" priority="409" stopIfTrue="1">
      <formula>LEN(TRIM(E214))=0</formula>
    </cfRule>
  </conditionalFormatting>
  <conditionalFormatting sqref="E229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25" priority="363" operator="between">
      <formula>6</formula>
      <formula>6.9</formula>
    </cfRule>
    <cfRule type="cellIs" dxfId="624" priority="364" operator="between">
      <formula>10.1</formula>
      <formula>10.6</formula>
    </cfRule>
    <cfRule type="cellIs" dxfId="623" priority="365" operator="between">
      <formula>7</formula>
      <formula>7.9</formula>
    </cfRule>
    <cfRule type="cellIs" dxfId="622" priority="366" stopIfTrue="1" operator="between">
      <formula>8</formula>
      <formula>8.9</formula>
    </cfRule>
    <cfRule type="cellIs" dxfId="621" priority="367" operator="between">
      <formula>9</formula>
      <formula>9.9</formula>
    </cfRule>
    <cfRule type="cellIs" dxfId="620" priority="368" stopIfTrue="1" operator="between">
      <formula>10</formula>
      <formula>10</formula>
    </cfRule>
    <cfRule type="containsBlanks" dxfId="619" priority="369" stopIfTrue="1">
      <formula>LEN(TRIM(E230))=0</formula>
    </cfRule>
  </conditionalFormatting>
  <conditionalFormatting sqref="E237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18" priority="322" operator="between">
      <formula>6</formula>
      <formula>6.9</formula>
    </cfRule>
    <cfRule type="cellIs" dxfId="617" priority="323" operator="between">
      <formula>10.1</formula>
      <formula>10.6</formula>
    </cfRule>
    <cfRule type="cellIs" dxfId="616" priority="324" operator="between">
      <formula>7</formula>
      <formula>7.9</formula>
    </cfRule>
    <cfRule type="cellIs" dxfId="615" priority="325" stopIfTrue="1" operator="between">
      <formula>8</formula>
      <formula>8.9</formula>
    </cfRule>
    <cfRule type="cellIs" dxfId="614" priority="326" operator="between">
      <formula>9</formula>
      <formula>9.9</formula>
    </cfRule>
    <cfRule type="cellIs" dxfId="613" priority="327" stopIfTrue="1" operator="between">
      <formula>10</formula>
      <formula>10</formula>
    </cfRule>
    <cfRule type="containsBlanks" dxfId="612" priority="328" stopIfTrue="1">
      <formula>LEN(TRIM(E238))=0</formula>
    </cfRule>
  </conditionalFormatting>
  <conditionalFormatting sqref="E254"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11" priority="228" operator="between">
      <formula>6</formula>
      <formula>6.9</formula>
    </cfRule>
    <cfRule type="cellIs" dxfId="610" priority="229" operator="between">
      <formula>10.1</formula>
      <formula>10.6</formula>
    </cfRule>
    <cfRule type="cellIs" dxfId="609" priority="230" operator="between">
      <formula>7</formula>
      <formula>7.9</formula>
    </cfRule>
    <cfRule type="cellIs" dxfId="608" priority="231" stopIfTrue="1" operator="between">
      <formula>8</formula>
      <formula>8.9</formula>
    </cfRule>
    <cfRule type="cellIs" dxfId="607" priority="232" operator="between">
      <formula>9</formula>
      <formula>9.9</formula>
    </cfRule>
    <cfRule type="cellIs" dxfId="606" priority="233" stopIfTrue="1" operator="between">
      <formula>10</formula>
      <formula>10</formula>
    </cfRule>
    <cfRule type="containsBlanks" dxfId="605" priority="234" stopIfTrue="1">
      <formula>LEN(TRIM(E267))=0</formula>
    </cfRule>
  </conditionalFormatting>
  <conditionalFormatting sqref="E278"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04" priority="175" operator="between">
      <formula>6</formula>
      <formula>6.9</formula>
    </cfRule>
    <cfRule type="cellIs" dxfId="603" priority="176" operator="between">
      <formula>10.1</formula>
      <formula>10.6</formula>
    </cfRule>
    <cfRule type="cellIs" dxfId="602" priority="177" operator="between">
      <formula>7</formula>
      <formula>7.9</formula>
    </cfRule>
    <cfRule type="cellIs" dxfId="601" priority="178" stopIfTrue="1" operator="between">
      <formula>8</formula>
      <formula>8.9</formula>
    </cfRule>
    <cfRule type="cellIs" dxfId="600" priority="179" operator="between">
      <formula>9</formula>
      <formula>9.9</formula>
    </cfRule>
    <cfRule type="cellIs" dxfId="599" priority="180" stopIfTrue="1" operator="between">
      <formula>10</formula>
      <formula>10</formula>
    </cfRule>
    <cfRule type="containsBlanks" dxfId="598" priority="181" stopIfTrue="1">
      <formula>LEN(TRIM(E279))=0</formula>
    </cfRule>
  </conditionalFormatting>
  <conditionalFormatting sqref="E288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597" priority="127" operator="between">
      <formula>6</formula>
      <formula>6.9</formula>
    </cfRule>
    <cfRule type="cellIs" dxfId="596" priority="128" operator="between">
      <formula>10.1</formula>
      <formula>10.6</formula>
    </cfRule>
    <cfRule type="cellIs" dxfId="595" priority="129" operator="between">
      <formula>7</formula>
      <formula>7.9</formula>
    </cfRule>
    <cfRule type="cellIs" dxfId="594" priority="130" stopIfTrue="1" operator="between">
      <formula>8</formula>
      <formula>8.9</formula>
    </cfRule>
    <cfRule type="cellIs" dxfId="593" priority="131" operator="between">
      <formula>9</formula>
      <formula>9.9</formula>
    </cfRule>
    <cfRule type="cellIs" dxfId="592" priority="132" stopIfTrue="1" operator="between">
      <formula>10</formula>
      <formula>10</formula>
    </cfRule>
    <cfRule type="containsBlanks" dxfId="591" priority="133" stopIfTrue="1">
      <formula>LEN(TRIM(E289))=0</formula>
    </cfRule>
  </conditionalFormatting>
  <conditionalFormatting sqref="E299">
    <cfRule type="colorScale" priority="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590" priority="76" operator="between">
      <formula>6</formula>
      <formula>6.9</formula>
    </cfRule>
    <cfRule type="cellIs" dxfId="589" priority="77" operator="between">
      <formula>10.1</formula>
      <formula>10.6</formula>
    </cfRule>
    <cfRule type="cellIs" dxfId="588" priority="78" operator="between">
      <formula>7</formula>
      <formula>7.9</formula>
    </cfRule>
    <cfRule type="cellIs" dxfId="587" priority="79" stopIfTrue="1" operator="between">
      <formula>8</formula>
      <formula>8.9</formula>
    </cfRule>
    <cfRule type="cellIs" dxfId="586" priority="80" operator="between">
      <formula>9</formula>
      <formula>9.9</formula>
    </cfRule>
    <cfRule type="cellIs" dxfId="585" priority="81" stopIfTrue="1" operator="between">
      <formula>10</formula>
      <formula>10</formula>
    </cfRule>
    <cfRule type="containsBlanks" dxfId="584" priority="82" stopIfTrue="1">
      <formula>LEN(TRIM(E300))=0</formula>
    </cfRule>
  </conditionalFormatting>
  <conditionalFormatting sqref="E310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583" priority="23" stopIfTrue="1">
      <formula>LEN(TRIM(E311))=0</formula>
    </cfRule>
    <cfRule type="cellIs" dxfId="582" priority="24" operator="lessThan">
      <formula>2</formula>
    </cfRule>
    <cfRule type="cellIs" dxfId="581" priority="25" operator="between">
      <formula>2</formula>
      <formula>4.9</formula>
    </cfRule>
    <cfRule type="cellIs" dxfId="580" priority="26" operator="between">
      <formula>5</formula>
      <formula>6.9</formula>
    </cfRule>
    <cfRule type="cellIs" dxfId="579" priority="27" operator="between">
      <formula>10.1</formula>
      <formula>10.6</formula>
    </cfRule>
    <cfRule type="cellIs" dxfId="578" priority="28" operator="between">
      <formula>7</formula>
      <formula>7.9</formula>
    </cfRule>
    <cfRule type="cellIs" dxfId="577" priority="29" stopIfTrue="1" operator="between">
      <formula>8</formula>
      <formula>8.9</formula>
    </cfRule>
    <cfRule type="cellIs" dxfId="576" priority="30" operator="between">
      <formula>9</formula>
      <formula>9.9</formula>
    </cfRule>
    <cfRule type="cellIs" dxfId="575" priority="31" stopIfTrue="1" operator="between">
      <formula>10</formula>
      <formula>10</formula>
    </cfRule>
  </conditionalFormatting>
  <conditionalFormatting sqref="H3:H15">
    <cfRule type="cellIs" dxfId="574" priority="212" operator="between">
      <formula>7</formula>
      <formula>7.9</formula>
    </cfRule>
    <cfRule type="cellIs" dxfId="573" priority="213" stopIfTrue="1" operator="between">
      <formula>8</formula>
      <formula>8.9</formula>
    </cfRule>
    <cfRule type="cellIs" dxfId="572" priority="214" operator="between">
      <formula>9</formula>
      <formula>9.9</formula>
    </cfRule>
    <cfRule type="cellIs" dxfId="571" priority="215" stopIfTrue="1" operator="between">
      <formula>10</formula>
      <formula>10</formula>
    </cfRule>
  </conditionalFormatting>
  <conditionalFormatting sqref="H7">
    <cfRule type="cellIs" dxfId="570" priority="211" operator="between">
      <formula>10.1</formula>
      <formula>10.6</formula>
    </cfRule>
    <cfRule type="containsBlanks" dxfId="569" priority="216" stopIfTrue="1">
      <formula>LEN(TRIM(H7))=0</formula>
    </cfRule>
  </conditionalFormatting>
  <conditionalFormatting sqref="H18:H28">
    <cfRule type="cellIs" dxfId="568" priority="1206" operator="between">
      <formula>7</formula>
      <formula>7.9</formula>
    </cfRule>
    <cfRule type="cellIs" dxfId="567" priority="1207" stopIfTrue="1" operator="between">
      <formula>8</formula>
      <formula>8.9</formula>
    </cfRule>
    <cfRule type="cellIs" dxfId="566" priority="1208" operator="between">
      <formula>9</formula>
      <formula>9.9</formula>
    </cfRule>
    <cfRule type="cellIs" dxfId="565" priority="1209" stopIfTrue="1" operator="between">
      <formula>10</formula>
      <formula>10</formula>
    </cfRule>
  </conditionalFormatting>
  <conditionalFormatting sqref="H30"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64" priority="1068" operator="between">
      <formula>10.1</formula>
      <formula>10.6</formula>
    </cfRule>
    <cfRule type="cellIs" dxfId="563" priority="1069" operator="between">
      <formula>7</formula>
      <formula>7.9</formula>
    </cfRule>
    <cfRule type="cellIs" dxfId="562" priority="1070" stopIfTrue="1" operator="between">
      <formula>8</formula>
      <formula>8.9</formula>
    </cfRule>
    <cfRule type="cellIs" dxfId="561" priority="1071" operator="between">
      <formula>9</formula>
      <formula>9.9</formula>
    </cfRule>
    <cfRule type="cellIs" dxfId="560" priority="1072" stopIfTrue="1" operator="between">
      <formula>10</formula>
      <formula>10</formula>
    </cfRule>
    <cfRule type="containsBlanks" dxfId="559" priority="1073" stopIfTrue="1">
      <formula>LEN(TRIM(H31))=0</formula>
    </cfRule>
  </conditionalFormatting>
  <conditionalFormatting sqref="H47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58" priority="1062" operator="between">
      <formula>10.1</formula>
      <formula>10.6</formula>
    </cfRule>
    <cfRule type="cellIs" dxfId="557" priority="1063" operator="between">
      <formula>7</formula>
      <formula>7.9</formula>
    </cfRule>
    <cfRule type="cellIs" dxfId="556" priority="1064" stopIfTrue="1" operator="between">
      <formula>8</formula>
      <formula>8.9</formula>
    </cfRule>
    <cfRule type="cellIs" dxfId="555" priority="1065" operator="between">
      <formula>9</formula>
      <formula>9.9</formula>
    </cfRule>
    <cfRule type="cellIs" dxfId="554" priority="1066" stopIfTrue="1" operator="between">
      <formula>10</formula>
      <formula>10</formula>
    </cfRule>
    <cfRule type="containsBlanks" dxfId="553" priority="1067" stopIfTrue="1">
      <formula>LEN(TRIM(H48))=0</formula>
    </cfRule>
  </conditionalFormatting>
  <conditionalFormatting sqref="H57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52" priority="934" operator="between">
      <formula>6</formula>
      <formula>6.9</formula>
    </cfRule>
    <cfRule type="cellIs" dxfId="551" priority="935" operator="between">
      <formula>10.1</formula>
      <formula>10.6</formula>
    </cfRule>
    <cfRule type="cellIs" dxfId="550" priority="936" operator="between">
      <formula>7</formula>
      <formula>7.9</formula>
    </cfRule>
    <cfRule type="cellIs" dxfId="549" priority="937" stopIfTrue="1" operator="between">
      <formula>8</formula>
      <formula>8.9</formula>
    </cfRule>
    <cfRule type="cellIs" dxfId="548" priority="938" operator="between">
      <formula>9</formula>
      <formula>9.9</formula>
    </cfRule>
    <cfRule type="cellIs" dxfId="547" priority="939" stopIfTrue="1" operator="between">
      <formula>10</formula>
      <formula>10</formula>
    </cfRule>
    <cfRule type="containsBlanks" dxfId="546" priority="940" stopIfTrue="1">
      <formula>LEN(TRIM(H58))=0</formula>
    </cfRule>
  </conditionalFormatting>
  <conditionalFormatting sqref="H69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45" priority="963" operator="between">
      <formula>10.1</formula>
      <formula>10.6</formula>
    </cfRule>
    <cfRule type="cellIs" dxfId="544" priority="964" operator="between">
      <formula>7</formula>
      <formula>7.9</formula>
    </cfRule>
    <cfRule type="cellIs" dxfId="543" priority="965" stopIfTrue="1" operator="between">
      <formula>8</formula>
      <formula>8.9</formula>
    </cfRule>
    <cfRule type="cellIs" dxfId="542" priority="966" operator="between">
      <formula>9</formula>
      <formula>9.9</formula>
    </cfRule>
    <cfRule type="cellIs" dxfId="541" priority="967" stopIfTrue="1" operator="between">
      <formula>10</formula>
      <formula>10</formula>
    </cfRule>
    <cfRule type="containsBlanks" dxfId="540" priority="968" stopIfTrue="1">
      <formula>LEN(TRIM(H70))=0</formula>
    </cfRule>
  </conditionalFormatting>
  <conditionalFormatting sqref="H83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39" priority="887" operator="between">
      <formula>6</formula>
      <formula>6.9</formula>
    </cfRule>
    <cfRule type="cellIs" dxfId="538" priority="888" operator="between">
      <formula>10.1</formula>
      <formula>10.6</formula>
    </cfRule>
    <cfRule type="cellIs" dxfId="537" priority="889" operator="between">
      <formula>7</formula>
      <formula>7.9</formula>
    </cfRule>
    <cfRule type="cellIs" dxfId="536" priority="890" stopIfTrue="1" operator="between">
      <formula>8</formula>
      <formula>8.9</formula>
    </cfRule>
    <cfRule type="cellIs" dxfId="535" priority="891" operator="between">
      <formula>9</formula>
      <formula>9.9</formula>
    </cfRule>
    <cfRule type="cellIs" dxfId="534" priority="892" stopIfTrue="1" operator="between">
      <formula>10</formula>
      <formula>10</formula>
    </cfRule>
    <cfRule type="containsBlanks" dxfId="533" priority="893" stopIfTrue="1">
      <formula>LEN(TRIM(H84))=0</formula>
    </cfRule>
  </conditionalFormatting>
  <conditionalFormatting sqref="H97">
    <cfRule type="colorScale" priority="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5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32" priority="838" operator="between">
      <formula>6</formula>
      <formula>6.9</formula>
    </cfRule>
    <cfRule type="cellIs" dxfId="531" priority="839" operator="between">
      <formula>10.1</formula>
      <formula>10.6</formula>
    </cfRule>
    <cfRule type="cellIs" dxfId="530" priority="840" operator="between">
      <formula>7</formula>
      <formula>7.9</formula>
    </cfRule>
    <cfRule type="cellIs" dxfId="529" priority="841" stopIfTrue="1" operator="between">
      <formula>8</formula>
      <formula>8.9</formula>
    </cfRule>
    <cfRule type="cellIs" dxfId="528" priority="842" operator="between">
      <formula>9</formula>
      <formula>9.9</formula>
    </cfRule>
    <cfRule type="cellIs" dxfId="527" priority="843" stopIfTrue="1" operator="between">
      <formula>10</formula>
      <formula>10</formula>
    </cfRule>
    <cfRule type="containsBlanks" dxfId="526" priority="844" stopIfTrue="1">
      <formula>LEN(TRIM(H98))=0</formula>
    </cfRule>
  </conditionalFormatting>
  <conditionalFormatting sqref="H110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25" priority="814" operator="between">
      <formula>10.1</formula>
      <formula>10.6</formula>
    </cfRule>
    <cfRule type="cellIs" dxfId="524" priority="815" operator="between">
      <formula>7</formula>
      <formula>7.9</formula>
    </cfRule>
    <cfRule type="cellIs" dxfId="523" priority="816" stopIfTrue="1" operator="between">
      <formula>8</formula>
      <formula>8.9</formula>
    </cfRule>
    <cfRule type="cellIs" dxfId="522" priority="817" operator="between">
      <formula>9</formula>
      <formula>9.9</formula>
    </cfRule>
    <cfRule type="cellIs" dxfId="521" priority="818" stopIfTrue="1" operator="between">
      <formula>10</formula>
      <formula>10</formula>
    </cfRule>
    <cfRule type="containsBlanks" dxfId="520" priority="819" stopIfTrue="1">
      <formula>LEN(TRIM(H111))=0</formula>
    </cfRule>
  </conditionalFormatting>
  <conditionalFormatting sqref="H125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19" priority="741" operator="between">
      <formula>6</formula>
      <formula>6.9</formula>
    </cfRule>
    <cfRule type="cellIs" dxfId="518" priority="742" operator="between">
      <formula>10.1</formula>
      <formula>10.6</formula>
    </cfRule>
    <cfRule type="cellIs" dxfId="517" priority="743" operator="between">
      <formula>7</formula>
      <formula>7.9</formula>
    </cfRule>
    <cfRule type="cellIs" dxfId="516" priority="744" stopIfTrue="1" operator="between">
      <formula>8</formula>
      <formula>8.9</formula>
    </cfRule>
    <cfRule type="cellIs" dxfId="515" priority="745" operator="between">
      <formula>9</formula>
      <formula>9.9</formula>
    </cfRule>
    <cfRule type="cellIs" dxfId="514" priority="746" stopIfTrue="1" operator="between">
      <formula>10</formula>
      <formula>10</formula>
    </cfRule>
    <cfRule type="containsBlanks" dxfId="513" priority="747" stopIfTrue="1">
      <formula>LEN(TRIM(H126))=0</formula>
    </cfRule>
  </conditionalFormatting>
  <conditionalFormatting sqref="H131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12" priority="708" operator="between">
      <formula>6</formula>
      <formula>6.9</formula>
    </cfRule>
    <cfRule type="cellIs" dxfId="511" priority="709" operator="between">
      <formula>10.1</formula>
      <formula>10.6</formula>
    </cfRule>
    <cfRule type="cellIs" dxfId="510" priority="710" operator="between">
      <formula>7</formula>
      <formula>7.9</formula>
    </cfRule>
    <cfRule type="cellIs" dxfId="509" priority="711" stopIfTrue="1" operator="between">
      <formula>8</formula>
      <formula>8.9</formula>
    </cfRule>
    <cfRule type="cellIs" dxfId="508" priority="712" operator="between">
      <formula>9</formula>
      <formula>9.9</formula>
    </cfRule>
    <cfRule type="cellIs" dxfId="507" priority="713" stopIfTrue="1" operator="between">
      <formula>10</formula>
      <formula>10</formula>
    </cfRule>
    <cfRule type="containsBlanks" dxfId="506" priority="714" stopIfTrue="1">
      <formula>LEN(TRIM(H132))=0</formula>
    </cfRule>
  </conditionalFormatting>
  <conditionalFormatting sqref="H149"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05" priority="636" operator="between">
      <formula>6</formula>
      <formula>6.9</formula>
    </cfRule>
    <cfRule type="cellIs" dxfId="504" priority="637" operator="between">
      <formula>10.1</formula>
      <formula>10.6</formula>
    </cfRule>
    <cfRule type="cellIs" dxfId="503" priority="638" operator="between">
      <formula>7</formula>
      <formula>7.9</formula>
    </cfRule>
    <cfRule type="cellIs" dxfId="502" priority="639" stopIfTrue="1" operator="between">
      <formula>8</formula>
      <formula>8.9</formula>
    </cfRule>
    <cfRule type="cellIs" dxfId="501" priority="640" operator="between">
      <formula>9</formula>
      <formula>9.9</formula>
    </cfRule>
    <cfRule type="cellIs" dxfId="500" priority="641" stopIfTrue="1" operator="between">
      <formula>10</formula>
      <formula>10</formula>
    </cfRule>
    <cfRule type="containsBlanks" dxfId="499" priority="642" stopIfTrue="1">
      <formula>LEN(TRIM(H150))=0</formula>
    </cfRule>
  </conditionalFormatting>
  <conditionalFormatting sqref="H165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98" priority="584" operator="between">
      <formula>6</formula>
      <formula>6.9</formula>
    </cfRule>
    <cfRule type="cellIs" dxfId="497" priority="585" operator="between">
      <formula>10.1</formula>
      <formula>10.6</formula>
    </cfRule>
    <cfRule type="cellIs" dxfId="496" priority="586" operator="between">
      <formula>7</formula>
      <formula>7.9</formula>
    </cfRule>
    <cfRule type="cellIs" dxfId="495" priority="587" stopIfTrue="1" operator="between">
      <formula>8</formula>
      <formula>8.9</formula>
    </cfRule>
    <cfRule type="cellIs" dxfId="494" priority="588" operator="between">
      <formula>9</formula>
      <formula>9.9</formula>
    </cfRule>
    <cfRule type="cellIs" dxfId="493" priority="589" stopIfTrue="1" operator="between">
      <formula>10</formula>
      <formula>10</formula>
    </cfRule>
    <cfRule type="containsBlanks" dxfId="492" priority="590" stopIfTrue="1">
      <formula>LEN(TRIM(H166))=0</formula>
    </cfRule>
  </conditionalFormatting>
  <conditionalFormatting sqref="H177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91" priority="535" operator="between">
      <formula>6</formula>
      <formula>6.9</formula>
    </cfRule>
    <cfRule type="cellIs" dxfId="490" priority="536" operator="between">
      <formula>10.1</formula>
      <formula>10.6</formula>
    </cfRule>
    <cfRule type="cellIs" dxfId="489" priority="537" operator="between">
      <formula>7</formula>
      <formula>7.9</formula>
    </cfRule>
    <cfRule type="cellIs" dxfId="488" priority="538" stopIfTrue="1" operator="between">
      <formula>8</formula>
      <formula>8.9</formula>
    </cfRule>
    <cfRule type="cellIs" dxfId="487" priority="539" operator="between">
      <formula>9</formula>
      <formula>9.9</formula>
    </cfRule>
    <cfRule type="cellIs" dxfId="486" priority="540" stopIfTrue="1" operator="between">
      <formula>10</formula>
      <formula>10</formula>
    </cfRule>
    <cfRule type="containsBlanks" dxfId="485" priority="541" stopIfTrue="1">
      <formula>LEN(TRIM(H178))=0</formula>
    </cfRule>
  </conditionalFormatting>
  <conditionalFormatting sqref="H191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84" priority="475" operator="between">
      <formula>6</formula>
      <formula>6.9</formula>
    </cfRule>
    <cfRule type="cellIs" dxfId="483" priority="476" operator="between">
      <formula>10.1</formula>
      <formula>10.6</formula>
    </cfRule>
    <cfRule type="cellIs" dxfId="482" priority="477" operator="between">
      <formula>7</formula>
      <formula>7.9</formula>
    </cfRule>
    <cfRule type="cellIs" dxfId="481" priority="478" stopIfTrue="1" operator="between">
      <formula>8</formula>
      <formula>8.9</formula>
    </cfRule>
    <cfRule type="cellIs" dxfId="480" priority="479" operator="between">
      <formula>9</formula>
      <formula>9.9</formula>
    </cfRule>
    <cfRule type="cellIs" dxfId="479" priority="480" stopIfTrue="1" operator="between">
      <formula>10</formula>
      <formula>10</formula>
    </cfRule>
    <cfRule type="containsBlanks" dxfId="478" priority="481" stopIfTrue="1">
      <formula>LEN(TRIM(H192))=0</formula>
    </cfRule>
  </conditionalFormatting>
  <conditionalFormatting sqref="H202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77" priority="436" operator="between">
      <formula>6</formula>
      <formula>6.9</formula>
    </cfRule>
    <cfRule type="cellIs" dxfId="476" priority="437" operator="between">
      <formula>10.1</formula>
      <formula>11</formula>
    </cfRule>
    <cfRule type="cellIs" dxfId="475" priority="438" operator="between">
      <formula>7</formula>
      <formula>7.9</formula>
    </cfRule>
    <cfRule type="cellIs" dxfId="474" priority="439" stopIfTrue="1" operator="between">
      <formula>8</formula>
      <formula>8.9</formula>
    </cfRule>
    <cfRule type="cellIs" dxfId="473" priority="440" operator="between">
      <formula>9</formula>
      <formula>9.9</formula>
    </cfRule>
    <cfRule type="cellIs" dxfId="472" priority="441" stopIfTrue="1" operator="between">
      <formula>10</formula>
      <formula>10</formula>
    </cfRule>
    <cfRule type="containsBlanks" dxfId="471" priority="442" stopIfTrue="1">
      <formula>LEN(TRIM(H203))=0</formula>
    </cfRule>
  </conditionalFormatting>
  <conditionalFormatting sqref="H215"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70" priority="385" operator="between">
      <formula>6</formula>
      <formula>6.9</formula>
    </cfRule>
    <cfRule type="cellIs" dxfId="469" priority="386" operator="between">
      <formula>10.1</formula>
      <formula>10.6</formula>
    </cfRule>
    <cfRule type="cellIs" dxfId="468" priority="387" operator="between">
      <formula>7</formula>
      <formula>7.9</formula>
    </cfRule>
    <cfRule type="cellIs" dxfId="467" priority="388" stopIfTrue="1" operator="between">
      <formula>8</formula>
      <formula>8.9</formula>
    </cfRule>
    <cfRule type="cellIs" dxfId="466" priority="389" operator="between">
      <formula>9</formula>
      <formula>9.9</formula>
    </cfRule>
    <cfRule type="cellIs" dxfId="465" priority="390" stopIfTrue="1" operator="between">
      <formula>10</formula>
      <formula>10</formula>
    </cfRule>
    <cfRule type="containsBlanks" dxfId="464" priority="391" stopIfTrue="1">
      <formula>LEN(TRIM(H216))=0</formula>
    </cfRule>
  </conditionalFormatting>
  <conditionalFormatting sqref="H229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63" priority="345" operator="between">
      <formula>6</formula>
      <formula>6.9</formula>
    </cfRule>
    <cfRule type="cellIs" dxfId="462" priority="346" operator="between">
      <formula>10.1</formula>
      <formula>10.6</formula>
    </cfRule>
    <cfRule type="cellIs" dxfId="461" priority="347" operator="between">
      <formula>7</formula>
      <formula>7.9</formula>
    </cfRule>
    <cfRule type="cellIs" dxfId="460" priority="348" stopIfTrue="1" operator="between">
      <formula>8</formula>
      <formula>8.9</formula>
    </cfRule>
    <cfRule type="cellIs" dxfId="459" priority="349" operator="between">
      <formula>9</formula>
      <formula>9.9</formula>
    </cfRule>
    <cfRule type="cellIs" dxfId="458" priority="350" stopIfTrue="1" operator="between">
      <formula>10</formula>
      <formula>10</formula>
    </cfRule>
    <cfRule type="containsBlanks" dxfId="457" priority="351" stopIfTrue="1">
      <formula>LEN(TRIM(H230))=0</formula>
    </cfRule>
  </conditionalFormatting>
  <conditionalFormatting sqref="H246">
    <cfRule type="colorScale" priority="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56" priority="295" operator="between">
      <formula>6</formula>
      <formula>6.9</formula>
    </cfRule>
    <cfRule type="cellIs" dxfId="455" priority="296" operator="between">
      <formula>10.1</formula>
      <formula>10.6</formula>
    </cfRule>
    <cfRule type="cellIs" dxfId="454" priority="297" operator="between">
      <formula>7</formula>
      <formula>7.9</formula>
    </cfRule>
    <cfRule type="cellIs" dxfId="453" priority="298" stopIfTrue="1" operator="between">
      <formula>8</formula>
      <formula>8.9</formula>
    </cfRule>
    <cfRule type="cellIs" dxfId="452" priority="299" operator="between">
      <formula>9</formula>
      <formula>9.9</formula>
    </cfRule>
    <cfRule type="cellIs" dxfId="451" priority="300" stopIfTrue="1" operator="between">
      <formula>10</formula>
      <formula>10</formula>
    </cfRule>
    <cfRule type="containsBlanks" dxfId="450" priority="301" stopIfTrue="1">
      <formula>LEN(TRIM(H247))=0</formula>
    </cfRule>
  </conditionalFormatting>
  <conditionalFormatting sqref="H258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49" priority="255" operator="between">
      <formula>6</formula>
      <formula>6.9</formula>
    </cfRule>
    <cfRule type="cellIs" dxfId="448" priority="256" operator="between">
      <formula>10.1</formula>
      <formula>10.6</formula>
    </cfRule>
    <cfRule type="cellIs" dxfId="447" priority="257" operator="between">
      <formula>7</formula>
      <formula>7.9</formula>
    </cfRule>
    <cfRule type="cellIs" dxfId="446" priority="258" stopIfTrue="1" operator="between">
      <formula>8</formula>
      <formula>8.9</formula>
    </cfRule>
    <cfRule type="cellIs" dxfId="445" priority="259" operator="between">
      <formula>9</formula>
      <formula>9.9</formula>
    </cfRule>
    <cfRule type="cellIs" dxfId="444" priority="260" stopIfTrue="1" operator="between">
      <formula>10</formula>
      <formula>10</formula>
    </cfRule>
    <cfRule type="containsBlanks" dxfId="443" priority="261" stopIfTrue="1">
      <formula>LEN(TRIM(H259))=0</formula>
    </cfRule>
  </conditionalFormatting>
  <conditionalFormatting sqref="H265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42" priority="217" operator="between">
      <formula>6</formula>
      <formula>6.9</formula>
    </cfRule>
    <cfRule type="cellIs" dxfId="441" priority="218" operator="between">
      <formula>10.1</formula>
      <formula>10.6</formula>
    </cfRule>
    <cfRule type="cellIs" dxfId="440" priority="219" operator="between">
      <formula>7</formula>
      <formula>7.9</formula>
    </cfRule>
    <cfRule type="cellIs" dxfId="439" priority="220" stopIfTrue="1" operator="between">
      <formula>8</formula>
      <formula>8.9</formula>
    </cfRule>
    <cfRule type="cellIs" dxfId="438" priority="221" operator="between">
      <formula>9</formula>
      <formula>9.9</formula>
    </cfRule>
    <cfRule type="cellIs" dxfId="437" priority="222" stopIfTrue="1" operator="between">
      <formula>10</formula>
      <formula>10</formula>
    </cfRule>
    <cfRule type="containsBlanks" dxfId="436" priority="223" stopIfTrue="1">
      <formula>LEN(TRIM(H266))=0</formula>
    </cfRule>
  </conditionalFormatting>
  <conditionalFormatting sqref="H276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35" priority="193" operator="between">
      <formula>6</formula>
      <formula>6.9</formula>
    </cfRule>
    <cfRule type="cellIs" dxfId="434" priority="194" operator="between">
      <formula>10.1</formula>
      <formula>10.6</formula>
    </cfRule>
    <cfRule type="cellIs" dxfId="433" priority="195" operator="between">
      <formula>7</formula>
      <formula>7.9</formula>
    </cfRule>
    <cfRule type="cellIs" dxfId="432" priority="196" stopIfTrue="1" operator="between">
      <formula>8</formula>
      <formula>8.9</formula>
    </cfRule>
    <cfRule type="cellIs" dxfId="431" priority="197" operator="between">
      <formula>9</formula>
      <formula>9.9</formula>
    </cfRule>
    <cfRule type="cellIs" dxfId="430" priority="198" stopIfTrue="1" operator="between">
      <formula>10</formula>
      <formula>10</formula>
    </cfRule>
    <cfRule type="containsBlanks" dxfId="429" priority="199" stopIfTrue="1">
      <formula>LEN(TRIM(H277))=0</formula>
    </cfRule>
  </conditionalFormatting>
  <conditionalFormatting sqref="H288"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28" priority="118" operator="between">
      <formula>6</formula>
      <formula>6.9</formula>
    </cfRule>
    <cfRule type="cellIs" dxfId="427" priority="119" operator="between">
      <formula>10.1</formula>
      <formula>10.6</formula>
    </cfRule>
    <cfRule type="cellIs" dxfId="426" priority="120" operator="between">
      <formula>7</formula>
      <formula>7.9</formula>
    </cfRule>
    <cfRule type="cellIs" dxfId="425" priority="121" stopIfTrue="1" operator="between">
      <formula>8</formula>
      <formula>8.9</formula>
    </cfRule>
    <cfRule type="cellIs" dxfId="424" priority="122" operator="between">
      <formula>9</formula>
      <formula>9.9</formula>
    </cfRule>
    <cfRule type="cellIs" dxfId="423" priority="123" stopIfTrue="1" operator="between">
      <formula>10</formula>
      <formula>10</formula>
    </cfRule>
    <cfRule type="containsBlanks" dxfId="422" priority="124" stopIfTrue="1">
      <formula>LEN(TRIM(H289))=0</formula>
    </cfRule>
  </conditionalFormatting>
  <conditionalFormatting sqref="H296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21" priority="107" stopIfTrue="1">
      <formula>LEN(TRIM(H297))=0</formula>
    </cfRule>
    <cfRule type="cellIs" dxfId="420" priority="108" operator="lessThan">
      <formula>2</formula>
    </cfRule>
    <cfRule type="cellIs" dxfId="419" priority="109" operator="between">
      <formula>2</formula>
      <formula>4.9</formula>
    </cfRule>
    <cfRule type="cellIs" dxfId="418" priority="110" operator="between">
      <formula>5</formula>
      <formula>6.9</formula>
    </cfRule>
    <cfRule type="cellIs" dxfId="417" priority="111" operator="between">
      <formula>10.1</formula>
      <formula>10.6</formula>
    </cfRule>
    <cfRule type="cellIs" dxfId="416" priority="112" operator="between">
      <formula>7</formula>
      <formula>7.9</formula>
    </cfRule>
    <cfRule type="cellIs" dxfId="415" priority="113" stopIfTrue="1" operator="between">
      <formula>8</formula>
      <formula>8.9</formula>
    </cfRule>
    <cfRule type="cellIs" dxfId="414" priority="114" operator="between">
      <formula>9</formula>
      <formula>9.9</formula>
    </cfRule>
    <cfRule type="cellIs" dxfId="413" priority="115" stopIfTrue="1" operator="between">
      <formula>10</formula>
      <formula>10</formula>
    </cfRule>
  </conditionalFormatting>
  <conditionalFormatting sqref="H309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12" priority="34" stopIfTrue="1">
      <formula>LEN(TRIM(H310))=0</formula>
    </cfRule>
    <cfRule type="cellIs" dxfId="411" priority="35" operator="lessThan">
      <formula>2</formula>
    </cfRule>
    <cfRule type="cellIs" dxfId="410" priority="36" operator="between">
      <formula>2</formula>
      <formula>4.9</formula>
    </cfRule>
    <cfRule type="cellIs" dxfId="409" priority="37" operator="between">
      <formula>5</formula>
      <formula>6.9</formula>
    </cfRule>
    <cfRule type="cellIs" dxfId="408" priority="38" operator="between">
      <formula>10.1</formula>
      <formula>10.6</formula>
    </cfRule>
    <cfRule type="cellIs" dxfId="407" priority="39" operator="between">
      <formula>7</formula>
      <formula>7.9</formula>
    </cfRule>
    <cfRule type="cellIs" dxfId="406" priority="40" stopIfTrue="1" operator="between">
      <formula>8</formula>
      <formula>8.9</formula>
    </cfRule>
    <cfRule type="cellIs" dxfId="405" priority="41" operator="between">
      <formula>9</formula>
      <formula>9.9</formula>
    </cfRule>
    <cfRule type="cellIs" dxfId="404" priority="42" stopIfTrue="1" operator="between">
      <formula>10</formula>
      <formula>10</formula>
    </cfRule>
  </conditionalFormatting>
  <conditionalFormatting sqref="K3:K12">
    <cfRule type="cellIs" dxfId="403" priority="1104" operator="between">
      <formula>10.1</formula>
      <formula>10.6</formula>
    </cfRule>
    <cfRule type="cellIs" dxfId="402" priority="1105" operator="between">
      <formula>7</formula>
      <formula>7.9</formula>
    </cfRule>
    <cfRule type="cellIs" dxfId="401" priority="1106" stopIfTrue="1" operator="between">
      <formula>8</formula>
      <formula>8.9</formula>
    </cfRule>
    <cfRule type="cellIs" dxfId="400" priority="1107" operator="between">
      <formula>9</formula>
      <formula>9.9</formula>
    </cfRule>
    <cfRule type="cellIs" dxfId="399" priority="1108" stopIfTrue="1" operator="between">
      <formula>10</formula>
      <formula>10</formula>
    </cfRule>
    <cfRule type="containsBlanks" dxfId="398" priority="1109" stopIfTrue="1">
      <formula>LEN(TRIM(K3))=0</formula>
    </cfRule>
  </conditionalFormatting>
  <conditionalFormatting sqref="K15:K23">
    <cfRule type="cellIs" dxfId="397" priority="512" operator="between">
      <formula>7</formula>
      <formula>7.9</formula>
    </cfRule>
    <cfRule type="cellIs" dxfId="396" priority="513" stopIfTrue="1" operator="between">
      <formula>8</formula>
      <formula>8.9</formula>
    </cfRule>
    <cfRule type="cellIs" dxfId="395" priority="514" operator="between">
      <formula>9</formula>
      <formula>9.9</formula>
    </cfRule>
    <cfRule type="cellIs" dxfId="394" priority="515" stopIfTrue="1" operator="between">
      <formula>10</formula>
      <formula>10</formula>
    </cfRule>
  </conditionalFormatting>
  <conditionalFormatting sqref="K23">
    <cfRule type="cellIs" dxfId="393" priority="511" operator="between">
      <formula>10.1</formula>
      <formula>10.6</formula>
    </cfRule>
    <cfRule type="containsBlanks" dxfId="392" priority="516" stopIfTrue="1">
      <formula>LEN(TRIM(K23))=0</formula>
    </cfRule>
  </conditionalFormatting>
  <conditionalFormatting sqref="K26:K38">
    <cfRule type="cellIs" dxfId="391" priority="1139" operator="between">
      <formula>7</formula>
      <formula>7.9</formula>
    </cfRule>
    <cfRule type="cellIs" dxfId="390" priority="1140" stopIfTrue="1" operator="between">
      <formula>8</formula>
      <formula>8.9</formula>
    </cfRule>
    <cfRule type="cellIs" dxfId="389" priority="1141" operator="between">
      <formula>9</formula>
      <formula>9.9</formula>
    </cfRule>
    <cfRule type="cellIs" dxfId="388" priority="1142" stopIfTrue="1" operator="between">
      <formula>10</formula>
      <formula>10</formula>
    </cfRule>
    <cfRule type="containsBlanks" dxfId="387" priority="1143" stopIfTrue="1">
      <formula>LEN(TRIM(K26))=0</formula>
    </cfRule>
  </conditionalFormatting>
  <conditionalFormatting sqref="K40"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86" priority="1044" operator="between">
      <formula>10.1</formula>
      <formula>10.6</formula>
    </cfRule>
    <cfRule type="cellIs" dxfId="385" priority="1045" operator="between">
      <formula>7</formula>
      <formula>7.9</formula>
    </cfRule>
    <cfRule type="cellIs" dxfId="384" priority="1046" stopIfTrue="1" operator="between">
      <formula>8</formula>
      <formula>8.9</formula>
    </cfRule>
    <cfRule type="cellIs" dxfId="383" priority="1047" operator="between">
      <formula>9</formula>
      <formula>9.9</formula>
    </cfRule>
    <cfRule type="cellIs" dxfId="382" priority="1048" stopIfTrue="1" operator="between">
      <formula>10</formula>
      <formula>10</formula>
    </cfRule>
    <cfRule type="containsBlanks" dxfId="381" priority="1049" stopIfTrue="1">
      <formula>LEN(TRIM(K41))=0</formula>
    </cfRule>
  </conditionalFormatting>
  <conditionalFormatting sqref="K54"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80" priority="1006" operator="between">
      <formula>10.1</formula>
      <formula>10.6</formula>
    </cfRule>
    <cfRule type="cellIs" dxfId="379" priority="1007" operator="between">
      <formula>7</formula>
      <formula>7.9</formula>
    </cfRule>
    <cfRule type="cellIs" dxfId="378" priority="1008" stopIfTrue="1" operator="between">
      <formula>8</formula>
      <formula>8.9</formula>
    </cfRule>
    <cfRule type="cellIs" dxfId="377" priority="1009" operator="between">
      <formula>9</formula>
      <formula>9.9</formula>
    </cfRule>
    <cfRule type="cellIs" dxfId="376" priority="1010" stopIfTrue="1" operator="between">
      <formula>10</formula>
      <formula>10</formula>
    </cfRule>
    <cfRule type="containsBlanks" dxfId="375" priority="1011" stopIfTrue="1">
      <formula>LEN(TRIM(K55))=0</formula>
    </cfRule>
  </conditionalFormatting>
  <conditionalFormatting sqref="K66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74" priority="979" operator="between">
      <formula>10.1</formula>
      <formula>10.6</formula>
    </cfRule>
    <cfRule type="cellIs" dxfId="373" priority="980" operator="between">
      <formula>7</formula>
      <formula>7.9</formula>
    </cfRule>
    <cfRule type="cellIs" dxfId="372" priority="981" stopIfTrue="1" operator="between">
      <formula>8</formula>
      <formula>8.9</formula>
    </cfRule>
    <cfRule type="cellIs" dxfId="371" priority="982" operator="between">
      <formula>9</formula>
      <formula>9.9</formula>
    </cfRule>
    <cfRule type="cellIs" dxfId="370" priority="983" stopIfTrue="1" operator="between">
      <formula>10</formula>
      <formula>10</formula>
    </cfRule>
    <cfRule type="containsBlanks" dxfId="369" priority="984" stopIfTrue="1">
      <formula>LEN(TRIM(K67))=0</formula>
    </cfRule>
  </conditionalFormatting>
  <conditionalFormatting sqref="K77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68" priority="926" operator="between">
      <formula>10.1</formula>
      <formula>10.6</formula>
    </cfRule>
    <cfRule type="cellIs" dxfId="367" priority="927" operator="between">
      <formula>7</formula>
      <formula>7.9</formula>
    </cfRule>
    <cfRule type="cellIs" dxfId="366" priority="928" stopIfTrue="1" operator="between">
      <formula>8</formula>
      <formula>8.9</formula>
    </cfRule>
    <cfRule type="cellIs" dxfId="365" priority="929" operator="between">
      <formula>9</formula>
      <formula>9.9</formula>
    </cfRule>
    <cfRule type="cellIs" dxfId="364" priority="930" stopIfTrue="1" operator="between">
      <formula>10</formula>
      <formula>10</formula>
    </cfRule>
    <cfRule type="containsBlanks" dxfId="363" priority="931" stopIfTrue="1">
      <formula>LEN(TRIM(K78))=0</formula>
    </cfRule>
  </conditionalFormatting>
  <conditionalFormatting sqref="K90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62" priority="881" operator="between">
      <formula>10.1</formula>
      <formula>10.6</formula>
    </cfRule>
    <cfRule type="cellIs" dxfId="361" priority="882" operator="between">
      <formula>7</formula>
      <formula>7.9</formula>
    </cfRule>
    <cfRule type="cellIs" dxfId="360" priority="883" stopIfTrue="1" operator="between">
      <formula>8</formula>
      <formula>8.9</formula>
    </cfRule>
    <cfRule type="cellIs" dxfId="359" priority="884" operator="between">
      <formula>9</formula>
      <formula>9.9</formula>
    </cfRule>
    <cfRule type="cellIs" dxfId="358" priority="885" stopIfTrue="1" operator="between">
      <formula>10</formula>
      <formula>10</formula>
    </cfRule>
    <cfRule type="containsBlanks" dxfId="357" priority="886" stopIfTrue="1">
      <formula>LEN(TRIM(K91))=0</formula>
    </cfRule>
  </conditionalFormatting>
  <conditionalFormatting sqref="K98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56" priority="847" operator="between">
      <formula>6</formula>
      <formula>6.9</formula>
    </cfRule>
    <cfRule type="cellIs" dxfId="355" priority="848" operator="between">
      <formula>10.1</formula>
      <formula>10.6</formula>
    </cfRule>
    <cfRule type="cellIs" dxfId="354" priority="849" operator="between">
      <formula>7</formula>
      <formula>7.9</formula>
    </cfRule>
    <cfRule type="cellIs" dxfId="353" priority="850" stopIfTrue="1" operator="between">
      <formula>8</formula>
      <formula>8.9</formula>
    </cfRule>
    <cfRule type="cellIs" dxfId="352" priority="851" operator="between">
      <formula>9</formula>
      <formula>9.9</formula>
    </cfRule>
    <cfRule type="cellIs" dxfId="351" priority="852" stopIfTrue="1" operator="between">
      <formula>10</formula>
      <formula>10</formula>
    </cfRule>
    <cfRule type="containsBlanks" dxfId="350" priority="853" stopIfTrue="1">
      <formula>LEN(TRIM(K99))=0</formula>
    </cfRule>
  </conditionalFormatting>
  <conditionalFormatting sqref="K111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49" priority="800" operator="between">
      <formula>10.1</formula>
      <formula>10.6</formula>
    </cfRule>
    <cfRule type="cellIs" dxfId="348" priority="801" operator="between">
      <formula>7</formula>
      <formula>7.9</formula>
    </cfRule>
    <cfRule type="cellIs" dxfId="347" priority="802" stopIfTrue="1" operator="between">
      <formula>8</formula>
      <formula>8.9</formula>
    </cfRule>
    <cfRule type="cellIs" dxfId="346" priority="803" operator="between">
      <formula>9</formula>
      <formula>9.9</formula>
    </cfRule>
    <cfRule type="cellIs" dxfId="345" priority="804" stopIfTrue="1" operator="between">
      <formula>10</formula>
      <formula>10</formula>
    </cfRule>
    <cfRule type="containsBlanks" dxfId="344" priority="805" stopIfTrue="1">
      <formula>LEN(TRIM(K112))=0</formula>
    </cfRule>
  </conditionalFormatting>
  <conditionalFormatting sqref="K114">
    <cfRule type="cellIs" dxfId="343" priority="799" operator="between">
      <formula>6</formula>
      <formula>6.9</formula>
    </cfRule>
  </conditionalFormatting>
  <conditionalFormatting sqref="K124"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42" priority="757" operator="between">
      <formula>10.1</formula>
      <formula>10.6</formula>
    </cfRule>
    <cfRule type="cellIs" dxfId="341" priority="758" operator="between">
      <formula>7</formula>
      <formula>7.9</formula>
    </cfRule>
    <cfRule type="cellIs" dxfId="340" priority="759" stopIfTrue="1" operator="between">
      <formula>8</formula>
      <formula>8.9</formula>
    </cfRule>
    <cfRule type="cellIs" dxfId="339" priority="760" operator="between">
      <formula>9</formula>
      <formula>9.9</formula>
    </cfRule>
    <cfRule type="cellIs" dxfId="338" priority="761" stopIfTrue="1" operator="between">
      <formula>10</formula>
      <formula>10</formula>
    </cfRule>
    <cfRule type="containsBlanks" dxfId="337" priority="762" stopIfTrue="1">
      <formula>LEN(TRIM(K125))=0</formula>
    </cfRule>
  </conditionalFormatting>
  <conditionalFormatting sqref="K125:K134">
    <cfRule type="cellIs" dxfId="336" priority="750" operator="between">
      <formula>6</formula>
      <formula>6.9</formula>
    </cfRule>
    <cfRule type="cellIs" dxfId="335" priority="751" operator="between">
      <formula>10.1</formula>
      <formula>10.6</formula>
    </cfRule>
    <cfRule type="cellIs" dxfId="334" priority="752" operator="between">
      <formula>7</formula>
      <formula>7.9</formula>
    </cfRule>
    <cfRule type="cellIs" dxfId="333" priority="753" stopIfTrue="1" operator="between">
      <formula>8</formula>
      <formula>8.9</formula>
    </cfRule>
    <cfRule type="cellIs" dxfId="332" priority="754" operator="between">
      <formula>9</formula>
      <formula>9.9</formula>
    </cfRule>
    <cfRule type="cellIs" dxfId="331" priority="755" stopIfTrue="1" operator="between">
      <formula>10</formula>
      <formula>10</formula>
    </cfRule>
    <cfRule type="containsBlanks" dxfId="330" priority="756" stopIfTrue="1">
      <formula>LEN(TRIM(K125))=0</formula>
    </cfRule>
  </conditionalFormatting>
  <conditionalFormatting sqref="K136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29" priority="692" operator="between">
      <formula>6</formula>
      <formula>6.9</formula>
    </cfRule>
    <cfRule type="cellIs" dxfId="328" priority="693" operator="between">
      <formula>10.1</formula>
      <formula>10.6</formula>
    </cfRule>
    <cfRule type="cellIs" dxfId="327" priority="694" operator="between">
      <formula>7</formula>
      <formula>7.9</formula>
    </cfRule>
    <cfRule type="cellIs" dxfId="326" priority="695" stopIfTrue="1" operator="between">
      <formula>8</formula>
      <formula>8.9</formula>
    </cfRule>
    <cfRule type="cellIs" dxfId="325" priority="696" operator="between">
      <formula>9</formula>
      <formula>9.9</formula>
    </cfRule>
    <cfRule type="cellIs" dxfId="324" priority="697" stopIfTrue="1" operator="between">
      <formula>10</formula>
      <formula>10</formula>
    </cfRule>
    <cfRule type="containsBlanks" dxfId="323" priority="698" stopIfTrue="1">
      <formula>LEN(TRIM(K137))=0</formula>
    </cfRule>
  </conditionalFormatting>
  <conditionalFormatting sqref="K149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22" priority="629" operator="between">
      <formula>6</formula>
      <formula>6.9</formula>
    </cfRule>
    <cfRule type="cellIs" dxfId="321" priority="630" operator="between">
      <formula>10.1</formula>
      <formula>10.6</formula>
    </cfRule>
    <cfRule type="cellIs" dxfId="320" priority="631" operator="between">
      <formula>7</formula>
      <formula>7.9</formula>
    </cfRule>
    <cfRule type="cellIs" dxfId="319" priority="632" stopIfTrue="1" operator="between">
      <formula>8</formula>
      <formula>8.9</formula>
    </cfRule>
    <cfRule type="cellIs" dxfId="318" priority="633" operator="between">
      <formula>9</formula>
      <formula>9.9</formula>
    </cfRule>
    <cfRule type="cellIs" dxfId="317" priority="634" stopIfTrue="1" operator="between">
      <formula>10</formula>
      <formula>10</formula>
    </cfRule>
    <cfRule type="containsBlanks" dxfId="316" priority="635" stopIfTrue="1">
      <formula>LEN(TRIM(K150))=0</formula>
    </cfRule>
  </conditionalFormatting>
  <conditionalFormatting sqref="K165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15" priority="573" operator="between">
      <formula>6</formula>
      <formula>6.9</formula>
    </cfRule>
    <cfRule type="cellIs" dxfId="314" priority="574" operator="between">
      <formula>10.1</formula>
      <formula>10.6</formula>
    </cfRule>
    <cfRule type="cellIs" dxfId="313" priority="575" operator="between">
      <formula>7</formula>
      <formula>7.9</formula>
    </cfRule>
    <cfRule type="cellIs" dxfId="312" priority="576" stopIfTrue="1" operator="between">
      <formula>8</formula>
      <formula>8.9</formula>
    </cfRule>
    <cfRule type="cellIs" dxfId="311" priority="577" operator="between">
      <formula>9</formula>
      <formula>9.9</formula>
    </cfRule>
    <cfRule type="cellIs" dxfId="310" priority="578" stopIfTrue="1" operator="between">
      <formula>10</formula>
      <formula>10</formula>
    </cfRule>
    <cfRule type="containsBlanks" dxfId="309" priority="579" stopIfTrue="1">
      <formula>LEN(TRIM(K166))=0</formula>
    </cfRule>
  </conditionalFormatting>
  <conditionalFormatting sqref="K175"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08" priority="546" operator="between">
      <formula>6</formula>
      <formula>6.9</formula>
    </cfRule>
    <cfRule type="cellIs" dxfId="307" priority="547" operator="between">
      <formula>10.1</formula>
      <formula>10.6</formula>
    </cfRule>
    <cfRule type="cellIs" dxfId="306" priority="548" operator="between">
      <formula>7</formula>
      <formula>7.9</formula>
    </cfRule>
    <cfRule type="cellIs" dxfId="305" priority="549" stopIfTrue="1" operator="between">
      <formula>8</formula>
      <formula>8.9</formula>
    </cfRule>
    <cfRule type="cellIs" dxfId="304" priority="550" operator="between">
      <formula>9</formula>
      <formula>9.9</formula>
    </cfRule>
    <cfRule type="cellIs" dxfId="303" priority="551" stopIfTrue="1" operator="between">
      <formula>10</formula>
      <formula>10</formula>
    </cfRule>
    <cfRule type="containsBlanks" dxfId="302" priority="552" stopIfTrue="1">
      <formula>LEN(TRIM(K176))=0</formula>
    </cfRule>
  </conditionalFormatting>
  <conditionalFormatting sqref="K182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01" priority="526" operator="between">
      <formula>6</formula>
      <formula>6.9</formula>
    </cfRule>
    <cfRule type="cellIs" dxfId="300" priority="527" operator="between">
      <formula>10.1</formula>
      <formula>10.6</formula>
    </cfRule>
    <cfRule type="cellIs" dxfId="299" priority="528" operator="between">
      <formula>7</formula>
      <formula>7.9</formula>
    </cfRule>
    <cfRule type="cellIs" dxfId="298" priority="529" stopIfTrue="1" operator="between">
      <formula>8</formula>
      <formula>8.9</formula>
    </cfRule>
    <cfRule type="cellIs" dxfId="297" priority="530" operator="between">
      <formula>9</formula>
      <formula>9.9</formula>
    </cfRule>
    <cfRule type="cellIs" dxfId="296" priority="531" stopIfTrue="1" operator="between">
      <formula>10</formula>
      <formula>10</formula>
    </cfRule>
    <cfRule type="containsBlanks" dxfId="295" priority="532" stopIfTrue="1">
      <formula>LEN(TRIM(K183))=0</formula>
    </cfRule>
  </conditionalFormatting>
  <conditionalFormatting sqref="K189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94" priority="486" operator="between">
      <formula>6</formula>
      <formula>6.9</formula>
    </cfRule>
    <cfRule type="cellIs" dxfId="293" priority="487" operator="between">
      <formula>10.1</formula>
      <formula>10.6</formula>
    </cfRule>
    <cfRule type="cellIs" dxfId="292" priority="488" operator="between">
      <formula>7</formula>
      <formula>7.9</formula>
    </cfRule>
    <cfRule type="cellIs" dxfId="291" priority="489" stopIfTrue="1" operator="between">
      <formula>8</formula>
      <formula>8.9</formula>
    </cfRule>
    <cfRule type="cellIs" dxfId="290" priority="490" operator="between">
      <formula>9</formula>
      <formula>9.9</formula>
    </cfRule>
    <cfRule type="cellIs" dxfId="289" priority="491" stopIfTrue="1" operator="between">
      <formula>10</formula>
      <formula>10</formula>
    </cfRule>
    <cfRule type="containsBlanks" dxfId="288" priority="492" stopIfTrue="1">
      <formula>LEN(TRIM(K190))=0</formula>
    </cfRule>
  </conditionalFormatting>
  <conditionalFormatting sqref="K199">
    <cfRule type="colorScale" priority="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87" priority="457" operator="between">
      <formula>6</formula>
      <formula>6.9</formula>
    </cfRule>
    <cfRule type="cellIs" dxfId="286" priority="458" operator="between">
      <formula>10.1</formula>
      <formula>10.6</formula>
    </cfRule>
    <cfRule type="cellIs" dxfId="285" priority="459" operator="between">
      <formula>7</formula>
      <formula>7.9</formula>
    </cfRule>
    <cfRule type="cellIs" dxfId="284" priority="460" stopIfTrue="1" operator="between">
      <formula>8</formula>
      <formula>8.9</formula>
    </cfRule>
    <cfRule type="cellIs" dxfId="283" priority="461" operator="between">
      <formula>9</formula>
      <formula>9.9</formula>
    </cfRule>
    <cfRule type="cellIs" dxfId="282" priority="462" stopIfTrue="1" operator="between">
      <formula>10</formula>
      <formula>10</formula>
    </cfRule>
    <cfRule type="containsBlanks" dxfId="281" priority="463" stopIfTrue="1">
      <formula>LEN(TRIM(K200))=0</formula>
    </cfRule>
  </conditionalFormatting>
  <conditionalFormatting sqref="K208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80" priority="427" operator="between">
      <formula>6</formula>
      <formula>6.9</formula>
    </cfRule>
    <cfRule type="cellIs" dxfId="279" priority="428" operator="between">
      <formula>10.1</formula>
      <formula>11</formula>
    </cfRule>
    <cfRule type="cellIs" dxfId="278" priority="429" operator="between">
      <formula>7</formula>
      <formula>7.9</formula>
    </cfRule>
    <cfRule type="cellIs" dxfId="277" priority="430" stopIfTrue="1" operator="between">
      <formula>8</formula>
      <formula>8.9</formula>
    </cfRule>
    <cfRule type="cellIs" dxfId="276" priority="431" operator="between">
      <formula>9</formula>
      <formula>9.9</formula>
    </cfRule>
    <cfRule type="cellIs" dxfId="275" priority="432" stopIfTrue="1" operator="between">
      <formula>10</formula>
      <formula>10</formula>
    </cfRule>
    <cfRule type="containsBlanks" dxfId="274" priority="433" stopIfTrue="1">
      <formula>LEN(TRIM(K209))=0</formula>
    </cfRule>
  </conditionalFormatting>
  <conditionalFormatting sqref="K219"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73" priority="374" operator="between">
      <formula>6</formula>
      <formula>6.9</formula>
    </cfRule>
    <cfRule type="cellIs" dxfId="272" priority="375" operator="between">
      <formula>10.1</formula>
      <formula>10.6</formula>
    </cfRule>
    <cfRule type="cellIs" dxfId="271" priority="376" operator="between">
      <formula>7</formula>
      <formula>7.9</formula>
    </cfRule>
    <cfRule type="cellIs" dxfId="270" priority="377" stopIfTrue="1" operator="between">
      <formula>8</formula>
      <formula>8.9</formula>
    </cfRule>
    <cfRule type="cellIs" dxfId="269" priority="378" operator="between">
      <formula>9</formula>
      <formula>9.9</formula>
    </cfRule>
    <cfRule type="cellIs" dxfId="268" priority="379" stopIfTrue="1" operator="between">
      <formula>10</formula>
      <formula>10</formula>
    </cfRule>
    <cfRule type="containsBlanks" dxfId="267" priority="380" stopIfTrue="1">
      <formula>LEN(TRIM(K220))=0</formula>
    </cfRule>
  </conditionalFormatting>
  <conditionalFormatting sqref="K237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66" priority="311" operator="between">
      <formula>6</formula>
      <formula>6.9</formula>
    </cfRule>
    <cfRule type="cellIs" dxfId="265" priority="312" operator="between">
      <formula>10.1</formula>
      <formula>10.6</formula>
    </cfRule>
    <cfRule type="cellIs" dxfId="264" priority="313" operator="between">
      <formula>7</formula>
      <formula>7.9</formula>
    </cfRule>
    <cfRule type="cellIs" dxfId="263" priority="314" stopIfTrue="1" operator="between">
      <formula>8</formula>
      <formula>8.9</formula>
    </cfRule>
    <cfRule type="cellIs" dxfId="262" priority="315" operator="between">
      <formula>9</formula>
      <formula>9.9</formula>
    </cfRule>
    <cfRule type="cellIs" dxfId="261" priority="316" stopIfTrue="1" operator="between">
      <formula>10</formula>
      <formula>10</formula>
    </cfRule>
    <cfRule type="containsBlanks" dxfId="260" priority="317" stopIfTrue="1">
      <formula>LEN(TRIM(K238))=0</formula>
    </cfRule>
  </conditionalFormatting>
  <conditionalFormatting sqref="K252">
    <cfRule type="colorScale" priority="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59" priority="266" operator="between">
      <formula>6</formula>
      <formula>6.9</formula>
    </cfRule>
    <cfRule type="cellIs" dxfId="258" priority="267" operator="between">
      <formula>10.1</formula>
      <formula>10.6</formula>
    </cfRule>
    <cfRule type="cellIs" dxfId="257" priority="268" operator="between">
      <formula>7</formula>
      <formula>7.9</formula>
    </cfRule>
    <cfRule type="cellIs" dxfId="256" priority="269" stopIfTrue="1" operator="between">
      <formula>8</formula>
      <formula>8.9</formula>
    </cfRule>
    <cfRule type="cellIs" dxfId="255" priority="270" operator="between">
      <formula>9</formula>
      <formula>9.9</formula>
    </cfRule>
    <cfRule type="cellIs" dxfId="254" priority="271" stopIfTrue="1" operator="between">
      <formula>10</formula>
      <formula>10</formula>
    </cfRule>
    <cfRule type="containsBlanks" dxfId="253" priority="272" stopIfTrue="1">
      <formula>LEN(TRIM(K253))=0</formula>
    </cfRule>
  </conditionalFormatting>
  <conditionalFormatting sqref="K264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52" priority="237" operator="between">
      <formula>6</formula>
      <formula>6.9</formula>
    </cfRule>
    <cfRule type="cellIs" dxfId="251" priority="238" operator="between">
      <formula>10.1</formula>
      <formula>10.6</formula>
    </cfRule>
    <cfRule type="cellIs" dxfId="250" priority="239" operator="between">
      <formula>7</formula>
      <formula>7.9</formula>
    </cfRule>
    <cfRule type="cellIs" dxfId="249" priority="240" stopIfTrue="1" operator="between">
      <formula>8</formula>
      <formula>8.9</formula>
    </cfRule>
    <cfRule type="cellIs" dxfId="248" priority="241" operator="between">
      <formula>9</formula>
      <formula>9.9</formula>
    </cfRule>
    <cfRule type="cellIs" dxfId="247" priority="242" stopIfTrue="1" operator="between">
      <formula>10</formula>
      <formula>10</formula>
    </cfRule>
    <cfRule type="containsBlanks" dxfId="246" priority="243" stopIfTrue="1">
      <formula>LEN(TRIM(K265))=0</formula>
    </cfRule>
  </conditionalFormatting>
  <conditionalFormatting sqref="K276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45" priority="184" operator="between">
      <formula>6</formula>
      <formula>6.9</formula>
    </cfRule>
    <cfRule type="cellIs" dxfId="244" priority="185" operator="between">
      <formula>10.1</formula>
      <formula>10.6</formula>
    </cfRule>
    <cfRule type="cellIs" dxfId="243" priority="186" operator="between">
      <formula>7</formula>
      <formula>7.9</formula>
    </cfRule>
    <cfRule type="cellIs" dxfId="242" priority="187" stopIfTrue="1" operator="between">
      <formula>8</formula>
      <formula>8.9</formula>
    </cfRule>
    <cfRule type="cellIs" dxfId="241" priority="188" operator="between">
      <formula>9</formula>
      <formula>9.9</formula>
    </cfRule>
    <cfRule type="cellIs" dxfId="240" priority="189" stopIfTrue="1" operator="between">
      <formula>10</formula>
      <formula>10</formula>
    </cfRule>
    <cfRule type="containsBlanks" dxfId="239" priority="190" stopIfTrue="1">
      <formula>LEN(TRIM(K277))=0</formula>
    </cfRule>
  </conditionalFormatting>
  <conditionalFormatting sqref="K286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38" priority="136" operator="between">
      <formula>6</formula>
      <formula>6.9</formula>
    </cfRule>
    <cfRule type="cellIs" dxfId="237" priority="137" operator="between">
      <formula>10.1</formula>
      <formula>10.6</formula>
    </cfRule>
    <cfRule type="cellIs" dxfId="236" priority="138" operator="between">
      <formula>7</formula>
      <formula>7.9</formula>
    </cfRule>
    <cfRule type="cellIs" dxfId="235" priority="139" stopIfTrue="1" operator="between">
      <formula>8</formula>
      <formula>8.9</formula>
    </cfRule>
    <cfRule type="cellIs" dxfId="234" priority="140" operator="between">
      <formula>9</formula>
      <formula>9.9</formula>
    </cfRule>
    <cfRule type="cellIs" dxfId="233" priority="141" stopIfTrue="1" operator="between">
      <formula>10</formula>
      <formula>10</formula>
    </cfRule>
    <cfRule type="containsBlanks" dxfId="232" priority="142" stopIfTrue="1">
      <formula>LEN(TRIM(K287))=0</formula>
    </cfRule>
  </conditionalFormatting>
  <conditionalFormatting sqref="K296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31" priority="96" stopIfTrue="1">
      <formula>LEN(TRIM(K297))=0</formula>
    </cfRule>
    <cfRule type="cellIs" dxfId="230" priority="97" operator="lessThan">
      <formula>2</formula>
    </cfRule>
    <cfRule type="cellIs" dxfId="229" priority="98" operator="between">
      <formula>2</formula>
      <formula>4.9</formula>
    </cfRule>
    <cfRule type="cellIs" dxfId="228" priority="99" operator="between">
      <formula>5</formula>
      <formula>6.9</formula>
    </cfRule>
    <cfRule type="cellIs" dxfId="227" priority="100" operator="between">
      <formula>10.1</formula>
      <formula>10.6</formula>
    </cfRule>
    <cfRule type="cellIs" dxfId="226" priority="101" operator="between">
      <formula>7</formula>
      <formula>7.9</formula>
    </cfRule>
    <cfRule type="cellIs" dxfId="225" priority="102" stopIfTrue="1" operator="between">
      <formula>8</formula>
      <formula>8.9</formula>
    </cfRule>
    <cfRule type="cellIs" dxfId="224" priority="103" operator="between">
      <formula>9</formula>
      <formula>9.9</formula>
    </cfRule>
    <cfRule type="cellIs" dxfId="223" priority="104" stopIfTrue="1" operator="between">
      <formula>10</formula>
      <formula>10</formula>
    </cfRule>
  </conditionalFormatting>
  <conditionalFormatting sqref="K304">
    <cfRule type="colorScale" priority="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22" priority="65" stopIfTrue="1">
      <formula>LEN(TRIM(K305))=0</formula>
    </cfRule>
    <cfRule type="cellIs" dxfId="221" priority="66" operator="lessThan">
      <formula>2</formula>
    </cfRule>
    <cfRule type="cellIs" dxfId="220" priority="67" operator="between">
      <formula>2</formula>
      <formula>4.9</formula>
    </cfRule>
    <cfRule type="cellIs" dxfId="219" priority="68" operator="between">
      <formula>5</formula>
      <formula>6.9</formula>
    </cfRule>
    <cfRule type="cellIs" dxfId="218" priority="69" operator="between">
      <formula>10.1</formula>
      <formula>10.6</formula>
    </cfRule>
    <cfRule type="cellIs" dxfId="217" priority="70" operator="between">
      <formula>7</formula>
      <formula>7.9</formula>
    </cfRule>
    <cfRule type="cellIs" dxfId="216" priority="71" stopIfTrue="1" operator="between">
      <formula>8</formula>
      <formula>8.9</formula>
    </cfRule>
    <cfRule type="cellIs" dxfId="215" priority="72" operator="between">
      <formula>9</formula>
      <formula>9.9</formula>
    </cfRule>
    <cfRule type="cellIs" dxfId="214" priority="73" stopIfTrue="1" operator="between">
      <formula>10</formula>
      <formula>10</formula>
    </cfRule>
  </conditionalFormatting>
  <conditionalFormatting sqref="M28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13" priority="1098" operator="between">
      <formula>10.1</formula>
      <formula>10.6</formula>
    </cfRule>
    <cfRule type="cellIs" dxfId="212" priority="1099" operator="between">
      <formula>7</formula>
      <formula>7.9</formula>
    </cfRule>
    <cfRule type="cellIs" dxfId="211" priority="1100" stopIfTrue="1" operator="between">
      <formula>8</formula>
      <formula>8.9</formula>
    </cfRule>
    <cfRule type="cellIs" dxfId="210" priority="1101" operator="between">
      <formula>9</formula>
      <formula>9.9</formula>
    </cfRule>
    <cfRule type="cellIs" dxfId="209" priority="1102" stopIfTrue="1" operator="between">
      <formula>10</formula>
      <formula>10</formula>
    </cfRule>
    <cfRule type="containsBlanks" dxfId="208" priority="1103" stopIfTrue="1">
      <formula>LEN(TRIM(N3))=0</formula>
    </cfRule>
  </conditionalFormatting>
  <conditionalFormatting sqref="N15:N26">
    <cfRule type="cellIs" dxfId="207" priority="1230" operator="between">
      <formula>7</formula>
      <formula>7.9</formula>
    </cfRule>
    <cfRule type="cellIs" dxfId="206" priority="1231" stopIfTrue="1" operator="between">
      <formula>8</formula>
      <formula>8.9</formula>
    </cfRule>
    <cfRule type="cellIs" dxfId="205" priority="1232" operator="between">
      <formula>9</formula>
      <formula>9.9</formula>
    </cfRule>
    <cfRule type="cellIs" dxfId="204" priority="1233" stopIfTrue="1" operator="between">
      <formula>10</formula>
      <formula>10</formula>
    </cfRule>
  </conditionalFormatting>
  <conditionalFormatting sqref="N28">
    <cfRule type="colorScale" priority="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03" priority="1234" operator="between">
      <formula>7</formula>
      <formula>7.9</formula>
    </cfRule>
    <cfRule type="cellIs" dxfId="202" priority="1235" stopIfTrue="1" operator="between">
      <formula>8</formula>
      <formula>8.9</formula>
    </cfRule>
    <cfRule type="cellIs" dxfId="201" priority="1236" operator="between">
      <formula>9</formula>
      <formula>9.9</formula>
    </cfRule>
    <cfRule type="cellIs" dxfId="200" priority="1237" stopIfTrue="1" operator="between">
      <formula>10</formula>
      <formula>10</formula>
    </cfRule>
  </conditionalFormatting>
  <conditionalFormatting sqref="N39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99" priority="1038" operator="between">
      <formula>10.1</formula>
      <formula>10.6</formula>
    </cfRule>
    <cfRule type="cellIs" dxfId="198" priority="1039" operator="between">
      <formula>7</formula>
      <formula>7.9</formula>
    </cfRule>
    <cfRule type="cellIs" dxfId="197" priority="1040" stopIfTrue="1" operator="between">
      <formula>8</formula>
      <formula>8.9</formula>
    </cfRule>
    <cfRule type="cellIs" dxfId="196" priority="1041" operator="between">
      <formula>9</formula>
      <formula>9.9</formula>
    </cfRule>
    <cfRule type="cellIs" dxfId="195" priority="1042" stopIfTrue="1" operator="between">
      <formula>10</formula>
      <formula>10</formula>
    </cfRule>
    <cfRule type="containsBlanks" dxfId="194" priority="1043" stopIfTrue="1">
      <formula>LEN(TRIM(N40))=0</formula>
    </cfRule>
  </conditionalFormatting>
  <conditionalFormatting sqref="N54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93" priority="1020" operator="between">
      <formula>10.1</formula>
      <formula>10.6</formula>
    </cfRule>
    <cfRule type="cellIs" dxfId="192" priority="1021" operator="between">
      <formula>7</formula>
      <formula>7.9</formula>
    </cfRule>
    <cfRule type="cellIs" dxfId="191" priority="1022" stopIfTrue="1" operator="between">
      <formula>8</formula>
      <formula>8.9</formula>
    </cfRule>
    <cfRule type="cellIs" dxfId="190" priority="1023" operator="between">
      <formula>9</formula>
      <formula>9.9</formula>
    </cfRule>
    <cfRule type="cellIs" dxfId="189" priority="1024" stopIfTrue="1" operator="between">
      <formula>10</formula>
      <formula>10</formula>
    </cfRule>
    <cfRule type="containsBlanks" dxfId="188" priority="1025" stopIfTrue="1">
      <formula>LEN(TRIM(N55))=0</formula>
    </cfRule>
  </conditionalFormatting>
  <conditionalFormatting sqref="N67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87" priority="971" operator="between">
      <formula>10.1</formula>
      <formula>10.6</formula>
    </cfRule>
    <cfRule type="cellIs" dxfId="186" priority="972" operator="between">
      <formula>7</formula>
      <formula>7.9</formula>
    </cfRule>
    <cfRule type="cellIs" dxfId="185" priority="973" stopIfTrue="1" operator="between">
      <formula>8</formula>
      <formula>8.9</formula>
    </cfRule>
    <cfRule type="cellIs" dxfId="184" priority="974" operator="between">
      <formula>9</formula>
      <formula>9.9</formula>
    </cfRule>
    <cfRule type="cellIs" dxfId="183" priority="975" stopIfTrue="1" operator="between">
      <formula>10</formula>
      <formula>10</formula>
    </cfRule>
    <cfRule type="containsBlanks" dxfId="182" priority="976" stopIfTrue="1">
      <formula>LEN(TRIM(N68))=0</formula>
    </cfRule>
  </conditionalFormatting>
  <conditionalFormatting sqref="N79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81" priority="902" operator="between">
      <formula>10.1</formula>
      <formula>10.6</formula>
    </cfRule>
    <cfRule type="cellIs" dxfId="180" priority="903" operator="between">
      <formula>7</formula>
      <formula>7.9</formula>
    </cfRule>
    <cfRule type="cellIs" dxfId="179" priority="904" stopIfTrue="1" operator="between">
      <formula>8</formula>
      <formula>8.9</formula>
    </cfRule>
    <cfRule type="cellIs" dxfId="178" priority="905" operator="between">
      <formula>9</formula>
      <formula>9.9</formula>
    </cfRule>
    <cfRule type="cellIs" dxfId="177" priority="906" stopIfTrue="1" operator="between">
      <formula>10</formula>
      <formula>10</formula>
    </cfRule>
    <cfRule type="containsBlanks" dxfId="176" priority="907" stopIfTrue="1">
      <formula>LEN(TRIM(N80))=0</formula>
    </cfRule>
  </conditionalFormatting>
  <conditionalFormatting sqref="N93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75" priority="865" operator="between">
      <formula>10.1</formula>
      <formula>10.6</formula>
    </cfRule>
    <cfRule type="cellIs" dxfId="174" priority="866" operator="between">
      <formula>7</formula>
      <formula>7.9</formula>
    </cfRule>
    <cfRule type="cellIs" dxfId="173" priority="867" stopIfTrue="1" operator="between">
      <formula>8</formula>
      <formula>8.9</formula>
    </cfRule>
    <cfRule type="cellIs" dxfId="172" priority="868" operator="between">
      <formula>9</formula>
      <formula>9.9</formula>
    </cfRule>
    <cfRule type="cellIs" dxfId="171" priority="869" stopIfTrue="1" operator="between">
      <formula>10</formula>
      <formula>10</formula>
    </cfRule>
    <cfRule type="containsBlanks" dxfId="170" priority="870" stopIfTrue="1">
      <formula>LEN(TRIM(N94))=0</formula>
    </cfRule>
  </conditionalFormatting>
  <conditionalFormatting sqref="N112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9" priority="791" operator="between">
      <formula>10.1</formula>
      <formula>10.6</formula>
    </cfRule>
    <cfRule type="cellIs" dxfId="168" priority="792" operator="between">
      <formula>7</formula>
      <formula>7.9</formula>
    </cfRule>
    <cfRule type="cellIs" dxfId="167" priority="793" stopIfTrue="1" operator="between">
      <formula>8</formula>
      <formula>8.9</formula>
    </cfRule>
    <cfRule type="cellIs" dxfId="166" priority="794" operator="between">
      <formula>9</formula>
      <formula>9.9</formula>
    </cfRule>
    <cfRule type="cellIs" dxfId="165" priority="795" stopIfTrue="1" operator="between">
      <formula>10</formula>
      <formula>10</formula>
    </cfRule>
    <cfRule type="containsBlanks" dxfId="164" priority="796" stopIfTrue="1">
      <formula>LEN(TRIM(N113))=0</formula>
    </cfRule>
  </conditionalFormatting>
  <conditionalFormatting sqref="N127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63" priority="717" operator="between">
      <formula>6</formula>
      <formula>6.9</formula>
    </cfRule>
    <cfRule type="cellIs" dxfId="162" priority="718" operator="between">
      <formula>10.1</formula>
      <formula>10.6</formula>
    </cfRule>
    <cfRule type="cellIs" dxfId="161" priority="719" operator="between">
      <formula>7</formula>
      <formula>7.9</formula>
    </cfRule>
    <cfRule type="cellIs" dxfId="160" priority="720" stopIfTrue="1" operator="between">
      <formula>8</formula>
      <formula>8.9</formula>
    </cfRule>
    <cfRule type="cellIs" dxfId="159" priority="721" operator="between">
      <formula>9</formula>
      <formula>9.9</formula>
    </cfRule>
    <cfRule type="cellIs" dxfId="158" priority="722" stopIfTrue="1" operator="between">
      <formula>10</formula>
      <formula>10</formula>
    </cfRule>
    <cfRule type="containsBlanks" dxfId="157" priority="723" stopIfTrue="1">
      <formula>LEN(TRIM(N128))=0</formula>
    </cfRule>
    <cfRule type="cellIs" dxfId="156" priority="724" operator="between">
      <formula>10.1</formula>
      <formula>10.6</formula>
    </cfRule>
    <cfRule type="cellIs" dxfId="155" priority="725" operator="between">
      <formula>7</formula>
      <formula>7.9</formula>
    </cfRule>
    <cfRule type="cellIs" dxfId="154" priority="726" stopIfTrue="1" operator="between">
      <formula>8</formula>
      <formula>8.9</formula>
    </cfRule>
    <cfRule type="cellIs" dxfId="153" priority="727" operator="between">
      <formula>9</formula>
      <formula>9.9</formula>
    </cfRule>
    <cfRule type="cellIs" dxfId="152" priority="728" stopIfTrue="1" operator="between">
      <formula>10</formula>
      <formula>10</formula>
    </cfRule>
    <cfRule type="containsBlanks" dxfId="151" priority="729" stopIfTrue="1">
      <formula>LEN(TRIM(N128))=0</formula>
    </cfRule>
  </conditionalFormatting>
  <conditionalFormatting sqref="N137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50" priority="681" operator="between">
      <formula>6</formula>
      <formula>6.9</formula>
    </cfRule>
    <cfRule type="cellIs" dxfId="149" priority="682" operator="between">
      <formula>10.1</formula>
      <formula>10.6</formula>
    </cfRule>
    <cfRule type="cellIs" dxfId="148" priority="683" operator="between">
      <formula>7</formula>
      <formula>7.9</formula>
    </cfRule>
    <cfRule type="cellIs" dxfId="147" priority="684" stopIfTrue="1" operator="between">
      <formula>8</formula>
      <formula>8.9</formula>
    </cfRule>
    <cfRule type="cellIs" dxfId="146" priority="685" operator="between">
      <formula>9</formula>
      <formula>9.9</formula>
    </cfRule>
    <cfRule type="cellIs" dxfId="145" priority="686" stopIfTrue="1" operator="between">
      <formula>10</formula>
      <formula>10</formula>
    </cfRule>
    <cfRule type="containsBlanks" dxfId="144" priority="687" stopIfTrue="1">
      <formula>LEN(TRIM(N138))=0</formula>
    </cfRule>
  </conditionalFormatting>
  <conditionalFormatting sqref="N144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3" priority="672" operator="between">
      <formula>6</formula>
      <formula>6.9</formula>
    </cfRule>
    <cfRule type="cellIs" dxfId="142" priority="673" operator="between">
      <formula>10.1</formula>
      <formula>10.6</formula>
    </cfRule>
    <cfRule type="cellIs" dxfId="141" priority="674" operator="between">
      <formula>7</formula>
      <formula>7.9</formula>
    </cfRule>
    <cfRule type="cellIs" dxfId="140" priority="675" stopIfTrue="1" operator="between">
      <formula>8</formula>
      <formula>8.9</formula>
    </cfRule>
    <cfRule type="cellIs" dxfId="139" priority="676" operator="between">
      <formula>9</formula>
      <formula>9.9</formula>
    </cfRule>
    <cfRule type="cellIs" dxfId="138" priority="677" stopIfTrue="1" operator="between">
      <formula>10</formula>
      <formula>10</formula>
    </cfRule>
    <cfRule type="containsBlanks" dxfId="137" priority="678" stopIfTrue="1">
      <formula>LEN(TRIM(N145))=0</formula>
    </cfRule>
  </conditionalFormatting>
  <conditionalFormatting sqref="N152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36" priority="618" operator="between">
      <formula>6</formula>
      <formula>6.9</formula>
    </cfRule>
    <cfRule type="cellIs" dxfId="135" priority="619" operator="between">
      <formula>10.1</formula>
      <formula>10.6</formula>
    </cfRule>
    <cfRule type="cellIs" dxfId="134" priority="620" operator="between">
      <formula>7</formula>
      <formula>7.9</formula>
    </cfRule>
    <cfRule type="cellIs" dxfId="133" priority="621" stopIfTrue="1" operator="between">
      <formula>8</formula>
      <formula>8.9</formula>
    </cfRule>
    <cfRule type="cellIs" dxfId="132" priority="622" operator="between">
      <formula>9</formula>
      <formula>9.9</formula>
    </cfRule>
    <cfRule type="cellIs" dxfId="131" priority="623" stopIfTrue="1" operator="between">
      <formula>10</formula>
      <formula>10</formula>
    </cfRule>
    <cfRule type="containsBlanks" dxfId="130" priority="624" stopIfTrue="1">
      <formula>LEN(TRIM(N153))=0</formula>
    </cfRule>
  </conditionalFormatting>
  <conditionalFormatting sqref="N161"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9" priority="602" operator="between">
      <formula>6</formula>
      <formula>6.9</formula>
    </cfRule>
    <cfRule type="cellIs" dxfId="128" priority="603" operator="between">
      <formula>10.1</formula>
      <formula>10.6</formula>
    </cfRule>
    <cfRule type="cellIs" dxfId="127" priority="604" operator="between">
      <formula>7</formula>
      <formula>7.9</formula>
    </cfRule>
    <cfRule type="cellIs" dxfId="126" priority="605" stopIfTrue="1" operator="between">
      <formula>8</formula>
      <formula>8.9</formula>
    </cfRule>
    <cfRule type="cellIs" dxfId="125" priority="606" operator="between">
      <formula>9</formula>
      <formula>9.9</formula>
    </cfRule>
    <cfRule type="cellIs" dxfId="124" priority="607" stopIfTrue="1" operator="between">
      <formula>10</formula>
      <formula>10</formula>
    </cfRule>
    <cfRule type="containsBlanks" dxfId="123" priority="608" stopIfTrue="1">
      <formula>LEN(TRIM(N162))=0</formula>
    </cfRule>
  </conditionalFormatting>
  <conditionalFormatting sqref="N182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22" priority="493" operator="between">
      <formula>6</formula>
      <formula>6.9</formula>
    </cfRule>
    <cfRule type="cellIs" dxfId="121" priority="494" operator="between">
      <formula>10.1</formula>
      <formula>10.6</formula>
    </cfRule>
    <cfRule type="cellIs" dxfId="120" priority="495" operator="between">
      <formula>7</formula>
      <formula>7.9</formula>
    </cfRule>
    <cfRule type="cellIs" dxfId="119" priority="496" stopIfTrue="1" operator="between">
      <formula>8</formula>
      <formula>8.9</formula>
    </cfRule>
    <cfRule type="cellIs" dxfId="118" priority="497" operator="between">
      <formula>9</formula>
      <formula>9.9</formula>
    </cfRule>
    <cfRule type="cellIs" dxfId="117" priority="498" stopIfTrue="1" operator="between">
      <formula>10</formula>
      <formula>10</formula>
    </cfRule>
    <cfRule type="containsBlanks" dxfId="116" priority="499" stopIfTrue="1">
      <formula>LEN(TRIM(N186))=0</formula>
    </cfRule>
  </conditionalFormatting>
  <conditionalFormatting sqref="N211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15" priority="410" operator="between">
      <formula>6</formula>
      <formula>6.9</formula>
    </cfRule>
    <cfRule type="cellIs" dxfId="114" priority="411" operator="between">
      <formula>10.1</formula>
      <formula>11</formula>
    </cfRule>
    <cfRule type="cellIs" dxfId="113" priority="412" operator="between">
      <formula>7</formula>
      <formula>7.9</formula>
    </cfRule>
    <cfRule type="cellIs" dxfId="112" priority="413" stopIfTrue="1" operator="between">
      <formula>8</formula>
      <formula>8.9</formula>
    </cfRule>
    <cfRule type="cellIs" dxfId="111" priority="414" operator="between">
      <formula>9</formula>
      <formula>9.9</formula>
    </cfRule>
    <cfRule type="cellIs" dxfId="110" priority="415" stopIfTrue="1" operator="between">
      <formula>10</formula>
      <formula>10</formula>
    </cfRule>
    <cfRule type="containsBlanks" dxfId="109" priority="416" stopIfTrue="1">
      <formula>LEN(TRIM(N212))=0</formula>
    </cfRule>
  </conditionalFormatting>
  <conditionalFormatting sqref="N228">
    <cfRule type="colorScale" priority="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08" priority="356" operator="between">
      <formula>6</formula>
      <formula>6.9</formula>
    </cfRule>
    <cfRule type="cellIs" dxfId="107" priority="357" operator="between">
      <formula>10.1</formula>
      <formula>11</formula>
    </cfRule>
    <cfRule type="cellIs" dxfId="106" priority="358" operator="between">
      <formula>7</formula>
      <formula>7.9</formula>
    </cfRule>
    <cfRule type="cellIs" dxfId="105" priority="359" stopIfTrue="1" operator="between">
      <formula>8</formula>
      <formula>8.9</formula>
    </cfRule>
    <cfRule type="cellIs" dxfId="104" priority="360" operator="between">
      <formula>9</formula>
      <formula>9.9</formula>
    </cfRule>
    <cfRule type="cellIs" dxfId="103" priority="361" stopIfTrue="1" operator="between">
      <formula>10</formula>
      <formula>10</formula>
    </cfRule>
    <cfRule type="containsBlanks" dxfId="102" priority="362" stopIfTrue="1">
      <formula>LEN(TRIM(N229))=0</formula>
    </cfRule>
  </conditionalFormatting>
  <conditionalFormatting sqref="N240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01" priority="302" operator="between">
      <formula>6</formula>
      <formula>6.9</formula>
    </cfRule>
    <cfRule type="cellIs" dxfId="100" priority="303" operator="between">
      <formula>10.1</formula>
      <formula>10.6</formula>
    </cfRule>
    <cfRule type="cellIs" dxfId="99" priority="304" operator="between">
      <formula>7</formula>
      <formula>7.9</formula>
    </cfRule>
    <cfRule type="cellIs" dxfId="98" priority="305" stopIfTrue="1" operator="between">
      <formula>8</formula>
      <formula>8.9</formula>
    </cfRule>
    <cfRule type="cellIs" dxfId="97" priority="306" operator="between">
      <formula>9</formula>
      <formula>9.9</formula>
    </cfRule>
    <cfRule type="cellIs" dxfId="96" priority="307" stopIfTrue="1" operator="between">
      <formula>10</formula>
      <formula>10</formula>
    </cfRule>
    <cfRule type="containsBlanks" dxfId="95" priority="308" stopIfTrue="1">
      <formula>LEN(TRIM(N241))=0</formula>
    </cfRule>
  </conditionalFormatting>
  <conditionalFormatting sqref="N249">
    <cfRule type="colorScale" priority="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94" priority="275" operator="between">
      <formula>6</formula>
      <formula>6.9</formula>
    </cfRule>
    <cfRule type="cellIs" dxfId="93" priority="276" operator="between">
      <formula>10.1</formula>
      <formula>10.6</formula>
    </cfRule>
    <cfRule type="cellIs" dxfId="92" priority="277" operator="between">
      <formula>7</formula>
      <formula>7.9</formula>
    </cfRule>
    <cfRule type="cellIs" dxfId="91" priority="278" stopIfTrue="1" operator="between">
      <formula>8</formula>
      <formula>8.9</formula>
    </cfRule>
    <cfRule type="cellIs" dxfId="90" priority="279" operator="between">
      <formula>9</formula>
      <formula>9.9</formula>
    </cfRule>
    <cfRule type="cellIs" dxfId="89" priority="280" stopIfTrue="1" operator="between">
      <formula>10</formula>
      <formula>10</formula>
    </cfRule>
    <cfRule type="containsBlanks" dxfId="88" priority="281" stopIfTrue="1">
      <formula>LEN(TRIM(N250))=0</formula>
    </cfRule>
  </conditionalFormatting>
  <conditionalFormatting sqref="N277">
    <cfRule type="colorScale" priority="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87" priority="165" operator="between">
      <formula>6</formula>
      <formula>6.9</formula>
    </cfRule>
    <cfRule type="cellIs" dxfId="86" priority="166" operator="between">
      <formula>10.1</formula>
      <formula>10.6</formula>
    </cfRule>
    <cfRule type="cellIs" dxfId="85" priority="167" operator="between">
      <formula>7</formula>
      <formula>7.9</formula>
    </cfRule>
    <cfRule type="cellIs" dxfId="84" priority="168" stopIfTrue="1" operator="between">
      <formula>8</formula>
      <formula>8.9</formula>
    </cfRule>
    <cfRule type="cellIs" dxfId="83" priority="169" operator="between">
      <formula>9</formula>
      <formula>9.9</formula>
    </cfRule>
    <cfRule type="cellIs" dxfId="82" priority="170" stopIfTrue="1" operator="between">
      <formula>10</formula>
      <formula>10</formula>
    </cfRule>
    <cfRule type="containsBlanks" dxfId="81" priority="171" stopIfTrue="1">
      <formula>LEN(TRIM(N278))=0</formula>
    </cfRule>
  </conditionalFormatting>
  <conditionalFormatting sqref="N284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80" priority="147" operator="between">
      <formula>6</formula>
      <formula>6.9</formula>
    </cfRule>
    <cfRule type="cellIs" dxfId="79" priority="148" operator="between">
      <formula>10.1</formula>
      <formula>10.6</formula>
    </cfRule>
    <cfRule type="cellIs" dxfId="78" priority="149" operator="between">
      <formula>7</formula>
      <formula>7.9</formula>
    </cfRule>
    <cfRule type="cellIs" dxfId="77" priority="150" stopIfTrue="1" operator="between">
      <formula>8</formula>
      <formula>8.9</formula>
    </cfRule>
    <cfRule type="cellIs" dxfId="76" priority="151" operator="between">
      <formula>9</formula>
      <formula>9.9</formula>
    </cfRule>
    <cfRule type="cellIs" dxfId="75" priority="152" stopIfTrue="1" operator="between">
      <formula>10</formula>
      <formula>10</formula>
    </cfRule>
    <cfRule type="containsBlanks" dxfId="74" priority="153" stopIfTrue="1">
      <formula>LEN(TRIM(N285))=0</formula>
    </cfRule>
  </conditionalFormatting>
  <conditionalFormatting sqref="N297">
    <cfRule type="colorScale" priority="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73" priority="85" stopIfTrue="1">
      <formula>LEN(TRIM(N298))=0</formula>
    </cfRule>
    <cfRule type="cellIs" dxfId="72" priority="86" operator="lessThan">
      <formula>2</formula>
    </cfRule>
    <cfRule type="cellIs" dxfId="71" priority="87" operator="between">
      <formula>2</formula>
      <formula>4.9</formula>
    </cfRule>
    <cfRule type="cellIs" dxfId="70" priority="88" operator="between">
      <formula>5</formula>
      <formula>6.9</formula>
    </cfRule>
    <cfRule type="cellIs" dxfId="69" priority="89" operator="between">
      <formula>10.1</formula>
      <formula>10.6</formula>
    </cfRule>
    <cfRule type="cellIs" dxfId="68" priority="90" operator="between">
      <formula>7</formula>
      <formula>7.9</formula>
    </cfRule>
    <cfRule type="cellIs" dxfId="67" priority="91" stopIfTrue="1" operator="between">
      <formula>8</formula>
      <formula>8.9</formula>
    </cfRule>
    <cfRule type="cellIs" dxfId="66" priority="92" operator="between">
      <formula>9</formula>
      <formula>9.9</formula>
    </cfRule>
    <cfRule type="cellIs" dxfId="65" priority="93" stopIfTrue="1" operator="between">
      <formula>10</formula>
      <formula>10</formula>
    </cfRule>
  </conditionalFormatting>
  <conditionalFormatting sqref="N306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64" priority="54" stopIfTrue="1">
      <formula>LEN(TRIM(N307))=0</formula>
    </cfRule>
    <cfRule type="cellIs" dxfId="63" priority="55" operator="lessThan">
      <formula>2</formula>
    </cfRule>
    <cfRule type="cellIs" dxfId="62" priority="56" operator="between">
      <formula>2</formula>
      <formula>4.9</formula>
    </cfRule>
    <cfRule type="cellIs" dxfId="61" priority="57" operator="between">
      <formula>5</formula>
      <formula>6.9</formula>
    </cfRule>
    <cfRule type="cellIs" dxfId="60" priority="58" operator="between">
      <formula>10.1</formula>
      <formula>10.6</formula>
    </cfRule>
    <cfRule type="cellIs" dxfId="59" priority="59" operator="between">
      <formula>7</formula>
      <formula>7.9</formula>
    </cfRule>
    <cfRule type="cellIs" dxfId="58" priority="60" stopIfTrue="1" operator="between">
      <formula>8</formula>
      <formula>8.9</formula>
    </cfRule>
    <cfRule type="cellIs" dxfId="57" priority="61" operator="between">
      <formula>9</formula>
      <formula>9.9</formula>
    </cfRule>
    <cfRule type="cellIs" dxfId="56" priority="62" stopIfTrue="1" operator="between">
      <formula>10</formula>
      <formula>10</formula>
    </cfRule>
  </conditionalFormatting>
  <conditionalFormatting sqref="AM3:AM9">
    <cfRule type="cellIs" dxfId="55" priority="1166" operator="between">
      <formula>7</formula>
      <formula>7.9</formula>
    </cfRule>
    <cfRule type="cellIs" dxfId="54" priority="1167" operator="between">
      <formula>8</formula>
      <formula>8.9</formula>
    </cfRule>
    <cfRule type="cellIs" dxfId="53" priority="1168" operator="between">
      <formula>9</formula>
      <formula>9.9</formula>
    </cfRule>
    <cfRule type="cellIs" dxfId="52" priority="1169" operator="between">
      <formula>10</formula>
      <formula>10</formula>
    </cfRule>
  </conditionalFormatting>
  <conditionalFormatting sqref="E321:E326">
    <cfRule type="containsBlanks" dxfId="17" priority="14" stopIfTrue="1">
      <formula>LEN(TRIM(E321))=0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E32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8" priority="3" stopIfTrue="1">
      <formula>LEN(TRIM(K319))=0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31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51" priority="17" operator="equal">
      <formula>10</formula>
    </cfRule>
  </conditionalFormatting>
  <conditionalFormatting sqref="C6">
    <cfRule type="containsBlanks" dxfId="50" priority="18">
      <formula>LEN(TRIM(C6))=0</formula>
    </cfRule>
  </conditionalFormatting>
  <conditionalFormatting sqref="C8">
    <cfRule type="containsBlanks" dxfId="49" priority="20">
      <formula>LEN(TRIM(C8))=0</formula>
    </cfRule>
  </conditionalFormatting>
  <conditionalFormatting sqref="C10">
    <cfRule type="containsBlanks" dxfId="48" priority="22">
      <formula>LEN(TRIM(C10))=0</formula>
    </cfRule>
  </conditionalFormatting>
  <conditionalFormatting sqref="C12">
    <cfRule type="containsBlanks" dxfId="47" priority="24">
      <formula>LEN(TRIM(C12))=0</formula>
    </cfRule>
  </conditionalFormatting>
  <conditionalFormatting sqref="C14">
    <cfRule type="containsBlanks" dxfId="46" priority="26">
      <formula>LEN(TRIM(C14))=0</formula>
    </cfRule>
  </conditionalFormatting>
  <conditionalFormatting sqref="C16">
    <cfRule type="containsBlanks" dxfId="45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4" priority="3" operator="equal">
      <formula>10</formula>
    </cfRule>
  </conditionalFormatting>
  <conditionalFormatting sqref="C26">
    <cfRule type="containsBlanks" dxfId="43" priority="4">
      <formula>LEN(TRIM(C26))=0</formula>
    </cfRule>
  </conditionalFormatting>
  <conditionalFormatting sqref="C34:C42">
    <cfRule type="cellIs" dxfId="42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41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0" priority="15" operator="equal">
      <formula>10</formula>
    </cfRule>
  </conditionalFormatting>
  <conditionalFormatting sqref="F12">
    <cfRule type="containsBlanks" dxfId="39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8" priority="5" operator="equal">
      <formula>10</formula>
    </cfRule>
  </conditionalFormatting>
  <conditionalFormatting sqref="F28">
    <cfRule type="containsBlanks" dxfId="37" priority="6">
      <formula>LEN(TRIM(F28))=0</formula>
    </cfRule>
  </conditionalFormatting>
  <conditionalFormatting sqref="F33:F41">
    <cfRule type="cellIs" dxfId="36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5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4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33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32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31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0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9" priority="1" operator="equal">
      <formula>10</formula>
    </cfRule>
  </conditionalFormatting>
  <conditionalFormatting sqref="L23">
    <cfRule type="containsBlanks" dxfId="28" priority="2">
      <formula>LEN(TRIM(L23))=0</formula>
    </cfRule>
  </conditionalFormatting>
  <conditionalFormatting sqref="L33:L44">
    <cfRule type="cellIs" dxfId="27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6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5" priority="9" operator="equal">
      <formula>10</formula>
    </cfRule>
  </conditionalFormatting>
  <conditionalFormatting sqref="O4">
    <cfRule type="containsBlanks" dxfId="24" priority="12">
      <formula>LEN(TRIM(O4))=0</formula>
    </cfRule>
  </conditionalFormatting>
  <conditionalFormatting sqref="O6">
    <cfRule type="containsBlanks" dxfId="23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2" priority="10">
      <formula>LEN(TRIM(O14))=0</formula>
    </cfRule>
  </conditionalFormatting>
  <conditionalFormatting sqref="O17:O27">
    <cfRule type="cellIs" dxfId="21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0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9" priority="8">
      <formula>LEN(TRIM(O42))=0</formula>
    </cfRule>
  </conditionalFormatting>
  <conditionalFormatting sqref="O42:O51">
    <cfRule type="cellIs" dxfId="18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2026-04-06T10:37:17Z</dcterms:modified>
</cp:coreProperties>
</file>