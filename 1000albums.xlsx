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21D0B03C-56D9-4B43-BBA1-443EE68C87AE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4" i="4" l="1"/>
  <c r="B260" i="4"/>
  <c r="H258" i="4"/>
  <c r="E253" i="4"/>
  <c r="K252" i="4"/>
  <c r="N249" i="4"/>
  <c r="B246" i="4"/>
  <c r="H246" i="4"/>
  <c r="N240" i="4"/>
  <c r="K237" i="4"/>
  <c r="E236" i="4"/>
  <c r="B235" i="4"/>
  <c r="H229" i="4"/>
  <c r="N228" i="4"/>
  <c r="E228" i="4"/>
  <c r="B226" i="4"/>
  <c r="K219" i="4"/>
  <c r="H215" i="4"/>
  <c r="B213" i="4"/>
  <c r="E212" i="4"/>
  <c r="K208" i="4"/>
  <c r="N211" i="4"/>
  <c r="H202" i="4"/>
  <c r="AU11" i="4" a="1"/>
  <c r="AU11" i="4" s="1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<sst xmlns="http://schemas.openxmlformats.org/spreadsheetml/2006/main" count="2133" uniqueCount="1711">
  <si>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</si>
  <si>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</si>
  <si>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</si>
  <si>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</si>
  <si>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</si>
  <si>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</si>
  <si>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</si>
  <si>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</si>
  <si>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</si>
  <si>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</si>
  <si>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</si>
  <si>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</si>
  <si>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</si>
  <si>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</si>
  <si>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</si>
  <si>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</si>
  <si>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</si>
  <si>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</si>
  <si>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</si>
  <si>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</si>
  <si>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</si>
  <si>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</si>
  <si>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</si>
  <si>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</si>
  <si>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</si>
  <si>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</si>
  <si>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</si>
  <si>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</si>
  <si>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</si>
  <si>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</si>
  <si>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</si>
  <si>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</si>
  <si>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</si>
  <si>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</si>
  <si>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</si>
  <si>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</si>
  <si>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</si>
  <si>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</si>
  <si>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</si>
  <si>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</si>
  <si>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</si>
  <si>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</si>
  <si>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</si>
  <si>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</si>
  <si>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</si>
  <si>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</si>
  <si>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</si>
  <si>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</si>
  <si>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</si>
  <si>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</si>
  <si>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</si>
  <si>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</si>
  <si>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</si>
  <si>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</si>
  <si>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</si>
  <si>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</si>
  <si>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</si>
  <si>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</si>
  <si>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</si>
  <si>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</si>
  <si>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</si>
  <si>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</si>
  <si>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</si>
  <si>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</si>
  <si>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</si>
  <si>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</si>
  <si>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</si>
  <si>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</si>
  <si>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</si>
  <si>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</si>
  <si>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</si>
  <si>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</si>
  <si>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</si>
  <si>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</si>
  <si>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</si>
  <si>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</si>
  <si>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</si>
  <si>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</si>
  <si>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</si>
  <si>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</si>
  <si>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</si>
  <si>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</si>
  <si>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</si>
  <si>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</si>
  <si>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</si>
  <si>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</si>
  <si>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</si>
  <si>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</si>
  <si>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</si>
  <si>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</si>
  <si>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</si>
  <si>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</si>
  <si>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</si>
  <si>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</si>
  <si>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</si>
  <si>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</si>
  <si>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</si>
  <si>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</si>
  <si>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</si>
  <si>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</si>
  <si>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</si>
  <si>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</si>
  <si>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</si>
  <si>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</si>
  <si>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</si>
  <si>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</si>
  <si>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</si>
  <si>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</si>
  <si>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</si>
  <si>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</si>
  <si>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</si>
  <si>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</si>
  <si>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</si>
  <si>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</si>
  <si>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</si>
  <si>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</si>
  <si>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</si>
  <si>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</si>
  <si>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</si>
  <si>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</si>
  <si>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</si>
  <si>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</si>
  <si>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</si>
  <si>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</si>
  <si>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</si>
  <si>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</si>
  <si>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</si>
  <si>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</si>
  <si>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</si>
  <si>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</si>
  <si>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</si>
  <si>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</si>
  <si>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</si>
  <si>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</si>
  <si>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</si>
  <si>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</si>
  <si>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</si>
  <si>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</si>
  <si>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</si>
  <si>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</si>
  <si>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</si>
  <si>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</si>
  <si>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</si>
  <si>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</si>
  <si>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</si>
  <si>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</si>
  <si>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</si>
  <si>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</si>
  <si>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</si>
  <si>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</si>
  <si>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</si>
  <si>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</si>
  <si>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</si>
  <si>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</si>
  <si>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</si>
  <si>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</si>
  <si>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</si>
  <si>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</si>
  <si>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</si>
  <si>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</si>
  <si>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</si>
  <si>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</si>
  <si>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</si>
  <si>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</si>
  <si>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Es decir, nota mas alta implica menos canciones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</si>
  <si>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</si>
  <si>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</si>
  <si>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</si>
  <si>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</si>
  <si>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</si>
  <si>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</si>
  <si>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</si>
  <si>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</si>
  <si>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</si>
  <si>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</si>
  <si>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</si>
  <si>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</si>
  <si>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</si>
  <si>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</si>
  <si>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</si>
  <si>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</si>
  <si>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</si>
  <si>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</si>
  <si>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</si>
  <si>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</si>
  <si>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</si>
  <si>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</si>
  <si>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</si>
  <si>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</si>
  <si>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</si>
  <si>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</si>
  <si>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</si>
  <si>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</si>
  <si>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</si>
  <si>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</si>
  <si>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</si>
  <si>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</si>
  <si>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</si>
  <si>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</si>
  <si>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</si>
  <si>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</si>
  <si>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</si>
  <si>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</si>
  <si>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</si>
  <si>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</si>
  <si>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</si>
  <si>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</si>
  <si>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</si>
  <si>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</si>
  <si>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</si>
  <si>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</si>
  <si>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</si>
  <si>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</si>
  <si>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</si>
  <si>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</si>
  <si>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</si>
  <si>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</si>
  <si>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</si>
  <si>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</si>
  <si>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</si>
  <si>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</si>
  <si>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</si>
  <si>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</si>
  <si>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</si>
  <si>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</si>
  <si>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</si>
  <si>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</si>
  <si>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</si>
  <si>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</si>
  <si>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</si>
  <si>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</si>
  <si>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</si>
  <si>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</si>
  <si>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</si>
  <si>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</si>
  <si>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</si>
  <si>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</si>
  <si>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</si>
  <si>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</si>
  <si>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</si>
  <si>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</si>
  <si>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</si>
  <si>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</si>
  <si>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</si>
  <si>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</si>
  <si>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</si>
  <si>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</si>
  <si>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</si>
  <si>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Biblical</t>
  </si>
  <si>
    <t>Amazing</t>
  </si>
  <si>
    <t>Great</t>
  </si>
  <si>
    <t>Good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</si>
  <si>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</si>
  <si>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</si>
  <si>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</si>
  <si>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</si>
  <si>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</si>
  <si>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</si>
  <si>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</si>
  <si>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</si>
  <si>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</si>
  <si>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</si>
  <si>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</si>
  <si>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</si>
  <si>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</si>
  <si>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</si>
  <si>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</si>
  <si>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</si>
  <si>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</si>
  <si>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</si>
  <si>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</si>
  <si>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</si>
  <si>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</si>
  <si>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</si>
  <si>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</si>
  <si>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</si>
  <si>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</si>
  <si>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</si>
  <si>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</si>
  <si>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</si>
  <si>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</si>
  <si>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</si>
  <si>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</si>
  <si>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</si>
  <si>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</si>
  <si>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</si>
  <si>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</si>
  <si>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</si>
  <si>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</si>
  <si>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</si>
  <si>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</si>
  <si>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</si>
  <si>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</si>
  <si>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</si>
  <si>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</si>
  <si>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</si>
  <si>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</si>
  <si>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</si>
  <si>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</si>
  <si>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</si>
  <si>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</si>
  <si>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</si>
  <si>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</si>
  <si>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</si>
  <si>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</si>
  <si>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</si>
  <si>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</si>
  <si>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</si>
  <si>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</si>
  <si>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</si>
  <si>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</si>
  <si>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</si>
  <si>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</si>
  <si>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</si>
  <si>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</si>
  <si>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</si>
  <si>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</si>
  <si>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</si>
  <si>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</si>
  <si>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</si>
  <si>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</si>
  <si>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</si>
  <si>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</si>
  <si>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</si>
  <si>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</si>
  <si>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</si>
  <si>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</si>
  <si>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</si>
  <si>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</si>
  <si>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Meh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</si>
  <si>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</si>
  <si>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</si>
  <si>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</si>
  <si>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</si>
  <si>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</si>
  <si>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</si>
  <si>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</si>
  <si>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</si>
  <si>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</si>
  <si>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</si>
  <si>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</si>
  <si>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</si>
  <si>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</si>
  <si>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</si>
  <si>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</si>
  <si>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</si>
  <si>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</si>
  <si>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</si>
  <si>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</si>
  <si>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</si>
  <si>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</si>
  <si>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</si>
  <si>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</si>
  <si>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</si>
  <si>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</si>
  <si>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</si>
  <si>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</si>
  <si>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</si>
  <si>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</si>
  <si>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</si>
  <si>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</si>
  <si>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</si>
  <si>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</si>
  <si>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</si>
  <si>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</si>
  <si>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</si>
  <si>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</si>
  <si>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</si>
  <si>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</si>
  <si>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</si>
  <si>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</si>
  <si>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</si>
  <si>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</si>
  <si>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</si>
  <si>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</si>
  <si>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</si>
  <si>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</si>
  <si>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</si>
  <si>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</si>
  <si>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</si>
  <si>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</si>
  <si>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</si>
  <si>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</si>
  <si>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</si>
  <si>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</si>
  <si>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</si>
  <si>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</si>
  <si>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</si>
  <si>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</si>
  <si>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</si>
  <si>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</si>
  <si>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</si>
  <si>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</si>
  <si>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</si>
  <si>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</si>
  <si>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</si>
  <si>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</si>
  <si>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</si>
  <si>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</si>
  <si>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</si>
  <si>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</si>
  <si>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</si>
  <si>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</si>
  <si>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</si>
  <si>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</si>
  <si>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</si>
  <si>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</si>
  <si>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</si>
  <si>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</si>
  <si>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</si>
  <si>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</si>
  <si>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</si>
  <si>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</si>
  <si>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</si>
  <si>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</si>
  <si>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</si>
  <si>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</si>
  <si>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</si>
  <si>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</si>
  <si>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</si>
  <si>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</si>
  <si>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</si>
  <si>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</si>
  <si>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</si>
  <si>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</si>
  <si>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</si>
  <si>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</si>
  <si>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</si>
  <si>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</si>
  <si>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</si>
  <si>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</si>
  <si>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</si>
  <si>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</si>
  <si>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</si>
  <si>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</si>
  <si>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</si>
  <si>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</si>
  <si>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</si>
  <si>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</si>
  <si>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</si>
  <si>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</si>
  <si>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</si>
  <si>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</si>
  <si>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</si>
  <si>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</si>
  <si>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</si>
  <si>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</si>
  <si>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</si>
  <si>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</si>
  <si>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</si>
  <si>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</si>
  <si>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</si>
  <si>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</si>
  <si>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</si>
  <si>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</si>
  <si>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</si>
  <si>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</si>
  <si>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</si>
  <si>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</si>
  <si>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</si>
  <si>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</si>
  <si>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</si>
  <si>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</si>
  <si>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</si>
  <si>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</si>
  <si>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</si>
  <si>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</si>
  <si>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</si>
  <si>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</si>
  <si>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</si>
  <si>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</si>
  <si>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</si>
  <si>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</si>
  <si>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</si>
  <si>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</si>
  <si>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</si>
  <si>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</si>
  <si>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</si>
  <si>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</si>
  <si>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</si>
  <si>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</si>
  <si>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</si>
  <si>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</si>
  <si>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</si>
  <si>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</si>
  <si>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</si>
  <si>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</si>
  <si>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</si>
  <si>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</si>
  <si>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</si>
  <si>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</si>
  <si>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</si>
  <si>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</si>
  <si>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</si>
  <si>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</si>
  <si>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</si>
  <si>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</si>
  <si>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</si>
  <si>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</si>
  <si>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</si>
  <si>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</si>
  <si>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</si>
  <si>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</si>
  <si>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</si>
  <si>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</si>
  <si>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</si>
  <si>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</si>
  <si>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</si>
  <si>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</si>
  <si>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</si>
  <si>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</si>
  <si>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</si>
  <si>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</si>
  <si>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</si>
  <si>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</si>
  <si>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</si>
  <si>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</si>
  <si>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</si>
  <si>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</si>
  <si>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</si>
  <si>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</si>
  <si>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</si>
  <si>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</si>
  <si>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</si>
  <si>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</si>
  <si>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</si>
  <si>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</si>
  <si>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</si>
  <si>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</si>
  <si>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</si>
  <si>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</si>
  <si>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</si>
  <si>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</si>
  <si>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</si>
  <si>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</si>
  <si>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</si>
  <si>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</si>
  <si>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</si>
  <si>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</si>
  <si>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</si>
  <si>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</si>
  <si>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</si>
  <si>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</si>
  <si>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</si>
  <si>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</si>
  <si>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</si>
  <si>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</si>
  <si>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</si>
  <si>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</si>
  <si>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</si>
  <si>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</si>
  <si>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</si>
  <si>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</si>
  <si>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</si>
  <si>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</si>
  <si>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</si>
  <si>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</si>
  <si>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</si>
  <si>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</si>
  <si>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</si>
  <si>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</si>
  <si>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</si>
  <si>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</si>
  <si>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</si>
  <si>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</si>
  <si>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</si>
  <si>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</si>
  <si>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</si>
  <si>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</si>
  <si>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</si>
  <si>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</si>
  <si>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</si>
  <si>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</si>
  <si>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</si>
  <si>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</si>
  <si>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</si>
  <si>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</si>
  <si>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</si>
  <si>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</si>
  <si>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</si>
  <si>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</si>
  <si>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</si>
  <si>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</si>
  <si>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</si>
  <si>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</si>
  <si>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</si>
  <si>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</si>
  <si>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</si>
  <si>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</si>
  <si>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</si>
  <si>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</si>
  <si>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</si>
  <si>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</si>
  <si>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</si>
  <si>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</si>
  <si>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</si>
  <si>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</si>
  <si>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</si>
  <si>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</si>
  <si>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</si>
  <si>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</si>
  <si>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</si>
  <si>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</si>
  <si>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</si>
  <si>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</si>
  <si>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</si>
  <si>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</si>
  <si>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</si>
  <si>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</si>
  <si>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</si>
  <si>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</si>
  <si>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</si>
  <si>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</si>
  <si>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</si>
  <si>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</si>
  <si>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</si>
  <si>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</si>
  <si>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</si>
  <si>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</si>
  <si>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</si>
  <si>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</si>
  <si>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</si>
  <si>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</si>
  <si>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</si>
  <si>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</si>
  <si>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</si>
  <si>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</si>
  <si>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</si>
  <si>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</si>
  <si>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</si>
  <si>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</si>
  <si>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</si>
  <si>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</si>
  <si>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</si>
  <si>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</si>
  <si>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</si>
  <si>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</si>
  <si>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</si>
  <si>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</si>
  <si>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</si>
  <si>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</si>
  <si>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</si>
  <si>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</si>
  <si>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</si>
  <si>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</si>
  <si>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</si>
  <si>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</si>
  <si>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</si>
  <si>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</si>
  <si>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</si>
  <si>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</si>
  <si>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</si>
  <si>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</si>
  <si>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</si>
  <si>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</si>
  <si>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</si>
  <si>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</si>
  <si>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</si>
  <si>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</si>
  <si>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</si>
  <si>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</si>
  <si>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</si>
  <si>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</si>
  <si>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</si>
  <si>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</si>
  <si>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</si>
  <si>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</si>
  <si>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</si>
  <si>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</si>
  <si>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</si>
  <si>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</si>
  <si>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</si>
  <si>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</si>
  <si>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</si>
  <si>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</si>
  <si>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</si>
  <si>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</si>
  <si>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</si>
  <si>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</si>
  <si>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</si>
  <si>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</si>
  <si>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</si>
  <si>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</si>
  <si>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</si>
  <si>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</si>
  <si>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</si>
  <si>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</si>
  <si>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</si>
  <si>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</si>
  <si>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</si>
  <si>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</si>
  <si>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</si>
  <si>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</si>
  <si>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</si>
  <si>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</si>
  <si>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</si>
  <si>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</si>
  <si>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</si>
  <si>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</si>
  <si>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</si>
  <si>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</si>
  <si>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</si>
  <si>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</si>
  <si>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</si>
  <si>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</si>
  <si>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</si>
  <si>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</si>
  <si>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</si>
  <si>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</si>
  <si>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</si>
  <si>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</si>
  <si>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</si>
  <si>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</si>
  <si>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</si>
  <si>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</si>
  <si>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</si>
  <si>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</si>
  <si>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</si>
  <si>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</si>
  <si>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</si>
  <si>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</si>
  <si>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</si>
  <si>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</si>
  <si>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</si>
  <si>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</si>
  <si>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</si>
  <si>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</si>
  <si>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</si>
  <si>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</si>
  <si>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</si>
  <si>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</si>
  <si>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</si>
  <si>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</si>
  <si>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</si>
  <si>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</si>
  <si>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</si>
  <si>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</si>
  <si>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</si>
  <si>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</si>
  <si>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</si>
  <si>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</si>
  <si>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</si>
  <si>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</si>
  <si>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</si>
  <si>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</si>
  <si>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</si>
  <si>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</si>
  <si>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</si>
  <si>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</si>
  <si>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</si>
  <si>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</si>
  <si>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r>
      <t>* Interpol -</t>
    </r>
    <r>
      <rPr>
        <b/>
        <sz val="14"/>
        <color theme="1"/>
        <rFont val="Aptos Narrow"/>
        <family val="2"/>
        <scheme val="minor"/>
      </rPr>
      <t xml:space="preserve"> Turn On The Bright Lights</t>
    </r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</si>
  <si>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</si>
  <si>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</si>
  <si>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</si>
  <si>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</si>
  <si>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</si>
  <si>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</si>
  <si>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</si>
  <si>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</si>
  <si>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</si>
  <si>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</si>
  <si>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</si>
  <si>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</si>
  <si>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</si>
  <si>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</si>
  <si>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</si>
  <si>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</si>
  <si>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</si>
  <si>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</si>
  <si>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</si>
  <si>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</si>
  <si>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</si>
  <si>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</si>
  <si>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</si>
  <si>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</si>
  <si>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</si>
  <si>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classic rock,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</si>
  <si>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</si>
  <si>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</si>
  <si>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</si>
  <si>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</si>
  <si>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</si>
  <si>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</si>
  <si>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</si>
  <si>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</si>
  <si>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</si>
  <si>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</si>
  <si>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</si>
  <si>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</si>
  <si>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</si>
  <si>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</si>
  <si>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</si>
  <si>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</si>
  <si>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</si>
  <si>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</si>
  <si>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art rock, post-rock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</si>
  <si>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</si>
  <si>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</si>
  <si>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</si>
  <si>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</si>
  <si>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</si>
  <si>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</si>
  <si>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</si>
  <si>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</si>
  <si>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</si>
  <si>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</si>
  <si>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</si>
  <si>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</si>
  <si>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</si>
  <si>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</si>
  <si>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</si>
  <si>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</si>
  <si>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</si>
  <si>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</si>
  <si>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</si>
  <si>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</si>
  <si>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</si>
  <si>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</si>
  <si>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</si>
  <si>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</si>
  <si>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</si>
  <si>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</si>
  <si>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</si>
  <si>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</si>
  <si>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</si>
  <si>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</si>
  <si>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</si>
  <si>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</si>
  <si>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</si>
  <si>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</si>
  <si>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</si>
  <si>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</si>
  <si>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</si>
  <si>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</si>
  <si>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</si>
  <si>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</si>
  <si>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</si>
  <si>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</si>
  <si>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</si>
  <si>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</si>
  <si>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</si>
  <si>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</si>
  <si>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</si>
  <si>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</si>
  <si>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</si>
  <si>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</si>
  <si>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</si>
  <si>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</si>
  <si>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</si>
  <si>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</si>
  <si>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</si>
  <si>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</si>
  <si>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</si>
  <si>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</si>
  <si>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</si>
  <si>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</si>
  <si>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</si>
  <si>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</si>
  <si>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</si>
  <si>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</si>
  <si>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</si>
  <si>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</si>
  <si>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</si>
  <si>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</si>
  <si>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</si>
  <si>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</si>
  <si>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</si>
  <si>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</si>
  <si>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</si>
  <si>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</si>
  <si>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</si>
  <si>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</si>
  <si>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</si>
  <si>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</si>
  <si>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</si>
  <si>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</si>
  <si>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</si>
  <si>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</si>
  <si>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</si>
  <si>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</si>
  <si>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</si>
  <si>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</si>
  <si>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</si>
  <si>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</si>
  <si>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</si>
  <si>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</si>
  <si>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</si>
  <si>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</si>
  <si>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</si>
  <si>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</si>
  <si>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</si>
  <si>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</si>
  <si>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</si>
  <si>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</si>
  <si>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</si>
  <si>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</si>
  <si>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</si>
  <si>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</si>
  <si>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</si>
  <si>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</si>
  <si>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</si>
  <si>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</si>
  <si>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</si>
  <si>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</si>
  <si>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</si>
  <si>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</si>
  <si>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</si>
  <si>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</si>
  <si>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</si>
  <si>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</si>
  <si>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</si>
  <si>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</si>
  <si>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</si>
  <si>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</si>
  <si>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</si>
  <si>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</si>
  <si>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</si>
  <si>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</si>
  <si>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</si>
  <si>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</si>
  <si>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</si>
  <si>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</si>
  <si>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</si>
  <si>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</si>
  <si>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</si>
  <si>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</si>
  <si>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</si>
  <si>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</si>
  <si>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</si>
  <si>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</si>
  <si>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</si>
  <si>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</si>
  <si>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</si>
  <si>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</si>
  <si>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</si>
  <si>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</si>
  <si>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</si>
  <si>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</si>
  <si>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</si>
  <si>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</si>
  <si>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</si>
  <si>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</si>
  <si>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</si>
  <si>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</si>
  <si>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</si>
  <si>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</si>
  <si>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</si>
  <si>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</si>
  <si>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</si>
  <si>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</si>
  <si>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</si>
  <si>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</si>
  <si>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</si>
  <si>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</si>
  <si>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</si>
  <si>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</si>
  <si>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</si>
  <si>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</si>
  <si>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</si>
  <si>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</si>
  <si>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</si>
  <si>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</si>
  <si>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</si>
  <si>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</si>
  <si>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</si>
  <si>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</si>
  <si>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</si>
  <si>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</si>
  <si>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</si>
  <si>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</si>
  <si>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</si>
  <si>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</si>
  <si>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</si>
  <si>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</si>
  <si>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</si>
  <si>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</si>
  <si>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</si>
  <si>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</si>
  <si>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</si>
  <si>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</si>
  <si>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</si>
  <si>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</si>
  <si>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</si>
  <si>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</si>
  <si>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</si>
  <si>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</si>
  <si>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</si>
  <si>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</si>
  <si>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</si>
  <si>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</si>
  <si>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</si>
  <si>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</si>
  <si>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</si>
  <si>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</si>
  <si>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</si>
  <si>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</si>
  <si>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</si>
  <si>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</si>
  <si>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</si>
  <si>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</si>
  <si>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</si>
  <si>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</si>
  <si>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</si>
  <si>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</si>
  <si>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</si>
  <si>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</si>
  <si>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</si>
  <si>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</si>
  <si>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</si>
  <si>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</si>
  <si>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</si>
  <si>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</si>
  <si>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</si>
  <si>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</si>
  <si>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</si>
  <si>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</si>
  <si>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</si>
  <si>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</si>
  <si>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</si>
  <si>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</si>
  <si>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</si>
  <si>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</si>
  <si>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</si>
  <si>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</si>
  <si>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</si>
  <si>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</si>
  <si>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</si>
  <si>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post britpop, art rock, art pop, pop rock</t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</si>
  <si>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</si>
  <si>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</si>
  <si>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</si>
  <si>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</si>
  <si>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</si>
  <si>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</si>
  <si>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</si>
  <si>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</si>
  <si>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</si>
  <si>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</si>
  <si>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</si>
  <si>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</si>
  <si>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</si>
  <si>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</si>
  <si>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</si>
  <si>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</si>
  <si>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</si>
  <si>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</si>
  <si>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</si>
  <si>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</si>
  <si>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</si>
  <si>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</si>
  <si>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</si>
  <si>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</si>
  <si>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</si>
  <si>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</si>
  <si>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</si>
  <si>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</si>
  <si>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</si>
  <si>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Pero el sample size es pequeño, no nos podemos fiar mucho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</si>
  <si>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</si>
  <si>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</si>
  <si>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</si>
  <si>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</si>
  <si>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</si>
  <si>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</si>
  <si>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</si>
  <si>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</si>
  <si>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</si>
  <si>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</si>
  <si>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</si>
  <si>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</si>
  <si>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</si>
  <si>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</si>
  <si>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</si>
  <si>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</si>
  <si>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4.5 (6 - 10.5)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</si>
  <si>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</si>
  <si>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</si>
  <si>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</si>
  <si>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</si>
  <si>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</si>
  <si>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</si>
  <si>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</si>
  <si>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0 (0%)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</si>
  <si>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</si>
  <si>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</si>
  <si>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</si>
  <si>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</si>
  <si>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</si>
  <si>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</si>
  <si>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</si>
  <si>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</si>
  <si>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</si>
  <si>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Jake Weber - Middle Earth Vol. 2 (7.06)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</si>
  <si>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</si>
  <si>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</si>
  <si>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</si>
  <si>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</si>
  <si>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</si>
  <si>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</si>
  <si>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</si>
  <si>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post-rock (9.88)</t>
  </si>
  <si>
    <t>Peor media</t>
  </si>
  <si>
    <t>spanish rap (7.29)</t>
  </si>
  <si>
    <t>DESGLOSE POR GÉNERO</t>
  </si>
  <si>
    <t>post-rock</t>
  </si>
  <si>
    <t>1 (9.88)</t>
  </si>
  <si>
    <t>psychedelic rock</t>
  </si>
  <si>
    <t>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</si>
  <si>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</si>
  <si>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</si>
  <si>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</si>
  <si>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</si>
  <si>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</si>
  <si>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</si>
  <si>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</si>
  <si>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</si>
  <si>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</si>
  <si>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</si>
  <si>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</si>
  <si>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</si>
  <si>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</si>
  <si>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</si>
  <si>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</si>
  <si>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</si>
  <si>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</si>
  <si>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</si>
  <si>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</si>
  <si>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</si>
  <si>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</si>
  <si>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</si>
  <si>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</si>
  <si>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</si>
  <si>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1 (8.68)</t>
  </si>
  <si>
    <t>downtempo</t>
  </si>
  <si>
    <t>electropop</t>
  </si>
  <si>
    <t>1 (8.67)</t>
  </si>
  <si>
    <t>post rock</t>
  </si>
  <si>
    <t>yacht rock</t>
  </si>
  <si>
    <t>art pop</t>
  </si>
  <si>
    <t>pop rock</t>
  </si>
  <si>
    <t>1 (8.65)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</si>
  <si>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</si>
  <si>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</si>
  <si>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</si>
  <si>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</si>
  <si>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</si>
  <si>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</si>
  <si>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</si>
  <si>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</si>
  <si>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</si>
  <si>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</si>
  <si>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</si>
  <si>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</si>
  <si>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</si>
  <si>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</si>
  <si>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</si>
  <si>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</si>
  <si>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</si>
  <si>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</si>
  <si>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</si>
  <si>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1 (8.18)</t>
  </si>
  <si>
    <t>experimental rock</t>
  </si>
  <si>
    <t>1 (7.88)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</si>
  <si>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</si>
  <si>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</si>
  <si>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</si>
  <si>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</si>
  <si>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</si>
  <si>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</si>
  <si>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</si>
  <si>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</si>
  <si>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</si>
  <si>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</si>
  <si>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</si>
  <si>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</si>
  <si>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</si>
  <si>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</si>
  <si>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(9.38)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</si>
  <si>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</si>
  <si>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</si>
  <si>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</si>
  <si>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</si>
  <si>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</si>
  <si>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</si>
  <si>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</si>
  <si>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</si>
  <si>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</si>
  <si>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</si>
  <si>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</si>
  <si>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</si>
  <si>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</si>
  <si>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</si>
  <si>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</si>
  <si>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</si>
  <si>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</si>
  <si>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</si>
  <si>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</si>
  <si>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</si>
  <si>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3 (8.79)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</si>
  <si>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</si>
  <si>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</si>
  <si>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</si>
  <si>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</si>
  <si>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</si>
  <si>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</si>
  <si>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</si>
  <si>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</si>
  <si>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</si>
  <si>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</si>
  <si>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</si>
  <si>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</si>
  <si>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</si>
  <si>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</si>
  <si>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</si>
  <si>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</si>
  <si>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</si>
  <si>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</si>
  <si>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</si>
  <si>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</si>
  <si>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</si>
  <si>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</si>
  <si>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</si>
  <si>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</si>
  <si>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</si>
  <si>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</si>
  <si>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</si>
  <si>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</si>
  <si>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</si>
  <si>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</si>
  <si>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</si>
  <si>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</si>
  <si>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</si>
  <si>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</si>
  <si>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</si>
  <si>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</si>
  <si>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</si>
  <si>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</si>
  <si>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</si>
  <si>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</si>
  <si>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</si>
  <si>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</si>
  <si>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</si>
  <si>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</si>
  <si>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</si>
  <si>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</si>
  <si>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</si>
  <si>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</si>
  <si>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</si>
  <si>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</si>
  <si>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</si>
  <si>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</si>
  <si>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</si>
  <si>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</si>
  <si>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</si>
  <si>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</si>
  <si>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</si>
  <si>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</si>
  <si>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</si>
  <si>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</si>
  <si>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</si>
  <si>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</si>
  <si>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</si>
  <si>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</si>
  <si>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</si>
  <si>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</si>
  <si>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</si>
  <si>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</si>
  <si>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</si>
  <si>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</si>
  <si>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</si>
  <si>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</si>
  <si>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</si>
  <si>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</si>
  <si>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</si>
  <si>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</si>
  <si>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</si>
  <si>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</si>
  <si>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</si>
  <si>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</si>
  <si>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</si>
  <si>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</si>
  <si>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</si>
  <si>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</si>
  <si>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</si>
  <si>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</si>
  <si>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</si>
  <si>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2 (8.62)</t>
  </si>
  <si>
    <t>2 (8.44)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</si>
  <si>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</si>
  <si>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</si>
  <si>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</si>
  <si>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</si>
  <si>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</si>
  <si>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</si>
  <si>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</si>
  <si>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</si>
  <si>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</si>
  <si>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</si>
  <si>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</si>
  <si>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</si>
  <si>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</si>
  <si>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</si>
  <si>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</si>
  <si>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</si>
  <si>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</si>
  <si>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</si>
  <si>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</si>
  <si>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</si>
  <si>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</si>
  <si>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</si>
  <si>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</si>
  <si>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</si>
  <si>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</si>
  <si>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</si>
  <si>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</si>
  <si>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</si>
  <si>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</si>
  <si>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</si>
  <si>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</si>
  <si>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</si>
  <si>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</si>
  <si>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</si>
  <si>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</si>
  <si>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</si>
  <si>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</si>
  <si>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</si>
  <si>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</si>
  <si>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</si>
  <si>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</si>
  <si>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</si>
  <si>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</si>
  <si>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</si>
  <si>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</si>
  <si>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</si>
  <si>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</si>
  <si>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</si>
  <si>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</si>
  <si>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3 (8.64)</t>
  </si>
  <si>
    <t>5 (8.57)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</si>
  <si>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</si>
  <si>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</si>
  <si>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</si>
  <si>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</si>
  <si>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</si>
  <si>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</si>
  <si>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</si>
  <si>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</si>
  <si>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</si>
  <si>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</si>
  <si>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</si>
  <si>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</si>
  <si>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</si>
  <si>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</si>
  <si>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</si>
  <si>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</si>
  <si>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</si>
  <si>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</si>
  <si>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</si>
  <si>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</si>
  <si>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</si>
  <si>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</si>
  <si>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</si>
  <si>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</si>
  <si>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</si>
  <si>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</si>
  <si>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</si>
  <si>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</si>
  <si>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</si>
  <si>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</si>
  <si>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</si>
  <si>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</si>
  <si>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</si>
  <si>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</si>
  <si>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</si>
  <si>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</si>
  <si>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</si>
  <si>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</si>
  <si>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</si>
  <si>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</si>
  <si>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</si>
  <si>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</si>
  <si>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</si>
  <si>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</si>
  <si>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</si>
  <si>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</si>
  <si>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</si>
  <si>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</si>
  <si>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</si>
  <si>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</si>
  <si>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</si>
  <si>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</si>
  <si>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TOP 20 SIN REPETIR ARTISTAS</t>
  </si>
  <si>
    <t>art rock, indie rock</t>
  </si>
  <si>
    <t>alternative rock, stoner rock</t>
  </si>
  <si>
    <t>14 (9.08)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</si>
  <si>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</si>
  <si>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</si>
  <si>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</si>
  <si>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</si>
  <si>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</si>
  <si>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</si>
  <si>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</si>
  <si>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</si>
  <si>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</si>
  <si>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</si>
  <si>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</si>
  <si>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</si>
  <si>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</si>
  <si>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</si>
  <si>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</si>
  <si>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</si>
  <si>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Metallica - Metallica (σ=1.33)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</si>
  <si>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</si>
  <si>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</si>
  <si>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</si>
  <si>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</si>
  <si>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</si>
  <si>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</si>
  <si>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</si>
  <si>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</si>
  <si>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</si>
  <si>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</si>
  <si>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</si>
  <si>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</si>
  <si>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</si>
  <si>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</si>
  <si>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</si>
  <si>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</si>
  <si>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</si>
  <si>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</si>
  <si>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</si>
  <si>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</si>
  <si>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thrash metal, heavy metal</t>
  </si>
  <si>
    <t>1 (8.46)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</si>
  <si>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</si>
  <si>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</si>
  <si>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</si>
  <si>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</si>
  <si>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</si>
  <si>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</si>
  <si>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</si>
  <si>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</si>
  <si>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</si>
  <si>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</si>
  <si>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</si>
  <si>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</si>
  <si>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</si>
  <si>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</si>
  <si>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</si>
  <si>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</si>
  <si>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</si>
  <si>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</si>
  <si>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</si>
  <si>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</si>
  <si>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</si>
  <si>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</si>
  <si>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</si>
  <si>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</si>
  <si>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</si>
  <si>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Jake Weber - Middle Earth Vol. 2 (σ=0.44)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</si>
  <si>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</si>
  <si>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</si>
  <si>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</si>
  <si>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</si>
  <si>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</si>
  <si>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</si>
  <si>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</si>
  <si>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</si>
  <si>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</si>
  <si>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</si>
  <si>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</si>
  <si>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</si>
  <si>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</si>
  <si>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</si>
  <si>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</si>
  <si>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</si>
  <si>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</si>
  <si>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</si>
  <si>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</si>
  <si>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</si>
  <si>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</si>
  <si>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</si>
  <si>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</si>
  <si>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</si>
  <si>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</si>
  <si>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</si>
  <si>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</si>
  <si>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</si>
  <si>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</si>
  <si>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</si>
  <si>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5 (9.1)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</si>
  <si>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</si>
  <si>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</si>
  <si>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</si>
  <si>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</si>
  <si>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</si>
  <si>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</si>
  <si>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</si>
  <si>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</si>
  <si>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</si>
  <si>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</si>
  <si>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</si>
  <si>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</si>
  <si>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</si>
  <si>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</si>
  <si>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10 (8.71)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</si>
  <si>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</si>
  <si>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</si>
  <si>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</si>
  <si>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</si>
  <si>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</si>
  <si>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</si>
  <si>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</si>
  <si>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</si>
  <si>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</si>
  <si>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</si>
  <si>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</si>
  <si>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</si>
  <si>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</si>
  <si>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</si>
  <si>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</si>
  <si>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</si>
  <si>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</si>
  <si>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</si>
  <si>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3 (8.98)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</si>
  <si>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</si>
  <si>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</si>
  <si>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</si>
  <si>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</si>
  <si>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</si>
  <si>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</si>
  <si>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</si>
  <si>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</si>
  <si>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</si>
  <si>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</si>
  <si>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</si>
  <si>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</si>
  <si>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</si>
  <si>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</si>
  <si>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</si>
  <si>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</si>
  <si>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</si>
  <si>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</si>
  <si>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</si>
  <si>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</si>
  <si>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</si>
  <si>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</si>
  <si>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</si>
  <si>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</si>
  <si>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</si>
  <si>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</si>
  <si>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</si>
  <si>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</si>
  <si>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</si>
  <si>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</si>
  <si>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</si>
  <si>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</si>
  <si>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</si>
  <si>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</si>
  <si>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</si>
  <si>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</si>
  <si>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</si>
  <si>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</si>
  <si>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</si>
  <si>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</si>
  <si>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</si>
  <si>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</si>
  <si>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</si>
  <si>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</si>
  <si>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</si>
  <si>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</si>
  <si>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</si>
  <si>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</si>
  <si>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</si>
  <si>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5 (9.09)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</si>
  <si>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</si>
  <si>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</si>
  <si>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</si>
  <si>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</si>
  <si>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</si>
  <si>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</si>
  <si>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</si>
  <si>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</si>
  <si>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</si>
  <si>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</si>
  <si>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</si>
  <si>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</si>
  <si>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</si>
  <si>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</si>
  <si>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</si>
  <si>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</si>
  <si>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</si>
  <si>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</si>
  <si>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</si>
  <si>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</si>
  <si>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</si>
  <si>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</si>
  <si>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</si>
  <si>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</si>
  <si>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</si>
  <si>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</si>
  <si>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</si>
  <si>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</si>
  <si>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</si>
  <si>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</si>
  <si>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</si>
  <si>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</si>
  <si>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</si>
  <si>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</si>
  <si>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</si>
  <si>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</si>
  <si>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</si>
  <si>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</si>
  <si>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</si>
  <si>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</si>
  <si>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</si>
  <si>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</si>
  <si>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</si>
  <si>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</si>
  <si>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</si>
  <si>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</si>
  <si>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</si>
  <si>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</si>
  <si>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6 (8.8)</t>
  </si>
  <si>
    <t>ambient, video game music</t>
  </si>
  <si>
    <t>2 (8.7)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</si>
  <si>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</si>
  <si>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</si>
  <si>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</si>
  <si>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</si>
  <si>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</si>
  <si>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</si>
  <si>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</si>
  <si>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</si>
  <si>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</si>
  <si>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</si>
  <si>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</si>
  <si>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</si>
  <si>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</si>
  <si>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</si>
  <si>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4 (8.86)</t>
  </si>
  <si>
    <t>4 (8.64)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</si>
  <si>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</si>
  <si>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</si>
  <si>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</si>
  <si>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</si>
  <si>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</si>
  <si>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</si>
  <si>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</si>
  <si>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</si>
  <si>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</si>
  <si>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</si>
  <si>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</si>
  <si>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</si>
  <si>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</si>
  <si>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</si>
  <si>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0.1 ← simétrica</t>
  </si>
  <si>
    <t>groove metal, progressive metal</t>
  </si>
  <si>
    <t>progressive metal, death metal, groove metal</t>
  </si>
  <si>
    <t>progressive metal (19)</t>
  </si>
  <si>
    <t>19 (8.78)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</si>
  <si>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</si>
  <si>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</si>
  <si>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</si>
  <si>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</si>
  <si>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</si>
  <si>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</si>
  <si>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</si>
  <si>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</si>
  <si>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</si>
  <si>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</si>
  <si>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</si>
  <si>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</si>
  <si>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</si>
  <si>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</si>
  <si>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</si>
  <si>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</si>
  <si>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</si>
  <si>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</si>
  <si>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</si>
  <si>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</si>
  <si>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</si>
  <si>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</si>
  <si>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</si>
  <si>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18 (1.68%)</t>
  </si>
  <si>
    <t>161 (14.99%)</t>
  </si>
  <si>
    <t>428 (39.85%)</t>
  </si>
  <si>
    <t>12 (9.1)</t>
  </si>
  <si>
    <t>symphonic prog</t>
  </si>
  <si>
    <t>1 (8.9)</t>
  </si>
  <si>
    <t>8 (×230)</t>
  </si>
  <si>
    <t>-0.62 ← muy agrupadas</t>
  </si>
  <si>
    <t>259 (24.12%)</t>
  </si>
  <si>
    <t>208 (19.37%)</t>
  </si>
  <si>
    <t>progressive pop, pop rock</t>
  </si>
  <si>
    <t>Artista *</t>
  </si>
  <si>
    <t>classic rock, roots rock, blues rock</t>
  </si>
  <si>
    <t>103 de 103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</si>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</sst>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78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</fonts>
  <fills count="17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0EB4E6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B2E077"/>
        <bgColor indexed="64"/>
      </patternFill>
    </fill>
    <fill>
      <patternFill patternType="solid">
        <fgColor rgb="FFCDE765"/>
        <bgColor indexed="64"/>
      </patternFill>
    </fill>
    <fill>
      <patternFill patternType="solid">
        <fgColor rgb="FFCCE766"/>
        <bgColor indexed="64"/>
      </patternFill>
    </fill>
    <fill>
      <patternFill patternType="solid">
        <fgColor rgb="FF66CCAB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5C3C1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09B3EA"/>
        <bgColor indexed="64"/>
      </patternFill>
    </fill>
    <fill>
      <patternFill patternType="solid">
        <fgColor rgb="FF14B5E3"/>
        <bgColor indexed="64"/>
      </patternFill>
    </fill>
    <fill>
      <patternFill patternType="solid">
        <fgColor rgb="FF1EB8DC"/>
        <bgColor indexed="64"/>
      </patternFill>
    </fill>
    <fill>
      <patternFill patternType="solid">
        <fgColor rgb="FF21B9DA"/>
        <bgColor indexed="64"/>
      </patternFill>
    </fill>
    <fill>
      <patternFill patternType="solid">
        <fgColor rgb="FF2BBCD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3BC0C8"/>
        <bgColor indexed="64"/>
      </patternFill>
    </fill>
    <fill>
      <patternFill patternType="solid">
        <fgColor rgb="FF3EC1C6"/>
        <bgColor indexed="64"/>
      </patternFill>
    </fill>
    <fill>
      <patternFill patternType="solid">
        <fgColor rgb="FF46C3C1"/>
        <bgColor indexed="64"/>
      </patternFill>
    </fill>
    <fill>
      <patternFill patternType="solid">
        <fgColor rgb="FF48C4BF"/>
        <bgColor indexed="64"/>
      </patternFill>
    </fill>
    <fill>
      <patternFill patternType="solid">
        <fgColor rgb="FF50C6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94D88C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A0DB84"/>
        <bgColor indexed="64"/>
      </patternFill>
    </fill>
    <fill>
      <patternFill patternType="solid">
        <fgColor rgb="FFA2DC82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B0E079"/>
        <bgColor indexed="64"/>
      </patternFill>
    </fill>
    <fill>
      <patternFill patternType="solid">
        <fgColor rgb="FFBFE46E"/>
        <bgColor indexed="64"/>
      </patternFill>
    </fill>
    <fill>
      <patternFill patternType="solid">
        <fgColor rgb="FFC5E56A"/>
        <bgColor indexed="64"/>
      </patternFill>
    </fill>
    <fill>
      <patternFill patternType="solid">
        <fgColor rgb="FFC8E668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1ED57"/>
        <bgColor indexed="64"/>
      </patternFill>
    </fill>
    <fill>
      <patternFill patternType="solid">
        <fgColor rgb="FFF3F24B"/>
        <bgColor indexed="64"/>
      </patternFill>
    </fill>
    <fill>
      <patternFill patternType="solid">
        <fgColor rgb="FFFFF243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3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29" fillId="38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30" fillId="39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0" borderId="6" xfId="0" applyFont="1" applyBorder="1"/>
    <xf numFmtId="0" fontId="27" fillId="43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1" borderId="0" xfId="0" applyFont="1" applyFill="1" applyAlignment="1">
      <alignment horizontal="center"/>
    </xf>
    <xf numFmtId="0" fontId="27" fillId="42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4" borderId="4" xfId="0" applyFont="1" applyFill="1" applyBorder="1" applyAlignment="1">
      <alignment vertical="center"/>
    </xf>
    <xf numFmtId="0" fontId="40" fillId="46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47" borderId="0" xfId="0" applyFill="1"/>
    <xf numFmtId="0" fontId="0" fillId="36" borderId="0" xfId="0" applyFill="1" applyAlignment="1">
      <alignment horizontal="center"/>
    </xf>
    <xf numFmtId="0" fontId="0" fillId="47" borderId="0" xfId="0" applyFill="1" applyAlignment="1">
      <alignment horizontal="center"/>
    </xf>
    <xf numFmtId="0" fontId="44" fillId="48" borderId="4" xfId="0" applyFont="1" applyFill="1" applyBorder="1" applyAlignment="1">
      <alignment vertical="center"/>
    </xf>
    <xf numFmtId="0" fontId="46" fillId="49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1" fillId="0" borderId="9" xfId="0" applyFont="1" applyBorder="1"/>
    <xf numFmtId="0" fontId="49" fillId="51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29" fillId="55" borderId="0" xfId="0" applyFont="1" applyFill="1" applyAlignment="1">
      <alignment horizontal="center"/>
    </xf>
    <xf numFmtId="0" fontId="53" fillId="56" borderId="1" xfId="0" applyFont="1" applyFill="1" applyBorder="1" applyAlignment="1">
      <alignment vertical="center"/>
    </xf>
    <xf numFmtId="0" fontId="55" fillId="58" borderId="1" xfId="0" applyFont="1" applyFill="1" applyBorder="1" applyAlignment="1">
      <alignment vertical="center"/>
    </xf>
    <xf numFmtId="0" fontId="58" fillId="60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59" fillId="62" borderId="0" xfId="0" applyFont="1" applyFill="1" applyAlignment="1">
      <alignment vertical="center"/>
    </xf>
    <xf numFmtId="0" fontId="61" fillId="50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0" fillId="0" borderId="8" xfId="0" applyBorder="1"/>
    <xf numFmtId="0" fontId="54" fillId="56" borderId="0" xfId="0" applyFont="1" applyFill="1" applyAlignment="1">
      <alignment vertical="center"/>
    </xf>
    <xf numFmtId="0" fontId="65" fillId="64" borderId="0" xfId="0" applyFont="1" applyFill="1" applyAlignment="1">
      <alignment vertical="center"/>
    </xf>
    <xf numFmtId="0" fontId="67" fillId="63" borderId="8" xfId="0" applyFont="1" applyFill="1" applyBorder="1" applyAlignment="1">
      <alignment vertical="center"/>
    </xf>
    <xf numFmtId="0" fontId="69" fillId="61" borderId="0" xfId="0" applyFont="1" applyFill="1" applyAlignment="1">
      <alignment vertical="center"/>
    </xf>
    <xf numFmtId="0" fontId="71" fillId="59" borderId="4" xfId="0" applyFont="1" applyFill="1" applyBorder="1" applyAlignment="1">
      <alignment vertical="center"/>
    </xf>
    <xf numFmtId="0" fontId="53" fillId="57" borderId="4" xfId="0" applyFont="1" applyFill="1" applyBorder="1" applyAlignment="1">
      <alignment vertical="center"/>
    </xf>
    <xf numFmtId="0" fontId="73" fillId="54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3" borderId="1" xfId="0" applyFont="1" applyFill="1" applyBorder="1" applyAlignment="1">
      <alignment vertical="center"/>
    </xf>
    <xf numFmtId="0" fontId="79" fillId="52" borderId="1" xfId="0" applyFont="1" applyFill="1" applyBorder="1" applyAlignment="1">
      <alignment vertical="center"/>
    </xf>
    <xf numFmtId="0" fontId="81" fillId="50" borderId="1" xfId="0" applyFont="1" applyFill="1" applyBorder="1" applyAlignment="1">
      <alignment vertical="center"/>
    </xf>
    <xf numFmtId="0" fontId="83" fillId="45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48" borderId="4" xfId="0" applyFont="1" applyFill="1" applyBorder="1" applyAlignment="1">
      <alignment vertical="center"/>
    </xf>
    <xf numFmtId="0" fontId="115" fillId="65" borderId="0" xfId="0" applyFont="1" applyFill="1" applyAlignment="1">
      <alignment vertical="center"/>
    </xf>
    <xf numFmtId="0" fontId="117" fillId="66" borderId="0" xfId="0" applyFont="1" applyFill="1" applyAlignment="1">
      <alignment vertical="center"/>
    </xf>
    <xf numFmtId="0" fontId="80" fillId="67" borderId="0" xfId="0" applyFont="1" applyFill="1" applyAlignment="1">
      <alignment vertical="center"/>
    </xf>
    <xf numFmtId="0" fontId="67" fillId="13" borderId="0" xfId="0" applyFont="1" applyFill="1" applyAlignment="1">
      <alignment vertical="center"/>
    </xf>
    <xf numFmtId="0" fontId="119" fillId="57" borderId="0" xfId="0" applyFont="1" applyFill="1" applyAlignment="1">
      <alignment vertical="center"/>
    </xf>
    <xf numFmtId="0" fontId="121" fillId="6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0" fillId="0" borderId="4" xfId="0" applyBorder="1"/>
    <xf numFmtId="0" fontId="1" fillId="0" borderId="1" xfId="0" applyFont="1" applyBorder="1"/>
    <xf numFmtId="0" fontId="125" fillId="62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40" borderId="4" xfId="0" applyFont="1" applyFill="1" applyBorder="1" applyAlignment="1">
      <alignment vertical="center"/>
    </xf>
    <xf numFmtId="0" fontId="29" fillId="69" borderId="0" xfId="0" applyFont="1" applyFill="1" applyAlignment="1">
      <alignment horizontal="center"/>
    </xf>
    <xf numFmtId="0" fontId="29" fillId="70" borderId="0" xfId="0" applyFont="1" applyFill="1" applyAlignment="1">
      <alignment horizontal="center"/>
    </xf>
    <xf numFmtId="0" fontId="29" fillId="71" borderId="0" xfId="0" applyFont="1" applyFill="1" applyAlignment="1">
      <alignment horizontal="center"/>
    </xf>
    <xf numFmtId="0" fontId="29" fillId="72" borderId="0" xfId="0" applyFont="1" applyFill="1" applyAlignment="1">
      <alignment horizontal="center"/>
    </xf>
    <xf numFmtId="0" fontId="29" fillId="73" borderId="0" xfId="0" applyFont="1" applyFill="1" applyAlignment="1">
      <alignment horizontal="center"/>
    </xf>
    <xf numFmtId="0" fontId="29" fillId="74" borderId="0" xfId="0" applyFont="1" applyFill="1" applyAlignment="1">
      <alignment horizontal="center"/>
    </xf>
    <xf numFmtId="0" fontId="29" fillId="75" borderId="0" xfId="0" applyFont="1" applyFill="1" applyAlignment="1">
      <alignment horizontal="center"/>
    </xf>
    <xf numFmtId="0" fontId="29" fillId="76" borderId="0" xfId="0" applyFont="1" applyFill="1" applyAlignment="1">
      <alignment horizontal="center"/>
    </xf>
    <xf numFmtId="0" fontId="29" fillId="77" borderId="0" xfId="0" applyFont="1" applyFill="1" applyAlignment="1">
      <alignment horizontal="center"/>
    </xf>
    <xf numFmtId="0" fontId="29" fillId="78" borderId="0" xfId="0" applyFont="1" applyFill="1" applyAlignment="1">
      <alignment horizontal="center"/>
    </xf>
    <xf numFmtId="0" fontId="29" fillId="79" borderId="0" xfId="0" applyFont="1" applyFill="1" applyAlignment="1">
      <alignment horizont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0" fontId="29" fillId="82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67" fillId="83" borderId="0" xfId="0" applyFont="1" applyFill="1" applyAlignment="1">
      <alignment vertical="center"/>
    </xf>
    <xf numFmtId="0" fontId="132" fillId="85" borderId="0" xfId="0" applyFont="1" applyFill="1"/>
    <xf numFmtId="0" fontId="0" fillId="47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86" borderId="0" xfId="0" applyFont="1" applyFill="1" applyAlignment="1">
      <alignment vertical="center"/>
    </xf>
    <xf numFmtId="0" fontId="29" fillId="87" borderId="0" xfId="0" applyFont="1" applyFill="1" applyAlignment="1">
      <alignment horizontal="center"/>
    </xf>
    <xf numFmtId="0" fontId="29" fillId="88" borderId="0" xfId="0" applyFont="1" applyFill="1" applyAlignment="1">
      <alignment horizontal="center"/>
    </xf>
    <xf numFmtId="0" fontId="135" fillId="89" borderId="0" xfId="0" applyFont="1" applyFill="1" applyAlignment="1">
      <alignment vertical="center"/>
    </xf>
    <xf numFmtId="0" fontId="29" fillId="91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92" borderId="0" xfId="0" applyFont="1" applyFill="1" applyAlignment="1">
      <alignment vertical="center"/>
    </xf>
    <xf numFmtId="0" fontId="29" fillId="94" borderId="0" xfId="0" applyFont="1" applyFill="1" applyAlignment="1">
      <alignment horizontal="center"/>
    </xf>
    <xf numFmtId="0" fontId="29" fillId="95" borderId="0" xfId="0" applyFont="1" applyFill="1" applyAlignment="1">
      <alignment horizontal="center"/>
    </xf>
    <xf numFmtId="49" fontId="0" fillId="0" borderId="8" xfId="0" applyNumberFormat="1" applyBorder="1"/>
    <xf numFmtId="49" fontId="0" fillId="0" borderId="3" xfId="0" applyNumberFormat="1" applyBorder="1"/>
    <xf numFmtId="0" fontId="137" fillId="93" borderId="0" xfId="0" applyFont="1" applyFill="1" applyAlignment="1">
      <alignment vertical="center"/>
    </xf>
    <xf numFmtId="0" fontId="104" fillId="96" borderId="0" xfId="0" applyFont="1" applyFill="1" applyAlignment="1">
      <alignment vertical="center"/>
    </xf>
    <xf numFmtId="0" fontId="143" fillId="51" borderId="1" xfId="0" applyFont="1" applyFill="1" applyBorder="1" applyAlignment="1">
      <alignment vertical="center"/>
    </xf>
    <xf numFmtId="0" fontId="29" fillId="97" borderId="0" xfId="0" applyFont="1" applyFill="1" applyAlignment="1">
      <alignment horizontal="center"/>
    </xf>
    <xf numFmtId="0" fontId="145" fillId="98" borderId="0" xfId="0" applyFont="1" applyFill="1" applyAlignment="1">
      <alignment vertical="center"/>
    </xf>
    <xf numFmtId="0" fontId="147" fillId="45" borderId="0" xfId="0" applyFont="1" applyFill="1"/>
    <xf numFmtId="0" fontId="58" fillId="99" borderId="0" xfId="0" applyFont="1" applyFill="1" applyAlignment="1">
      <alignment vertical="center"/>
    </xf>
    <xf numFmtId="0" fontId="63" fillId="0" borderId="0" xfId="0" applyFont="1" applyAlignment="1">
      <alignment vertical="center"/>
    </xf>
    <xf numFmtId="0" fontId="29" fillId="101" borderId="0" xfId="0" applyFont="1" applyFill="1" applyAlignment="1">
      <alignment horizontal="center"/>
    </xf>
    <xf numFmtId="0" fontId="29" fillId="102" borderId="0" xfId="0" applyFont="1" applyFill="1" applyAlignment="1">
      <alignment horizontal="center"/>
    </xf>
    <xf numFmtId="0" fontId="149" fillId="103" borderId="0" xfId="0" applyFont="1" applyFill="1" applyAlignment="1">
      <alignment vertical="center"/>
    </xf>
    <xf numFmtId="0" fontId="29" fillId="104" borderId="0" xfId="0" applyFont="1" applyFill="1" applyAlignment="1">
      <alignment horizontal="center"/>
    </xf>
    <xf numFmtId="0" fontId="151" fillId="105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29" fillId="106" borderId="0" xfId="0" applyFont="1" applyFill="1" applyAlignment="1">
      <alignment horizontal="center"/>
    </xf>
    <xf numFmtId="0" fontId="155" fillId="100" borderId="0" xfId="0" applyFont="1" applyFill="1" applyAlignment="1">
      <alignment vertical="center"/>
    </xf>
    <xf numFmtId="0" fontId="29" fillId="108" borderId="0" xfId="0" applyFont="1" applyFill="1" applyAlignment="1">
      <alignment horizontal="center"/>
    </xf>
    <xf numFmtId="0" fontId="159" fillId="48" borderId="0" xfId="0" applyFont="1" applyFill="1" applyAlignment="1">
      <alignment vertical="center"/>
    </xf>
    <xf numFmtId="0" fontId="163" fillId="110" borderId="0" xfId="0" applyFont="1" applyFill="1" applyAlignment="1">
      <alignment vertical="center"/>
    </xf>
    <xf numFmtId="0" fontId="29" fillId="111" borderId="0" xfId="0" applyFont="1" applyFill="1" applyAlignment="1">
      <alignment horizontal="center"/>
    </xf>
    <xf numFmtId="0" fontId="67" fillId="113" borderId="0" xfId="0" applyFont="1" applyFill="1" applyAlignment="1">
      <alignment vertical="center"/>
    </xf>
    <xf numFmtId="0" fontId="45" fillId="112" borderId="0" xfId="0" applyFont="1" applyFill="1" applyAlignment="1">
      <alignment vertical="center"/>
    </xf>
    <xf numFmtId="0" fontId="157" fillId="107" borderId="0" xfId="0" applyFont="1" applyFill="1" applyAlignment="1">
      <alignment vertical="center"/>
    </xf>
    <xf numFmtId="0" fontId="161" fillId="109" borderId="2" xfId="0" applyFont="1" applyFill="1" applyBorder="1" applyAlignment="1">
      <alignment vertical="center"/>
    </xf>
    <xf numFmtId="10" fontId="0" fillId="47" borderId="0" xfId="0" applyNumberFormat="1" applyFill="1" applyAlignment="1">
      <alignment horizontal="right"/>
    </xf>
    <xf numFmtId="0" fontId="165" fillId="114" borderId="4" xfId="0" applyFont="1" applyFill="1" applyBorder="1" applyAlignment="1">
      <alignment vertical="center"/>
    </xf>
    <xf numFmtId="0" fontId="106" fillId="115" borderId="0" xfId="0" applyFont="1" applyFill="1" applyAlignment="1">
      <alignment vertical="center"/>
    </xf>
    <xf numFmtId="0" fontId="151" fillId="0" borderId="0" xfId="0" applyFont="1" applyAlignment="1">
      <alignment vertical="center"/>
    </xf>
    <xf numFmtId="0" fontId="163" fillId="0" borderId="4" xfId="0" applyFont="1" applyBorder="1"/>
    <xf numFmtId="0" fontId="67" fillId="83" borderId="1" xfId="0" applyFont="1" applyFill="1" applyBorder="1" applyAlignment="1">
      <alignment vertical="center"/>
    </xf>
    <xf numFmtId="0" fontId="167" fillId="116" borderId="1" xfId="0" applyFont="1" applyFill="1" applyBorder="1" applyAlignment="1">
      <alignment vertical="center"/>
    </xf>
    <xf numFmtId="0" fontId="168" fillId="90" borderId="0" xfId="0" applyFont="1" applyFill="1" applyAlignment="1">
      <alignment vertical="center"/>
    </xf>
    <xf numFmtId="0" fontId="35" fillId="117" borderId="1" xfId="0" applyFont="1" applyFill="1" applyBorder="1"/>
    <xf numFmtId="0" fontId="170" fillId="118" borderId="4" xfId="0" applyFont="1" applyFill="1" applyBorder="1" applyAlignment="1">
      <alignment vertical="center"/>
    </xf>
    <xf numFmtId="0" fontId="29" fillId="119" borderId="0" xfId="0" applyFont="1" applyFill="1" applyAlignment="1">
      <alignment horizontal="center"/>
    </xf>
    <xf numFmtId="0" fontId="167" fillId="120" borderId="1" xfId="0" applyFont="1" applyFill="1" applyBorder="1" applyAlignment="1">
      <alignment vertical="center"/>
    </xf>
    <xf numFmtId="0" fontId="29" fillId="121" borderId="0" xfId="0" applyFont="1" applyFill="1" applyAlignment="1">
      <alignment horizontal="center"/>
    </xf>
    <xf numFmtId="0" fontId="29" fillId="122" borderId="0" xfId="0" applyFont="1" applyFill="1" applyAlignment="1">
      <alignment horizontal="center"/>
    </xf>
    <xf numFmtId="0" fontId="29" fillId="123" borderId="0" xfId="0" applyFont="1" applyFill="1" applyAlignment="1">
      <alignment horizontal="center"/>
    </xf>
    <xf numFmtId="0" fontId="29" fillId="124" borderId="0" xfId="0" applyFont="1" applyFill="1" applyAlignment="1">
      <alignment horizontal="center"/>
    </xf>
    <xf numFmtId="0" fontId="29" fillId="125" borderId="0" xfId="0" applyFont="1" applyFill="1" applyAlignment="1">
      <alignment horizontal="center"/>
    </xf>
    <xf numFmtId="0" fontId="29" fillId="126" borderId="0" xfId="0" applyFont="1" applyFill="1" applyAlignment="1">
      <alignment horizontal="center"/>
    </xf>
    <xf numFmtId="0" fontId="29" fillId="127" borderId="0" xfId="0" applyFont="1" applyFill="1" applyAlignment="1">
      <alignment horizontal="center"/>
    </xf>
    <xf numFmtId="0" fontId="29" fillId="128" borderId="0" xfId="0" applyFont="1" applyFill="1" applyAlignment="1">
      <alignment horizontal="center"/>
    </xf>
    <xf numFmtId="0" fontId="29" fillId="129" borderId="0" xfId="0" applyFont="1" applyFill="1" applyAlignment="1">
      <alignment horizontal="center"/>
    </xf>
    <xf numFmtId="0" fontId="29" fillId="130" borderId="0" xfId="0" applyFont="1" applyFill="1" applyAlignment="1">
      <alignment horizontal="center"/>
    </xf>
    <xf numFmtId="0" fontId="29" fillId="131" borderId="0" xfId="0" applyFont="1" applyFill="1" applyAlignment="1">
      <alignment horizontal="center"/>
    </xf>
    <xf numFmtId="0" fontId="29" fillId="132" borderId="0" xfId="0" applyFont="1" applyFill="1" applyAlignment="1">
      <alignment horizontal="center"/>
    </xf>
    <xf numFmtId="0" fontId="29" fillId="133" borderId="0" xfId="0" applyFont="1" applyFill="1" applyAlignment="1">
      <alignment horizontal="center"/>
    </xf>
    <xf numFmtId="0" fontId="29" fillId="134" borderId="0" xfId="0" applyFont="1" applyFill="1" applyAlignment="1">
      <alignment horizontal="center"/>
    </xf>
    <xf numFmtId="0" fontId="29" fillId="135" borderId="0" xfId="0" applyFont="1" applyFill="1" applyAlignment="1">
      <alignment horizontal="center"/>
    </xf>
    <xf numFmtId="0" fontId="29" fillId="136" borderId="0" xfId="0" applyFont="1" applyFill="1" applyAlignment="1">
      <alignment horizontal="center"/>
    </xf>
    <xf numFmtId="0" fontId="29" fillId="137" borderId="0" xfId="0" applyFont="1" applyFill="1" applyAlignment="1">
      <alignment horizontal="center"/>
    </xf>
    <xf numFmtId="0" fontId="29" fillId="138" borderId="0" xfId="0" applyFont="1" applyFill="1" applyAlignment="1">
      <alignment horizontal="center"/>
    </xf>
    <xf numFmtId="0" fontId="29" fillId="139" borderId="0" xfId="0" applyFont="1" applyFill="1" applyAlignment="1">
      <alignment horizontal="center"/>
    </xf>
    <xf numFmtId="0" fontId="29" fillId="140" borderId="0" xfId="0" applyFont="1" applyFill="1" applyAlignment="1">
      <alignment horizontal="center"/>
    </xf>
    <xf numFmtId="0" fontId="29" fillId="141" borderId="0" xfId="0" applyFont="1" applyFill="1" applyAlignment="1">
      <alignment horizontal="center"/>
    </xf>
    <xf numFmtId="0" fontId="29" fillId="142" borderId="0" xfId="0" applyFont="1" applyFill="1" applyAlignment="1">
      <alignment horizont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29" fillId="146" borderId="0" xfId="0" applyFont="1" applyFill="1" applyAlignment="1">
      <alignment horizontal="center"/>
    </xf>
    <xf numFmtId="0" fontId="29" fillId="147" borderId="0" xfId="0" applyFont="1" applyFill="1" applyAlignment="1">
      <alignment horizontal="center"/>
    </xf>
    <xf numFmtId="0" fontId="29" fillId="148" borderId="0" xfId="0" applyFont="1" applyFill="1" applyAlignment="1">
      <alignment horizontal="center"/>
    </xf>
    <xf numFmtId="0" fontId="29" fillId="149" borderId="0" xfId="0" applyFont="1" applyFill="1" applyAlignment="1">
      <alignment horizontal="center"/>
    </xf>
    <xf numFmtId="0" fontId="29" fillId="150" borderId="0" xfId="0" applyFont="1" applyFill="1" applyAlignment="1">
      <alignment horizontal="center"/>
    </xf>
    <xf numFmtId="0" fontId="29" fillId="151" borderId="0" xfId="0" applyFont="1" applyFill="1" applyAlignment="1">
      <alignment horizontal="center"/>
    </xf>
    <xf numFmtId="0" fontId="29" fillId="152" borderId="0" xfId="0" applyFont="1" applyFill="1" applyAlignment="1">
      <alignment horizontal="center"/>
    </xf>
    <xf numFmtId="0" fontId="29" fillId="153" borderId="0" xfId="0" applyFont="1" applyFill="1" applyAlignment="1">
      <alignment horizontal="center"/>
    </xf>
    <xf numFmtId="0" fontId="29" fillId="154" borderId="0" xfId="0" applyFont="1" applyFill="1" applyAlignment="1">
      <alignment horizontal="center"/>
    </xf>
    <xf numFmtId="0" fontId="29" fillId="155" borderId="0" xfId="0" applyFont="1" applyFill="1" applyAlignment="1">
      <alignment horizontal="center"/>
    </xf>
    <xf numFmtId="0" fontId="29" fillId="156" borderId="0" xfId="0" applyFont="1" applyFill="1" applyAlignment="1">
      <alignment horizontal="center"/>
    </xf>
    <xf numFmtId="0" fontId="29" fillId="157" borderId="0" xfId="0" applyFont="1" applyFill="1" applyAlignment="1">
      <alignment horizontal="center"/>
    </xf>
    <xf numFmtId="0" fontId="29" fillId="158" borderId="0" xfId="0" applyFont="1" applyFill="1" applyAlignment="1">
      <alignment horizontal="center"/>
    </xf>
    <xf numFmtId="0" fontId="29" fillId="159" borderId="0" xfId="0" applyFont="1" applyFill="1" applyAlignment="1">
      <alignment horizontal="center"/>
    </xf>
    <xf numFmtId="0" fontId="29" fillId="160" borderId="0" xfId="0" applyFont="1" applyFill="1" applyAlignment="1">
      <alignment horizontal="center"/>
    </xf>
    <xf numFmtId="0" fontId="29" fillId="161" borderId="0" xfId="0" applyFont="1" applyFill="1" applyAlignment="1">
      <alignment horizontal="center"/>
    </xf>
    <xf numFmtId="0" fontId="29" fillId="162" borderId="0" xfId="0" applyFont="1" applyFill="1" applyAlignment="1">
      <alignment horizontal="center"/>
    </xf>
    <xf numFmtId="0" fontId="29" fillId="163" borderId="0" xfId="0" applyFont="1" applyFill="1" applyAlignment="1">
      <alignment horizontal="center"/>
    </xf>
    <xf numFmtId="0" fontId="29" fillId="164" borderId="0" xfId="0" applyFont="1" applyFill="1" applyAlignment="1">
      <alignment horizontal="center"/>
    </xf>
    <xf numFmtId="0" fontId="29" fillId="165" borderId="0" xfId="0" applyFont="1" applyFill="1" applyAlignment="1">
      <alignment horizontal="center"/>
    </xf>
    <xf numFmtId="0" fontId="29" fillId="166" borderId="0" xfId="0" applyFont="1" applyFill="1" applyAlignment="1">
      <alignment horizontal="center"/>
    </xf>
    <xf numFmtId="0" fontId="29" fillId="167" borderId="0" xfId="0" applyFont="1" applyFill="1" applyAlignment="1">
      <alignment horizontal="center"/>
    </xf>
    <xf numFmtId="0" fontId="29" fillId="168" borderId="0" xfId="0" applyFont="1" applyFill="1" applyAlignment="1">
      <alignment horizontal="center"/>
    </xf>
    <xf numFmtId="0" fontId="29" fillId="169" borderId="0" xfId="0" applyFont="1" applyFill="1" applyAlignment="1">
      <alignment horizontal="center"/>
    </xf>
    <xf numFmtId="0" fontId="29" fillId="170" borderId="0" xfId="0" applyFont="1" applyFill="1" applyAlignment="1">
      <alignment horizontal="center"/>
    </xf>
    <xf numFmtId="0" fontId="29" fillId="171" borderId="0" xfId="0" applyFont="1" applyFill="1" applyAlignment="1">
      <alignment horizontal="center"/>
    </xf>
    <xf numFmtId="0" fontId="29" fillId="172" borderId="0" xfId="0" applyFont="1" applyFill="1" applyAlignment="1">
      <alignment horizontal="center"/>
    </xf>
    <xf numFmtId="0" fontId="172" fillId="173" borderId="1" xfId="0" applyFont="1" applyFill="1" applyBorder="1" applyAlignment="1">
      <alignment vertical="center"/>
    </xf>
    <xf numFmtId="0" fontId="174" fillId="174" borderId="4" xfId="0" applyFont="1" applyFill="1" applyBorder="1" applyAlignment="1">
      <alignment vertical="center"/>
    </xf>
    <xf numFmtId="0" fontId="131" fillId="84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176" fillId="4" borderId="4" xfId="0" applyFont="1" applyFill="1" applyBorder="1" applyAlignment="1">
      <alignment vertical="center"/>
    </xf>
  </cellXfs>
  <cellStyles count="1">
    <cellStyle name="Normal" xfId="0" builtinId="0"/>
  </cellStyles>
  <dxfs count="706"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8037B8"/>
        </patternFill>
      </fill>
    </dxf>
    <dxf>
      <fill>
        <patternFill>
          <bgColor rgb="FFFFD700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8D006"/>
      <color rgb="FFF8AD06"/>
      <color rgb="FFFFA800"/>
      <color rgb="FFB5E4FF"/>
      <color rgb="FFF9B622"/>
      <color rgb="FFAAD6EF"/>
      <color rgb="FFDFEFE5"/>
      <color rgb="FF3E2A22"/>
      <color rgb="FFC3C2BC"/>
      <color rgb="FFEDD7B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['#', 'Artista', 'Álbum', 'Media', 'Mediana', 'Desv. Típica', 'Notas ≥10', 'Total Canciones', 'Interludios', 'Género'];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 [key: string]: string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500;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+ 1,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 [key: string]: keyof AlbumInfo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     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     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 //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+ 1,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+ 1,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+ 2).getFormat().getFill().setColor(getColorForScore(albums[i].media));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+ 1, // +1 para incluir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 [artista: string]: AlbumInfo[]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generos?: string[]; // Opcional, para mostrar géneros únicos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artistasStats: ArtistaStats[]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+ 2; // +1 para headers, +1 para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+ 1,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+ 1,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+ 1,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+ 2).getFormat().getFill().setColor(getColorForScore(artistasStats[i].media));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? (notasOrd[n / 2 - 1] + notasOrd[n / 2]) /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: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 [nota: string]: number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 [g: string]: { count: number, totalMedia: number }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 count: 0, totalMedia: 0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 nombre: g, count: generoStatsMap[g].count, media: rd(generoStatsMap[g].totalMedia / generoStatsMap[g].count)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0.2)</a:t>
          </a:r>
        </a:p>
        <a:p>
          <a:r>
            <a:rPr lang="es-ES_tradnl" sz="1100"/>
            <a:t>+ ((C - B) * 0.15)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topLeftCell="I1" zoomScaleNormal="100" workbookViewId="0">
      <pane ySplit="1" topLeftCell="A259" activePane="bottomLeft" state="frozen"/>
      <selection pane="bottomLeft" activeCell="J279" sqref="J279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3.8984375" bestFit="1" customWidth="1"/>
    <col min="19" max="19" width="25.69921875" bestFit="1" customWidth="1"/>
    <col min="20" max="20" width="37" bestFit="1" customWidth="1"/>
    <col min="21" max="21" width="7.3984375" bestFit="1" customWidth="1"/>
    <col min="22" max="22" width="13.5" style="16" bestFit="1" customWidth="1"/>
    <col min="23" max="23" width="8.09765625" style="16" bestFit="1" customWidth="1"/>
    <col min="24" max="24" width="10.8984375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5.3984375" bestFit="1" customWidth="1"/>
    <col min="29" max="29" width="7.69921875" customWidth="1"/>
    <col min="30" max="30" width="27.19921875" hidden="1" customWidth="1"/>
    <col min="31" max="31" width="27.3984375" bestFit="1" customWidth="1"/>
    <col min="32" max="32" width="34" bestFit="1" customWidth="1"/>
    <col min="34" max="34" width="14" bestFit="1" customWidth="1"/>
    <col min="35" max="35" width="39.5" customWidth="1"/>
    <col min="36" max="36" width="6.19921875" bestFit="1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</cols>
  <sheetData>
    <row r="1" spans="1:47" ht="16.05" customHeight="1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68" t="s">
        <v>1387</v>
      </c>
      <c r="S1" s="268"/>
      <c r="T1" s="268"/>
      <c r="U1" s="268"/>
      <c r="V1" s="268"/>
      <c r="W1" s="268"/>
      <c r="X1" s="268"/>
      <c r="Y1" s="268"/>
      <c r="Z1" s="268"/>
      <c r="AA1" s="268"/>
      <c r="AB1" s="268"/>
      <c r="AE1" s="268" t="s">
        <v>1059</v>
      </c>
      <c r="AF1" s="268"/>
    </row>
    <row r="2" spans="1:47" ht="16.05" customHeight="1" thickBot="1">
      <c r="A2" s="125" t="s">
        <v>917</v>
      </c>
      <c r="B2" s="3">
        <f>ROUND(SUM(B3:B14)/COUNT(B3:B14), 2)</f>
        <v>9.89</v>
      </c>
      <c r="C2" s="4"/>
      <c r="D2" s="126" t="s">
        <v>918</v>
      </c>
      <c r="E2" s="14">
        <f>ROUND(SUM(E3:E12)/COUNT(E3:E12), 2)</f>
        <v>9.6999999999999993</v>
      </c>
      <c r="F2" s="4"/>
      <c r="G2" s="170" t="s">
        <v>1225</v>
      </c>
      <c r="H2" s="3">
        <f>ROUND(SUM(H3:H15)/COUNT(H3:H15), 2)</f>
        <v>8.65</v>
      </c>
      <c r="I2" s="4"/>
      <c r="J2" s="70" t="s">
        <v>462</v>
      </c>
      <c r="K2" s="3">
        <f>ROUND(SUM(K3:K12)/COUNT(K3:K12), 2)</f>
        <v>9.15</v>
      </c>
      <c r="L2" s="4"/>
      <c r="M2" s="27" t="s">
        <v>331</v>
      </c>
      <c r="N2" s="3">
        <f>ROUND(SUM(N3:N12)/COUNT(N3:N12), 2)</f>
        <v>9.44</v>
      </c>
      <c r="O2" s="22"/>
      <c r="R2" s="56" t="s">
        <v>368</v>
      </c>
      <c r="S2" s="56" t="s">
        <v>1696</v>
      </c>
      <c r="T2" s="56" t="s">
        <v>336</v>
      </c>
      <c r="U2" s="56" t="s">
        <v>337</v>
      </c>
      <c r="V2" s="56" t="s">
        <v>1029</v>
      </c>
      <c r="W2" s="56" t="s">
        <v>533</v>
      </c>
      <c r="X2" s="56" t="s">
        <v>338</v>
      </c>
      <c r="Y2" s="56" t="s">
        <v>339</v>
      </c>
      <c r="Z2" s="56" t="s">
        <v>340</v>
      </c>
      <c r="AA2" s="56" t="s">
        <v>341</v>
      </c>
      <c r="AB2" s="56" t="s">
        <v>795</v>
      </c>
      <c r="AE2" s="161" t="s">
        <v>1060</v>
      </c>
      <c r="AF2" s="161"/>
      <c r="AK2" t="s">
        <v>428</v>
      </c>
    </row>
    <row r="3" spans="1:47" ht="16.05" customHeight="1">
      <c r="A3" s="6" t="s">
        <v>0</v>
      </c>
      <c r="B3" s="50">
        <v>10</v>
      </c>
      <c r="C3" s="4"/>
      <c r="D3" s="6" t="s">
        <v>12</v>
      </c>
      <c r="E3" s="50">
        <v>10</v>
      </c>
      <c r="F3" s="4"/>
      <c r="G3" s="6" t="s">
        <v>22</v>
      </c>
      <c r="H3" s="50">
        <v>8.5</v>
      </c>
      <c r="I3" s="4"/>
      <c r="J3" s="6" t="s">
        <v>35</v>
      </c>
      <c r="K3" s="50">
        <v>9.5</v>
      </c>
      <c r="L3" s="4"/>
      <c r="M3" s="6" t="s">
        <v>45</v>
      </c>
      <c r="N3" s="50"/>
      <c r="O3" s="22"/>
      <c r="R3" s="67">
        <v>1</v>
      </c>
      <c r="S3" s="57" t="s">
        <v>1503</v>
      </c>
      <c r="T3" s="57" t="s">
        <v>1504</v>
      </c>
      <c r="U3" s="76">
        <v>8.83</v>
      </c>
      <c r="V3" s="240">
        <v>8.69</v>
      </c>
      <c r="W3" s="57">
        <v>8.5</v>
      </c>
      <c r="X3" s="57">
        <v>0.57999999999999996</v>
      </c>
      <c r="Y3" s="57">
        <v>1</v>
      </c>
      <c r="Z3" s="57">
        <v>9</v>
      </c>
      <c r="AA3" s="57">
        <v>0</v>
      </c>
      <c r="AB3" s="57" t="s">
        <v>1508</v>
      </c>
      <c r="AE3" s="75" t="s">
        <v>1061</v>
      </c>
      <c r="AF3" s="162">
        <v>103</v>
      </c>
      <c r="AQ3" s="46"/>
      <c r="AR3" s="43"/>
      <c r="AS3" s="2" t="s">
        <v>252</v>
      </c>
      <c r="AT3" t="s">
        <v>281</v>
      </c>
    </row>
    <row r="4" spans="1:47" ht="16.05" customHeight="1">
      <c r="A4" s="6" t="s">
        <v>1</v>
      </c>
      <c r="B4" s="51"/>
      <c r="C4" s="4"/>
      <c r="D4" s="28" t="s">
        <v>13</v>
      </c>
      <c r="E4" s="51">
        <v>9</v>
      </c>
      <c r="F4" s="4"/>
      <c r="G4" s="6" t="s">
        <v>23</v>
      </c>
      <c r="H4" s="51">
        <v>9</v>
      </c>
      <c r="I4" s="4"/>
      <c r="J4" s="6" t="s">
        <v>36</v>
      </c>
      <c r="K4" s="51">
        <v>10</v>
      </c>
      <c r="L4" s="4"/>
      <c r="M4" s="6" t="s">
        <v>46</v>
      </c>
      <c r="N4" s="51">
        <v>9</v>
      </c>
      <c r="O4" s="22"/>
      <c r="R4" s="68">
        <v>2</v>
      </c>
      <c r="S4" s="75" t="s">
        <v>1573</v>
      </c>
      <c r="T4" s="75" t="s">
        <v>1574</v>
      </c>
      <c r="U4" s="77">
        <v>8.75</v>
      </c>
      <c r="V4" s="148">
        <v>8.64</v>
      </c>
      <c r="W4" s="75">
        <v>8.75</v>
      </c>
      <c r="X4" s="75">
        <v>0.75</v>
      </c>
      <c r="Y4" s="75">
        <v>2</v>
      </c>
      <c r="Z4" s="75">
        <v>10</v>
      </c>
      <c r="AA4" s="75">
        <v>0</v>
      </c>
      <c r="AB4" s="75" t="s">
        <v>1576</v>
      </c>
      <c r="AE4" s="57" t="s">
        <v>1062</v>
      </c>
      <c r="AF4" s="163">
        <v>70</v>
      </c>
      <c r="AQ4" s="44"/>
      <c r="AR4" s="43">
        <v>10</v>
      </c>
      <c r="AS4" s="2" t="s">
        <v>248</v>
      </c>
      <c r="AT4" t="s">
        <v>254</v>
      </c>
    </row>
    <row r="5" spans="1:47" ht="16.05" customHeight="1">
      <c r="A5" s="6" t="s">
        <v>2</v>
      </c>
      <c r="B5" s="51">
        <v>9.5</v>
      </c>
      <c r="C5" s="4"/>
      <c r="D5" s="6" t="s">
        <v>14</v>
      </c>
      <c r="E5" s="51">
        <v>10.5</v>
      </c>
      <c r="F5" s="4"/>
      <c r="G5" s="6" t="s">
        <v>24</v>
      </c>
      <c r="H5" s="51">
        <v>8</v>
      </c>
      <c r="I5" s="4"/>
      <c r="J5" s="6" t="s">
        <v>37</v>
      </c>
      <c r="K5" s="51">
        <v>8.5</v>
      </c>
      <c r="L5" s="4"/>
      <c r="M5" s="6" t="s">
        <v>47</v>
      </c>
      <c r="N5" s="51">
        <v>7.5</v>
      </c>
      <c r="O5" s="22"/>
      <c r="R5" s="69">
        <v>3</v>
      </c>
      <c r="S5" s="57" t="s">
        <v>363</v>
      </c>
      <c r="T5" s="57" t="s">
        <v>162</v>
      </c>
      <c r="U5" s="76">
        <v>8.3800000000000008</v>
      </c>
      <c r="V5" s="187">
        <v>8.18</v>
      </c>
      <c r="W5" s="57">
        <v>8.25</v>
      </c>
      <c r="X5" s="57">
        <v>1.06</v>
      </c>
      <c r="Y5" s="57">
        <v>2</v>
      </c>
      <c r="Z5" s="57">
        <v>12</v>
      </c>
      <c r="AA5" s="57">
        <v>0</v>
      </c>
      <c r="AB5" s="57" t="s">
        <v>847</v>
      </c>
      <c r="AE5" s="75" t="s">
        <v>1063</v>
      </c>
      <c r="AF5" s="162">
        <v>1127</v>
      </c>
      <c r="AQ5" s="48"/>
      <c r="AR5" s="43" t="s">
        <v>244</v>
      </c>
      <c r="AS5" s="2" t="s">
        <v>249</v>
      </c>
      <c r="AT5" t="s">
        <v>255</v>
      </c>
    </row>
    <row r="6" spans="1:47" ht="16.05" customHeight="1">
      <c r="A6" s="6" t="s">
        <v>3</v>
      </c>
      <c r="B6" s="51"/>
      <c r="C6" s="4"/>
      <c r="D6" s="6" t="s">
        <v>16</v>
      </c>
      <c r="E6" s="51">
        <v>10.5</v>
      </c>
      <c r="F6" s="4"/>
      <c r="G6" s="6" t="s">
        <v>25</v>
      </c>
      <c r="H6" s="51">
        <v>9.5</v>
      </c>
      <c r="I6" s="4"/>
      <c r="J6" s="6" t="s">
        <v>38</v>
      </c>
      <c r="K6" s="51">
        <v>8</v>
      </c>
      <c r="L6" s="4"/>
      <c r="M6" s="6" t="s">
        <v>48</v>
      </c>
      <c r="N6" s="51">
        <v>10.5</v>
      </c>
      <c r="O6" s="22"/>
      <c r="R6" s="66">
        <v>4</v>
      </c>
      <c r="S6" s="75" t="s">
        <v>1547</v>
      </c>
      <c r="T6" s="75" t="s">
        <v>1548</v>
      </c>
      <c r="U6" s="77">
        <v>8.73</v>
      </c>
      <c r="V6" s="169">
        <v>8.7100000000000009</v>
      </c>
      <c r="W6" s="75">
        <v>8.5</v>
      </c>
      <c r="X6" s="75">
        <v>0.75</v>
      </c>
      <c r="Y6" s="75">
        <v>1</v>
      </c>
      <c r="Z6" s="75">
        <v>13</v>
      </c>
      <c r="AA6" s="75">
        <v>0</v>
      </c>
      <c r="AB6" s="75" t="s">
        <v>1549</v>
      </c>
      <c r="AE6" s="57" t="s">
        <v>1064</v>
      </c>
      <c r="AF6" s="163">
        <v>1074</v>
      </c>
      <c r="AQ6" s="47"/>
      <c r="AR6" s="43" t="s">
        <v>245</v>
      </c>
      <c r="AS6" s="2" t="s">
        <v>250</v>
      </c>
      <c r="AT6" t="s">
        <v>256</v>
      </c>
    </row>
    <row r="7" spans="1:47" ht="16.05" customHeight="1">
      <c r="A7" s="6" t="s">
        <v>4</v>
      </c>
      <c r="B7" s="51">
        <v>10.5</v>
      </c>
      <c r="C7" s="4"/>
      <c r="D7" s="6" t="s">
        <v>15</v>
      </c>
      <c r="E7" s="51">
        <v>10</v>
      </c>
      <c r="F7" s="4"/>
      <c r="G7" s="6" t="s">
        <v>26</v>
      </c>
      <c r="H7" s="51">
        <v>10</v>
      </c>
      <c r="I7" s="4"/>
      <c r="J7" s="6" t="s">
        <v>39</v>
      </c>
      <c r="K7" s="51">
        <v>10.5</v>
      </c>
      <c r="L7" s="4"/>
      <c r="M7" s="6" t="s">
        <v>49</v>
      </c>
      <c r="N7" s="51">
        <v>10.5</v>
      </c>
      <c r="O7" s="22"/>
      <c r="R7" s="66">
        <v>5</v>
      </c>
      <c r="S7" s="57" t="s">
        <v>1320</v>
      </c>
      <c r="T7" s="57" t="s">
        <v>1310</v>
      </c>
      <c r="U7" s="76">
        <v>8.4499999999999993</v>
      </c>
      <c r="V7" s="153">
        <v>8.32</v>
      </c>
      <c r="W7" s="57">
        <v>8.5</v>
      </c>
      <c r="X7" s="57">
        <v>0.78</v>
      </c>
      <c r="Y7" s="57">
        <v>1</v>
      </c>
      <c r="Z7" s="57">
        <v>11</v>
      </c>
      <c r="AA7" s="57">
        <v>0</v>
      </c>
      <c r="AB7" s="57" t="s">
        <v>1321</v>
      </c>
      <c r="AE7" s="75" t="s">
        <v>341</v>
      </c>
      <c r="AF7" s="162">
        <v>53</v>
      </c>
      <c r="AQ7" s="45"/>
      <c r="AR7" s="43" t="s">
        <v>246</v>
      </c>
      <c r="AS7" s="2" t="s">
        <v>251</v>
      </c>
      <c r="AT7" t="s">
        <v>257</v>
      </c>
    </row>
    <row r="8" spans="1:47" ht="16.05" customHeight="1">
      <c r="A8" s="6" t="s">
        <v>5</v>
      </c>
      <c r="B8" s="51">
        <v>10.5</v>
      </c>
      <c r="C8" s="4"/>
      <c r="D8" s="6" t="s">
        <v>17</v>
      </c>
      <c r="E8" s="51">
        <v>8.5</v>
      </c>
      <c r="F8" s="4"/>
      <c r="G8" s="6" t="s">
        <v>27</v>
      </c>
      <c r="H8" s="51">
        <v>10</v>
      </c>
      <c r="I8" s="4"/>
      <c r="J8" s="6" t="s">
        <v>40</v>
      </c>
      <c r="K8" s="51">
        <v>8.5</v>
      </c>
      <c r="L8" s="4"/>
      <c r="M8" s="6" t="s">
        <v>50</v>
      </c>
      <c r="N8" s="51">
        <v>10</v>
      </c>
      <c r="O8" s="22"/>
      <c r="R8" s="66">
        <v>6</v>
      </c>
      <c r="S8" s="75" t="s">
        <v>793</v>
      </c>
      <c r="T8" s="75" t="s">
        <v>794</v>
      </c>
      <c r="U8" s="77">
        <v>8.67</v>
      </c>
      <c r="V8" s="151">
        <v>8.5299999999999994</v>
      </c>
      <c r="W8" s="75">
        <v>8.5</v>
      </c>
      <c r="X8" s="75">
        <v>0.75</v>
      </c>
      <c r="Y8" s="75">
        <v>1</v>
      </c>
      <c r="Z8" s="75">
        <v>6</v>
      </c>
      <c r="AA8" s="75">
        <v>0</v>
      </c>
      <c r="AB8" s="75" t="s">
        <v>797</v>
      </c>
      <c r="AE8" s="57" t="s">
        <v>1065</v>
      </c>
      <c r="AF8" s="163">
        <v>10.94</v>
      </c>
      <c r="AQ8" s="55"/>
      <c r="AR8" s="43" t="s">
        <v>328</v>
      </c>
      <c r="AS8" s="2" t="s">
        <v>329</v>
      </c>
      <c r="AT8" t="s">
        <v>330</v>
      </c>
    </row>
    <row r="9" spans="1:47" ht="16.05" customHeight="1">
      <c r="A9" s="6" t="s">
        <v>6</v>
      </c>
      <c r="B9" s="51">
        <v>9</v>
      </c>
      <c r="C9" s="4"/>
      <c r="D9" s="6" t="s">
        <v>18</v>
      </c>
      <c r="E9" s="51">
        <v>10.5</v>
      </c>
      <c r="F9" s="4"/>
      <c r="G9" s="6" t="s">
        <v>28</v>
      </c>
      <c r="H9" s="51">
        <v>9</v>
      </c>
      <c r="I9" s="4"/>
      <c r="J9" s="6" t="s">
        <v>41</v>
      </c>
      <c r="K9" s="51">
        <v>9</v>
      </c>
      <c r="L9" s="4"/>
      <c r="M9" s="6" t="s">
        <v>51</v>
      </c>
      <c r="N9" s="51">
        <v>9.5</v>
      </c>
      <c r="O9" s="22"/>
      <c r="R9" s="66">
        <v>7</v>
      </c>
      <c r="S9" s="57" t="s">
        <v>1224</v>
      </c>
      <c r="T9" s="57" t="s">
        <v>1621</v>
      </c>
      <c r="U9" s="76">
        <v>8.7200000000000006</v>
      </c>
      <c r="V9" s="234">
        <v>8.82</v>
      </c>
      <c r="W9" s="57">
        <v>8.5</v>
      </c>
      <c r="X9" s="57">
        <v>1.03</v>
      </c>
      <c r="Y9" s="57">
        <v>5</v>
      </c>
      <c r="Z9" s="57">
        <v>24</v>
      </c>
      <c r="AA9" s="57">
        <v>1</v>
      </c>
      <c r="AB9" s="57" t="s">
        <v>1625</v>
      </c>
      <c r="AE9" s="75" t="s">
        <v>1066</v>
      </c>
      <c r="AF9" s="202">
        <v>4.7E-2</v>
      </c>
      <c r="AQ9" s="49"/>
      <c r="AS9" s="2" t="s">
        <v>258</v>
      </c>
      <c r="AT9" t="s">
        <v>259</v>
      </c>
    </row>
    <row r="10" spans="1:47" ht="16.05" customHeight="1">
      <c r="A10" s="6" t="s">
        <v>7</v>
      </c>
      <c r="B10" s="51">
        <v>10.5</v>
      </c>
      <c r="C10" s="4"/>
      <c r="D10" s="6" t="s">
        <v>19</v>
      </c>
      <c r="E10" s="51">
        <v>9.5</v>
      </c>
      <c r="F10" s="4"/>
      <c r="G10" s="6" t="s">
        <v>29</v>
      </c>
      <c r="H10" s="51">
        <v>7.5</v>
      </c>
      <c r="I10" s="4"/>
      <c r="J10" s="6" t="s">
        <v>42</v>
      </c>
      <c r="K10" s="51">
        <v>9</v>
      </c>
      <c r="L10" s="4"/>
      <c r="M10" s="6" t="s">
        <v>52</v>
      </c>
      <c r="N10" s="51">
        <v>8.5</v>
      </c>
      <c r="O10" s="22"/>
      <c r="R10" s="66">
        <v>8</v>
      </c>
      <c r="S10" s="75" t="s">
        <v>1670</v>
      </c>
      <c r="T10" s="75" t="s">
        <v>1671</v>
      </c>
      <c r="U10" s="77">
        <v>8.9</v>
      </c>
      <c r="V10" s="234">
        <v>8.82</v>
      </c>
      <c r="W10" s="75">
        <v>9</v>
      </c>
      <c r="X10" s="75">
        <v>0.66</v>
      </c>
      <c r="Y10" s="75">
        <v>1</v>
      </c>
      <c r="Z10" s="75">
        <v>5</v>
      </c>
      <c r="AA10" s="75">
        <v>0</v>
      </c>
      <c r="AB10" s="75" t="s">
        <v>1672</v>
      </c>
    </row>
    <row r="11" spans="1:47" ht="16.05" customHeight="1">
      <c r="A11" s="6" t="s">
        <v>8</v>
      </c>
      <c r="B11" s="51">
        <v>9</v>
      </c>
      <c r="C11" s="4"/>
      <c r="D11" s="6" t="s">
        <v>20</v>
      </c>
      <c r="E11" s="51">
        <v>10.5</v>
      </c>
      <c r="F11" s="4"/>
      <c r="G11" s="6" t="s">
        <v>30</v>
      </c>
      <c r="H11" s="51">
        <v>7.5</v>
      </c>
      <c r="I11" s="4"/>
      <c r="J11" s="6" t="s">
        <v>43</v>
      </c>
      <c r="K11" s="51">
        <v>8.5</v>
      </c>
      <c r="L11" s="4"/>
      <c r="M11" s="6" t="s">
        <v>53</v>
      </c>
      <c r="N11" s="51">
        <v>9.5</v>
      </c>
      <c r="O11" s="22"/>
      <c r="R11" s="66">
        <v>9</v>
      </c>
      <c r="S11" s="57" t="s">
        <v>1271</v>
      </c>
      <c r="T11" s="57" t="s">
        <v>1272</v>
      </c>
      <c r="U11" s="76">
        <v>8.57</v>
      </c>
      <c r="V11" s="244">
        <v>8.5399999999999991</v>
      </c>
      <c r="W11" s="57">
        <v>8.5</v>
      </c>
      <c r="X11" s="57">
        <v>1.01</v>
      </c>
      <c r="Y11" s="57">
        <v>3</v>
      </c>
      <c r="Z11" s="57">
        <v>15</v>
      </c>
      <c r="AA11" s="57">
        <v>0</v>
      </c>
      <c r="AB11" s="57" t="s">
        <v>1276</v>
      </c>
      <c r="AE11" s="161" t="s">
        <v>1067</v>
      </c>
      <c r="AF11" s="161"/>
      <c r="AI11" s="86"/>
      <c r="AQ11" s="17" t="s">
        <v>163</v>
      </c>
      <c r="AR11" s="17"/>
      <c r="AU11" s="18" cm="1">
        <f t="array" ref="AU11">ROUND(CORREL(V3:V75,Z3:Z75-AA3:AA75),3)</f>
        <v>-0.34200000000000003</v>
      </c>
    </row>
    <row r="12" spans="1:47" ht="16.05" customHeight="1" thickBot="1">
      <c r="A12" s="6" t="s">
        <v>9</v>
      </c>
      <c r="B12" s="51">
        <v>10.5</v>
      </c>
      <c r="C12" s="4"/>
      <c r="D12" s="9" t="s">
        <v>21</v>
      </c>
      <c r="E12" s="52">
        <v>8</v>
      </c>
      <c r="F12" s="4"/>
      <c r="G12" s="6" t="s">
        <v>31</v>
      </c>
      <c r="H12" s="51">
        <v>7.5</v>
      </c>
      <c r="I12" s="4"/>
      <c r="J12" s="9" t="s">
        <v>44</v>
      </c>
      <c r="K12" s="52">
        <v>10</v>
      </c>
      <c r="L12" s="4"/>
      <c r="M12" s="9" t="s">
        <v>54</v>
      </c>
      <c r="N12" s="52">
        <v>10</v>
      </c>
      <c r="O12" s="22"/>
      <c r="R12" s="66">
        <v>10</v>
      </c>
      <c r="S12" s="75" t="s">
        <v>1622</v>
      </c>
      <c r="T12" s="75" t="s">
        <v>1623</v>
      </c>
      <c r="U12" s="77">
        <v>8.67</v>
      </c>
      <c r="V12" s="87">
        <v>8.94</v>
      </c>
      <c r="W12" s="75">
        <v>8.5</v>
      </c>
      <c r="X12" s="75">
        <v>0.98</v>
      </c>
      <c r="Y12" s="75">
        <v>5</v>
      </c>
      <c r="Z12" s="75">
        <v>26</v>
      </c>
      <c r="AA12" s="75">
        <v>0</v>
      </c>
      <c r="AB12" s="75" t="s">
        <v>1625</v>
      </c>
      <c r="AE12" s="57" t="s">
        <v>1068</v>
      </c>
      <c r="AF12" s="163">
        <v>8.66</v>
      </c>
      <c r="AQ12" s="17" t="s">
        <v>164</v>
      </c>
      <c r="AR12" s="17"/>
      <c r="AS12" s="1"/>
      <c r="AT12" s="17"/>
      <c r="AU12" s="17"/>
    </row>
    <row r="13" spans="1:47" ht="16.05" customHeight="1" thickBot="1">
      <c r="A13" s="6" t="s">
        <v>10</v>
      </c>
      <c r="B13" s="51">
        <v>9.5</v>
      </c>
      <c r="C13" s="4"/>
      <c r="D13" s="4"/>
      <c r="E13" s="4"/>
      <c r="F13" s="4"/>
      <c r="G13" s="6" t="s">
        <v>32</v>
      </c>
      <c r="H13" s="51">
        <v>9</v>
      </c>
      <c r="I13" s="11"/>
      <c r="J13" s="11"/>
      <c r="K13" s="11"/>
      <c r="L13" s="11"/>
      <c r="M13" s="11"/>
      <c r="N13" s="11"/>
      <c r="O13" s="23"/>
      <c r="R13" s="66">
        <v>11</v>
      </c>
      <c r="S13" s="57" t="s">
        <v>413</v>
      </c>
      <c r="T13" s="57" t="s">
        <v>407</v>
      </c>
      <c r="U13" s="76">
        <v>8.6999999999999993</v>
      </c>
      <c r="V13" s="148">
        <v>8.64</v>
      </c>
      <c r="W13" s="57">
        <v>8.5</v>
      </c>
      <c r="X13" s="57">
        <v>1.08</v>
      </c>
      <c r="Y13" s="57">
        <v>2</v>
      </c>
      <c r="Z13" s="57">
        <v>10</v>
      </c>
      <c r="AA13" s="57">
        <v>0</v>
      </c>
      <c r="AB13" s="57" t="s">
        <v>786</v>
      </c>
      <c r="AE13" s="75" t="s">
        <v>1069</v>
      </c>
      <c r="AF13" s="162">
        <v>8.5</v>
      </c>
      <c r="AQ13" t="s">
        <v>1058</v>
      </c>
      <c r="AR13" s="17"/>
      <c r="AS13" s="1"/>
      <c r="AT13" s="17"/>
      <c r="AU13" s="17"/>
    </row>
    <row r="14" spans="1:47" ht="16.05" customHeight="1" thickBot="1">
      <c r="A14" s="6" t="s">
        <v>11</v>
      </c>
      <c r="B14" s="52"/>
      <c r="C14" s="4"/>
      <c r="D14" s="121" t="s">
        <v>913</v>
      </c>
      <c r="E14" s="3">
        <f>ROUND(SUM(E15:E27)/COUNT(E15:E27), 2)</f>
        <v>9.08</v>
      </c>
      <c r="F14" s="4"/>
      <c r="G14" s="6" t="s">
        <v>33</v>
      </c>
      <c r="H14" s="51">
        <v>8.5</v>
      </c>
      <c r="I14" s="11"/>
      <c r="J14" s="123" t="s">
        <v>915</v>
      </c>
      <c r="K14" s="3">
        <f>ROUND(SUM(K15:K23)/COUNT(K15:K23), 2)</f>
        <v>8.83</v>
      </c>
      <c r="L14" s="4"/>
      <c r="M14" s="124" t="s">
        <v>916</v>
      </c>
      <c r="N14" s="3">
        <f>ROUND(SUM(N15:N26)/COUNT(N15:N26), 2)</f>
        <v>8.67</v>
      </c>
      <c r="O14" s="22"/>
      <c r="R14" s="66">
        <v>12</v>
      </c>
      <c r="S14" s="75" t="s">
        <v>361</v>
      </c>
      <c r="T14" s="75" t="s">
        <v>1018</v>
      </c>
      <c r="U14" s="77">
        <v>8.73</v>
      </c>
      <c r="V14" s="147">
        <v>8.76</v>
      </c>
      <c r="W14" s="75">
        <v>9</v>
      </c>
      <c r="X14" s="75">
        <v>0.96</v>
      </c>
      <c r="Y14" s="75">
        <v>2</v>
      </c>
      <c r="Z14" s="75">
        <v>11</v>
      </c>
      <c r="AA14" s="75">
        <v>0</v>
      </c>
      <c r="AB14" s="75" t="s">
        <v>1024</v>
      </c>
      <c r="AE14" s="57" t="s">
        <v>1070</v>
      </c>
      <c r="AF14" s="163" t="s">
        <v>1691</v>
      </c>
    </row>
    <row r="15" spans="1:47" ht="16.05" customHeight="1" thickBot="1">
      <c r="A15" s="11"/>
      <c r="B15" s="11"/>
      <c r="C15" s="4"/>
      <c r="D15" s="6" t="s">
        <v>63</v>
      </c>
      <c r="E15" s="50">
        <v>9</v>
      </c>
      <c r="F15" s="4"/>
      <c r="G15" s="9" t="s">
        <v>34</v>
      </c>
      <c r="H15" s="52">
        <v>8.5</v>
      </c>
      <c r="I15" s="11"/>
      <c r="J15" s="6" t="s">
        <v>87</v>
      </c>
      <c r="K15" s="50">
        <v>9</v>
      </c>
      <c r="L15" s="4"/>
      <c r="M15" s="6" t="s">
        <v>96</v>
      </c>
      <c r="N15" s="50">
        <v>8.5</v>
      </c>
      <c r="O15" s="22"/>
      <c r="R15" s="66">
        <v>13</v>
      </c>
      <c r="S15" s="57" t="s">
        <v>361</v>
      </c>
      <c r="T15" s="57" t="s">
        <v>160</v>
      </c>
      <c r="U15" s="76">
        <v>8.65</v>
      </c>
      <c r="V15" s="192">
        <v>8.52</v>
      </c>
      <c r="W15" s="57">
        <v>8.5</v>
      </c>
      <c r="X15" s="57">
        <v>0.72</v>
      </c>
      <c r="Y15" s="57">
        <v>2</v>
      </c>
      <c r="Z15" s="57">
        <v>13</v>
      </c>
      <c r="AA15" s="57">
        <v>0</v>
      </c>
      <c r="AB15" s="57" t="s">
        <v>808</v>
      </c>
      <c r="AQ15" t="s">
        <v>391</v>
      </c>
    </row>
    <row r="16" spans="1:47" ht="16.05" customHeight="1" thickBot="1">
      <c r="A16" s="122" t="s">
        <v>914</v>
      </c>
      <c r="B16" s="3">
        <f>ROUND(SUM(B17:B24)/COUNT(B17:B24), 2)</f>
        <v>9.25</v>
      </c>
      <c r="C16" s="4"/>
      <c r="D16" s="6" t="s">
        <v>64</v>
      </c>
      <c r="E16" s="51">
        <v>10.5</v>
      </c>
      <c r="F16" s="11"/>
      <c r="G16" s="11"/>
      <c r="H16" s="11"/>
      <c r="I16" s="11"/>
      <c r="J16" s="6" t="s">
        <v>88</v>
      </c>
      <c r="K16" s="51">
        <v>10</v>
      </c>
      <c r="L16" s="4"/>
      <c r="M16" s="6" t="s">
        <v>97</v>
      </c>
      <c r="N16" s="51">
        <v>10</v>
      </c>
      <c r="O16" s="22"/>
      <c r="R16" s="66">
        <v>14</v>
      </c>
      <c r="S16" s="75" t="s">
        <v>353</v>
      </c>
      <c r="T16" s="75" t="s">
        <v>159</v>
      </c>
      <c r="U16" s="77">
        <v>9.08</v>
      </c>
      <c r="V16" s="167">
        <v>9.1</v>
      </c>
      <c r="W16" s="75">
        <v>9</v>
      </c>
      <c r="X16" s="75">
        <v>0.84</v>
      </c>
      <c r="Y16" s="75">
        <v>3</v>
      </c>
      <c r="Z16" s="75">
        <v>13</v>
      </c>
      <c r="AA16" s="75">
        <v>1</v>
      </c>
      <c r="AB16" s="75" t="s">
        <v>782</v>
      </c>
      <c r="AE16" s="161" t="s">
        <v>1071</v>
      </c>
      <c r="AF16" s="161"/>
    </row>
    <row r="17" spans="1:43" ht="16.05" customHeight="1" thickBot="1">
      <c r="A17" s="6" t="s">
        <v>55</v>
      </c>
      <c r="B17" s="50">
        <v>9.5</v>
      </c>
      <c r="C17" s="4"/>
      <c r="D17" s="6" t="s">
        <v>65</v>
      </c>
      <c r="E17" s="51">
        <v>10</v>
      </c>
      <c r="F17" s="12"/>
      <c r="G17" s="171" t="s">
        <v>1226</v>
      </c>
      <c r="H17" s="3">
        <f>ROUND(SUM(H18:H28)/COUNT(H18:H28), 2)</f>
        <v>8.68</v>
      </c>
      <c r="I17" s="11"/>
      <c r="J17" s="6" t="s">
        <v>89</v>
      </c>
      <c r="K17" s="51">
        <v>9.5</v>
      </c>
      <c r="L17" s="4"/>
      <c r="M17" s="6" t="s">
        <v>98</v>
      </c>
      <c r="N17" s="51">
        <v>8</v>
      </c>
      <c r="O17" s="22"/>
      <c r="R17" s="66">
        <v>15</v>
      </c>
      <c r="S17" s="57" t="s">
        <v>353</v>
      </c>
      <c r="T17" s="57" t="s">
        <v>649</v>
      </c>
      <c r="U17" s="76">
        <v>8.77</v>
      </c>
      <c r="V17" s="239">
        <v>8.73</v>
      </c>
      <c r="W17" s="57">
        <v>8.5</v>
      </c>
      <c r="X17" s="57">
        <v>0.99</v>
      </c>
      <c r="Y17" s="57">
        <v>3</v>
      </c>
      <c r="Z17" s="57">
        <v>13</v>
      </c>
      <c r="AA17" s="57">
        <v>0</v>
      </c>
      <c r="AB17" s="57" t="s">
        <v>782</v>
      </c>
      <c r="AE17" s="75" t="s">
        <v>1072</v>
      </c>
      <c r="AF17" s="162">
        <v>0.99</v>
      </c>
    </row>
    <row r="18" spans="1:43" ht="16.05" customHeight="1">
      <c r="A18" s="6" t="s">
        <v>56</v>
      </c>
      <c r="B18" s="51">
        <v>10</v>
      </c>
      <c r="C18" s="4"/>
      <c r="D18" s="6" t="s">
        <v>66</v>
      </c>
      <c r="E18" s="51">
        <v>9.5</v>
      </c>
      <c r="F18" s="12"/>
      <c r="G18" s="6" t="s">
        <v>76</v>
      </c>
      <c r="H18" s="50">
        <v>10</v>
      </c>
      <c r="I18" s="11"/>
      <c r="J18" s="6" t="s">
        <v>90</v>
      </c>
      <c r="K18" s="51">
        <v>8.5</v>
      </c>
      <c r="L18" s="4"/>
      <c r="M18" s="6" t="s">
        <v>99</v>
      </c>
      <c r="N18" s="51">
        <v>8.5</v>
      </c>
      <c r="O18" s="22"/>
      <c r="R18" s="66">
        <v>16</v>
      </c>
      <c r="S18" s="75" t="s">
        <v>353</v>
      </c>
      <c r="T18" s="75" t="s">
        <v>713</v>
      </c>
      <c r="U18" s="77">
        <v>8.07</v>
      </c>
      <c r="V18" s="189">
        <v>7.87</v>
      </c>
      <c r="W18" s="75">
        <v>8</v>
      </c>
      <c r="X18" s="75">
        <v>1.07</v>
      </c>
      <c r="Y18" s="75">
        <v>2</v>
      </c>
      <c r="Z18" s="75">
        <v>16</v>
      </c>
      <c r="AA18" s="75">
        <v>2</v>
      </c>
      <c r="AB18" s="75" t="s">
        <v>782</v>
      </c>
      <c r="AE18" s="57" t="s">
        <v>1073</v>
      </c>
      <c r="AF18" s="164">
        <v>0.1144</v>
      </c>
    </row>
    <row r="19" spans="1:43" ht="16.05" customHeight="1">
      <c r="A19" s="6" t="s">
        <v>57</v>
      </c>
      <c r="B19" s="51">
        <v>8.5</v>
      </c>
      <c r="C19" s="4"/>
      <c r="D19" s="6" t="s">
        <v>67</v>
      </c>
      <c r="E19" s="51">
        <v>8.5</v>
      </c>
      <c r="F19" s="12"/>
      <c r="G19" s="6" t="s">
        <v>77</v>
      </c>
      <c r="H19" s="51">
        <v>8.5</v>
      </c>
      <c r="I19" s="11"/>
      <c r="J19" s="6" t="s">
        <v>91</v>
      </c>
      <c r="K19" s="51">
        <v>7.5</v>
      </c>
      <c r="L19" s="4"/>
      <c r="M19" s="6" t="s">
        <v>100</v>
      </c>
      <c r="N19" s="51">
        <v>8.5</v>
      </c>
      <c r="O19" s="22"/>
      <c r="R19" s="66">
        <v>17</v>
      </c>
      <c r="S19" s="57" t="s">
        <v>353</v>
      </c>
      <c r="T19" s="57" t="s">
        <v>1628</v>
      </c>
      <c r="U19" s="76">
        <v>8</v>
      </c>
      <c r="V19" s="257">
        <v>7.75</v>
      </c>
      <c r="W19" s="57">
        <v>7.5</v>
      </c>
      <c r="X19" s="57">
        <v>0.88</v>
      </c>
      <c r="Y19" s="57">
        <v>0</v>
      </c>
      <c r="Z19" s="57">
        <v>10</v>
      </c>
      <c r="AA19" s="57">
        <v>1</v>
      </c>
      <c r="AB19" s="57" t="s">
        <v>1639</v>
      </c>
      <c r="AE19" s="75" t="s">
        <v>1074</v>
      </c>
      <c r="AF19" s="162" t="s">
        <v>1075</v>
      </c>
    </row>
    <row r="20" spans="1:43" ht="16.05" customHeight="1">
      <c r="A20" s="6" t="s">
        <v>58</v>
      </c>
      <c r="B20" s="51">
        <v>10</v>
      </c>
      <c r="C20" s="4"/>
      <c r="D20" s="6" t="s">
        <v>68</v>
      </c>
      <c r="E20" s="51"/>
      <c r="F20" s="12"/>
      <c r="G20" s="6" t="s">
        <v>78</v>
      </c>
      <c r="H20" s="51">
        <v>10</v>
      </c>
      <c r="I20" s="11"/>
      <c r="J20" s="6" t="s">
        <v>92</v>
      </c>
      <c r="K20" s="51">
        <v>8</v>
      </c>
      <c r="L20" s="4"/>
      <c r="M20" s="6" t="s">
        <v>101</v>
      </c>
      <c r="N20" s="51">
        <v>7.5</v>
      </c>
      <c r="O20" s="22"/>
      <c r="R20" s="66">
        <v>18</v>
      </c>
      <c r="S20" s="75" t="s">
        <v>514</v>
      </c>
      <c r="T20" s="75" t="s">
        <v>515</v>
      </c>
      <c r="U20" s="77">
        <v>7.67</v>
      </c>
      <c r="V20" s="157">
        <v>7.6</v>
      </c>
      <c r="W20" s="75">
        <v>8</v>
      </c>
      <c r="X20" s="75">
        <v>0.59</v>
      </c>
      <c r="Y20" s="75">
        <v>0</v>
      </c>
      <c r="Z20" s="75">
        <v>12</v>
      </c>
      <c r="AA20" s="75">
        <v>0</v>
      </c>
      <c r="AB20" s="75" t="s">
        <v>791</v>
      </c>
      <c r="AE20" s="57" t="s">
        <v>1076</v>
      </c>
      <c r="AF20" s="163" t="s">
        <v>1077</v>
      </c>
    </row>
    <row r="21" spans="1:43" ht="16.05" customHeight="1">
      <c r="A21" s="6" t="s">
        <v>59</v>
      </c>
      <c r="B21" s="51">
        <v>8.5</v>
      </c>
      <c r="C21" s="4"/>
      <c r="D21" s="6" t="s">
        <v>69</v>
      </c>
      <c r="E21" s="51">
        <v>9</v>
      </c>
      <c r="F21" s="12"/>
      <c r="G21" s="6" t="s">
        <v>79</v>
      </c>
      <c r="H21" s="51">
        <v>9</v>
      </c>
      <c r="I21" s="11"/>
      <c r="J21" s="6" t="s">
        <v>93</v>
      </c>
      <c r="K21" s="51">
        <v>8.5</v>
      </c>
      <c r="L21" s="4"/>
      <c r="M21" s="6" t="s">
        <v>102</v>
      </c>
      <c r="N21" s="51">
        <v>10</v>
      </c>
      <c r="O21" s="22"/>
      <c r="R21" s="66">
        <v>19</v>
      </c>
      <c r="S21" s="57" t="s">
        <v>1286</v>
      </c>
      <c r="T21" s="57" t="s">
        <v>1280</v>
      </c>
      <c r="U21" s="76">
        <v>8.75</v>
      </c>
      <c r="V21" s="242">
        <v>8.58</v>
      </c>
      <c r="W21" s="57">
        <v>8.5</v>
      </c>
      <c r="X21" s="57">
        <v>0.8</v>
      </c>
      <c r="Y21" s="57">
        <v>1</v>
      </c>
      <c r="Z21" s="57">
        <v>7</v>
      </c>
      <c r="AA21" s="57">
        <v>1</v>
      </c>
      <c r="AB21" s="57" t="s">
        <v>1289</v>
      </c>
      <c r="AQ21" t="s">
        <v>283</v>
      </c>
    </row>
    <row r="22" spans="1:43" ht="16.05" customHeight="1">
      <c r="A22" s="6" t="s">
        <v>60</v>
      </c>
      <c r="B22" s="51">
        <v>9</v>
      </c>
      <c r="C22" s="4"/>
      <c r="D22" s="6" t="s">
        <v>70</v>
      </c>
      <c r="E22" s="51">
        <v>8</v>
      </c>
      <c r="F22" s="12"/>
      <c r="G22" s="6" t="s">
        <v>80</v>
      </c>
      <c r="H22" s="51">
        <v>8</v>
      </c>
      <c r="I22" s="11"/>
      <c r="J22" s="6" t="s">
        <v>94</v>
      </c>
      <c r="K22" s="51">
        <v>8</v>
      </c>
      <c r="L22" s="4"/>
      <c r="M22" s="6" t="s">
        <v>103</v>
      </c>
      <c r="N22" s="51">
        <v>9</v>
      </c>
      <c r="O22" s="22"/>
      <c r="R22" s="66">
        <v>20</v>
      </c>
      <c r="S22" s="75" t="s">
        <v>1241</v>
      </c>
      <c r="T22" s="75" t="s">
        <v>1242</v>
      </c>
      <c r="U22" s="77">
        <v>7.71</v>
      </c>
      <c r="V22" s="156">
        <v>7.59</v>
      </c>
      <c r="W22" s="75">
        <v>7.5</v>
      </c>
      <c r="X22" s="75">
        <v>0.45</v>
      </c>
      <c r="Y22" s="75">
        <v>0</v>
      </c>
      <c r="Z22" s="75">
        <v>8</v>
      </c>
      <c r="AA22" s="75">
        <v>1</v>
      </c>
      <c r="AB22" s="75" t="s">
        <v>1244</v>
      </c>
      <c r="AE22" s="161" t="s">
        <v>1078</v>
      </c>
      <c r="AF22" s="161"/>
      <c r="AQ22" t="s">
        <v>284</v>
      </c>
    </row>
    <row r="23" spans="1:43" ht="16.05" customHeight="1" thickBot="1">
      <c r="A23" s="6" t="s">
        <v>61</v>
      </c>
      <c r="B23" s="51">
        <v>10.5</v>
      </c>
      <c r="C23" s="4"/>
      <c r="D23" s="6" t="s">
        <v>71</v>
      </c>
      <c r="E23" s="51">
        <v>10</v>
      </c>
      <c r="F23" s="12"/>
      <c r="G23" s="6" t="s">
        <v>81</v>
      </c>
      <c r="H23" s="51">
        <v>8.5</v>
      </c>
      <c r="I23" s="11"/>
      <c r="J23" s="9" t="s">
        <v>95</v>
      </c>
      <c r="K23" s="51">
        <v>10.5</v>
      </c>
      <c r="L23" s="4"/>
      <c r="M23" s="6" t="s">
        <v>104</v>
      </c>
      <c r="N23" s="51">
        <v>8.5</v>
      </c>
      <c r="O23" s="22"/>
      <c r="R23" s="66">
        <v>21</v>
      </c>
      <c r="S23" s="57" t="s">
        <v>357</v>
      </c>
      <c r="T23" s="57" t="s">
        <v>95</v>
      </c>
      <c r="U23" s="76">
        <v>8.83</v>
      </c>
      <c r="V23" s="236">
        <v>8.7899999999999991</v>
      </c>
      <c r="W23" s="57">
        <v>8.5</v>
      </c>
      <c r="X23" s="57">
        <v>0.94</v>
      </c>
      <c r="Y23" s="57">
        <v>2</v>
      </c>
      <c r="Z23" s="57">
        <v>9</v>
      </c>
      <c r="AA23" s="57">
        <v>0</v>
      </c>
      <c r="AB23" s="57" t="s">
        <v>784</v>
      </c>
      <c r="AE23" s="75" t="s">
        <v>1079</v>
      </c>
      <c r="AF23" s="162" t="s">
        <v>1657</v>
      </c>
      <c r="AQ23" t="s">
        <v>285</v>
      </c>
    </row>
    <row r="24" spans="1:43" ht="16.05" customHeight="1" thickBot="1">
      <c r="A24" s="9" t="s">
        <v>62</v>
      </c>
      <c r="B24" s="52">
        <v>8</v>
      </c>
      <c r="C24" s="4"/>
      <c r="D24" s="6" t="s">
        <v>72</v>
      </c>
      <c r="E24" s="51">
        <v>8.5</v>
      </c>
      <c r="F24" s="12"/>
      <c r="G24" s="6" t="s">
        <v>82</v>
      </c>
      <c r="H24" s="51">
        <v>8</v>
      </c>
      <c r="I24" s="11"/>
      <c r="J24" s="11"/>
      <c r="K24" s="11"/>
      <c r="L24" s="11"/>
      <c r="M24" s="6" t="s">
        <v>105</v>
      </c>
      <c r="N24" s="51">
        <v>7.5</v>
      </c>
      <c r="O24" s="22"/>
      <c r="R24" s="66">
        <v>22</v>
      </c>
      <c r="S24" s="75" t="s">
        <v>357</v>
      </c>
      <c r="T24" s="75" t="s">
        <v>357</v>
      </c>
      <c r="U24" s="77">
        <v>8.83</v>
      </c>
      <c r="V24" s="235">
        <v>8.81</v>
      </c>
      <c r="W24" s="75">
        <v>8.5</v>
      </c>
      <c r="X24" s="75">
        <v>0.82</v>
      </c>
      <c r="Y24" s="75">
        <v>2</v>
      </c>
      <c r="Z24" s="75">
        <v>9</v>
      </c>
      <c r="AA24" s="75">
        <v>0</v>
      </c>
      <c r="AB24" s="75" t="s">
        <v>1256</v>
      </c>
      <c r="AE24" s="57" t="s">
        <v>1080</v>
      </c>
      <c r="AF24" s="163" t="s">
        <v>1692</v>
      </c>
    </row>
    <row r="25" spans="1:43" ht="16.05" customHeight="1" thickBot="1">
      <c r="A25" s="4"/>
      <c r="B25" s="4"/>
      <c r="C25" s="4"/>
      <c r="D25" s="6" t="s">
        <v>73</v>
      </c>
      <c r="E25" s="51">
        <v>9.5</v>
      </c>
      <c r="F25" s="12"/>
      <c r="G25" s="6" t="s">
        <v>83</v>
      </c>
      <c r="H25" s="51">
        <v>9.5</v>
      </c>
      <c r="I25" s="11"/>
      <c r="J25" s="120" t="s">
        <v>912</v>
      </c>
      <c r="K25" s="3">
        <f>ROUND(SUM(K26:K38)/COUNT(K26:K38), 2)</f>
        <v>8.42</v>
      </c>
      <c r="L25" s="4"/>
      <c r="M25" s="6" t="s">
        <v>106</v>
      </c>
      <c r="N25" s="51">
        <v>9</v>
      </c>
      <c r="O25" s="22"/>
      <c r="R25" s="66">
        <v>23</v>
      </c>
      <c r="S25" s="57" t="s">
        <v>668</v>
      </c>
      <c r="T25" s="57" t="s">
        <v>669</v>
      </c>
      <c r="U25" s="76">
        <v>7.72</v>
      </c>
      <c r="V25" s="259">
        <v>7.65</v>
      </c>
      <c r="W25" s="57">
        <v>8</v>
      </c>
      <c r="X25" s="57">
        <v>0.57999999999999996</v>
      </c>
      <c r="Y25" s="57">
        <v>0</v>
      </c>
      <c r="Z25" s="57">
        <v>18</v>
      </c>
      <c r="AA25" s="57">
        <v>0</v>
      </c>
      <c r="AB25" s="57" t="s">
        <v>806</v>
      </c>
    </row>
    <row r="26" spans="1:43" ht="16.05" customHeight="1" thickBot="1">
      <c r="A26" s="172" t="s">
        <v>1227</v>
      </c>
      <c r="B26" s="3">
        <f>ROUND(SUM(B27:B31)/COUNT(B27:B31), 2)</f>
        <v>9.4</v>
      </c>
      <c r="C26" s="4"/>
      <c r="D26" s="6" t="s">
        <v>74</v>
      </c>
      <c r="E26" s="51">
        <v>7.5</v>
      </c>
      <c r="F26" s="12"/>
      <c r="G26" s="6" t="s">
        <v>84</v>
      </c>
      <c r="H26" s="51">
        <v>7.5</v>
      </c>
      <c r="I26" s="11"/>
      <c r="J26" s="6" t="s">
        <v>113</v>
      </c>
      <c r="K26" s="50">
        <v>10</v>
      </c>
      <c r="L26" s="4"/>
      <c r="M26" s="9" t="s">
        <v>107</v>
      </c>
      <c r="N26" s="52">
        <v>9</v>
      </c>
      <c r="O26" s="22"/>
      <c r="R26" s="66">
        <v>24</v>
      </c>
      <c r="S26" s="75" t="s">
        <v>1049</v>
      </c>
      <c r="T26" s="75" t="s">
        <v>1050</v>
      </c>
      <c r="U26" s="77">
        <v>8.5500000000000007</v>
      </c>
      <c r="V26" s="194">
        <v>8.42</v>
      </c>
      <c r="W26" s="75">
        <v>8.5</v>
      </c>
      <c r="X26" s="75">
        <v>0.69</v>
      </c>
      <c r="Y26" s="75">
        <v>1</v>
      </c>
      <c r="Z26" s="75">
        <v>12</v>
      </c>
      <c r="AA26" s="75">
        <v>1</v>
      </c>
      <c r="AB26" s="75" t="s">
        <v>800</v>
      </c>
      <c r="AE26" s="161" t="s">
        <v>1081</v>
      </c>
      <c r="AF26" s="161"/>
      <c r="AQ26" t="s">
        <v>295</v>
      </c>
    </row>
    <row r="27" spans="1:43" ht="16.05" customHeight="1" thickBot="1">
      <c r="A27" s="6" t="s">
        <v>108</v>
      </c>
      <c r="B27" s="50">
        <v>10</v>
      </c>
      <c r="C27" s="4"/>
      <c r="D27" s="9" t="s">
        <v>75</v>
      </c>
      <c r="E27" s="52">
        <v>9</v>
      </c>
      <c r="F27" s="12"/>
      <c r="G27" s="6" t="s">
        <v>85</v>
      </c>
      <c r="H27" s="51">
        <v>8.5</v>
      </c>
      <c r="I27" s="11"/>
      <c r="J27" s="6" t="s">
        <v>114</v>
      </c>
      <c r="K27" s="51">
        <v>9.5</v>
      </c>
      <c r="L27" s="4"/>
      <c r="M27" s="4"/>
      <c r="N27" s="4"/>
      <c r="O27" s="22"/>
      <c r="R27" s="66">
        <v>25</v>
      </c>
      <c r="S27" s="57" t="s">
        <v>1022</v>
      </c>
      <c r="T27" s="57" t="s">
        <v>1020</v>
      </c>
      <c r="U27" s="76">
        <v>10.5</v>
      </c>
      <c r="V27" s="141">
        <v>10.85</v>
      </c>
      <c r="W27" s="57">
        <v>10.5</v>
      </c>
      <c r="X27" s="57">
        <v>0</v>
      </c>
      <c r="Y27" s="57">
        <v>1</v>
      </c>
      <c r="Z27" s="57">
        <v>1</v>
      </c>
      <c r="AA27" s="57">
        <v>0</v>
      </c>
      <c r="AB27" s="57" t="s">
        <v>1023</v>
      </c>
      <c r="AE27" s="75" t="s">
        <v>1082</v>
      </c>
      <c r="AF27" s="162" t="s">
        <v>1083</v>
      </c>
    </row>
    <row r="28" spans="1:43" ht="16.05" customHeight="1" thickBot="1">
      <c r="A28" s="6" t="s">
        <v>109</v>
      </c>
      <c r="B28" s="51">
        <v>9</v>
      </c>
      <c r="C28" s="11"/>
      <c r="D28" s="11"/>
      <c r="E28" s="11"/>
      <c r="F28" s="11"/>
      <c r="G28" s="9" t="s">
        <v>86</v>
      </c>
      <c r="H28" s="52">
        <v>8</v>
      </c>
      <c r="I28" s="11"/>
      <c r="J28" s="6" t="s">
        <v>115</v>
      </c>
      <c r="K28" s="51">
        <v>8.5</v>
      </c>
      <c r="L28" s="4"/>
      <c r="M28" s="26" t="s">
        <v>332</v>
      </c>
      <c r="N28" s="14">
        <f>ROUND(SUM(N29:N37)/COUNT(N29:N37), 2)</f>
        <v>8.89</v>
      </c>
      <c r="O28" s="22"/>
      <c r="R28" s="66">
        <v>26</v>
      </c>
      <c r="S28" s="75" t="s">
        <v>360</v>
      </c>
      <c r="T28" s="75" t="s">
        <v>161</v>
      </c>
      <c r="U28" s="77">
        <v>8.67</v>
      </c>
      <c r="V28" s="192">
        <v>8.52</v>
      </c>
      <c r="W28" s="75">
        <v>8.5</v>
      </c>
      <c r="X28" s="75">
        <v>0.77</v>
      </c>
      <c r="Y28" s="75">
        <v>2</v>
      </c>
      <c r="Z28" s="75">
        <v>12</v>
      </c>
      <c r="AA28" s="75">
        <v>0</v>
      </c>
      <c r="AB28" s="75" t="s">
        <v>788</v>
      </c>
      <c r="AE28" s="57" t="s">
        <v>1084</v>
      </c>
      <c r="AF28" s="163" t="s">
        <v>1685</v>
      </c>
      <c r="AQ28" s="15"/>
    </row>
    <row r="29" spans="1:43" ht="16.05" customHeight="1" thickBot="1">
      <c r="A29" s="6" t="s">
        <v>449</v>
      </c>
      <c r="B29" s="51">
        <v>10.5</v>
      </c>
      <c r="C29" s="11"/>
      <c r="D29" s="117" t="s">
        <v>909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51">
        <v>8.5</v>
      </c>
      <c r="L29" s="4"/>
      <c r="M29" s="7" t="s">
        <v>133</v>
      </c>
      <c r="N29" s="50">
        <v>10</v>
      </c>
      <c r="O29" s="22"/>
      <c r="R29" s="66">
        <v>27</v>
      </c>
      <c r="S29" s="57" t="s">
        <v>553</v>
      </c>
      <c r="T29" s="57" t="s">
        <v>554</v>
      </c>
      <c r="U29" s="76">
        <v>8.5</v>
      </c>
      <c r="V29" s="245">
        <v>8.3800000000000008</v>
      </c>
      <c r="W29" s="57">
        <v>8.5</v>
      </c>
      <c r="X29" s="57">
        <v>0.59</v>
      </c>
      <c r="Y29" s="57">
        <v>0</v>
      </c>
      <c r="Z29" s="57">
        <v>17</v>
      </c>
      <c r="AA29" s="57">
        <v>4</v>
      </c>
      <c r="AB29" s="57" t="s">
        <v>809</v>
      </c>
      <c r="AE29" s="75" t="s">
        <v>1085</v>
      </c>
      <c r="AF29" s="162" t="s">
        <v>1686</v>
      </c>
      <c r="AQ29" s="74" t="s">
        <v>534</v>
      </c>
    </row>
    <row r="30" spans="1:43" ht="16.05" customHeight="1" thickBot="1">
      <c r="A30" s="6" t="s">
        <v>111</v>
      </c>
      <c r="B30" s="51">
        <v>8.5</v>
      </c>
      <c r="C30" s="11"/>
      <c r="D30" s="6" t="s">
        <v>126</v>
      </c>
      <c r="E30" s="50">
        <v>9</v>
      </c>
      <c r="F30" s="4"/>
      <c r="G30" s="115" t="s">
        <v>907</v>
      </c>
      <c r="H30" s="3">
        <f>ROUND(SUM(H31:H45)/COUNT(H31:H45), 2)</f>
        <v>9.61</v>
      </c>
      <c r="I30" s="11"/>
      <c r="J30" s="6" t="s">
        <v>117</v>
      </c>
      <c r="K30" s="51">
        <v>9.5</v>
      </c>
      <c r="L30" s="4"/>
      <c r="M30" s="8" t="s">
        <v>134</v>
      </c>
      <c r="N30" s="51">
        <v>9</v>
      </c>
      <c r="O30" s="22"/>
      <c r="R30" s="66">
        <v>28</v>
      </c>
      <c r="S30" s="75" t="s">
        <v>1444</v>
      </c>
      <c r="T30" s="75" t="s">
        <v>1437</v>
      </c>
      <c r="U30" s="77">
        <v>8.86</v>
      </c>
      <c r="V30" s="237">
        <v>8.77</v>
      </c>
      <c r="W30" s="75">
        <v>9</v>
      </c>
      <c r="X30" s="75">
        <v>0.69</v>
      </c>
      <c r="Y30" s="75">
        <v>1</v>
      </c>
      <c r="Z30" s="75">
        <v>7</v>
      </c>
      <c r="AA30" s="75">
        <v>0</v>
      </c>
      <c r="AB30" s="75" t="s">
        <v>1446</v>
      </c>
      <c r="AE30" s="57" t="s">
        <v>1086</v>
      </c>
      <c r="AF30" s="163" t="s">
        <v>1687</v>
      </c>
      <c r="AQ30" s="15"/>
    </row>
    <row r="31" spans="1:43" ht="16.05" customHeight="1" thickBot="1">
      <c r="A31" s="9" t="s">
        <v>112</v>
      </c>
      <c r="B31" s="52">
        <v>9</v>
      </c>
      <c r="C31" s="11"/>
      <c r="D31" s="6" t="s">
        <v>127</v>
      </c>
      <c r="E31" s="51">
        <v>10</v>
      </c>
      <c r="F31" s="4"/>
      <c r="G31" s="7" t="s">
        <v>143</v>
      </c>
      <c r="H31" s="50">
        <v>10</v>
      </c>
      <c r="I31" s="11"/>
      <c r="J31" s="6" t="s">
        <v>118</v>
      </c>
      <c r="K31" s="51">
        <v>8.5</v>
      </c>
      <c r="L31" s="4"/>
      <c r="M31" s="8" t="s">
        <v>135</v>
      </c>
      <c r="N31" s="51">
        <v>8</v>
      </c>
      <c r="O31" s="22"/>
      <c r="R31" s="66">
        <v>29</v>
      </c>
      <c r="S31" s="57" t="s">
        <v>1388</v>
      </c>
      <c r="T31" s="57" t="s">
        <v>1379</v>
      </c>
      <c r="U31" s="76">
        <v>8.86</v>
      </c>
      <c r="V31" s="158">
        <v>8.8000000000000007</v>
      </c>
      <c r="W31" s="57">
        <v>9</v>
      </c>
      <c r="X31" s="57">
        <v>0.53</v>
      </c>
      <c r="Y31" s="57">
        <v>1</v>
      </c>
      <c r="Z31" s="57">
        <v>11</v>
      </c>
      <c r="AA31" s="57">
        <v>0</v>
      </c>
      <c r="AB31" s="57" t="s">
        <v>1393</v>
      </c>
      <c r="AE31" s="75" t="s">
        <v>1087</v>
      </c>
      <c r="AF31" s="162" t="s">
        <v>1693</v>
      </c>
      <c r="AQ31" s="60" t="s">
        <v>371</v>
      </c>
    </row>
    <row r="32" spans="1:43" ht="16.05" customHeight="1" thickBot="1">
      <c r="A32" s="4"/>
      <c r="B32" s="4"/>
      <c r="C32" s="11"/>
      <c r="D32" s="6" t="s">
        <v>128</v>
      </c>
      <c r="E32" s="51">
        <v>9</v>
      </c>
      <c r="F32" s="4"/>
      <c r="G32" s="8" t="s">
        <v>144</v>
      </c>
      <c r="H32" s="51">
        <v>10.5</v>
      </c>
      <c r="I32" s="4"/>
      <c r="J32" s="6" t="s">
        <v>119</v>
      </c>
      <c r="K32" s="51">
        <v>7.5</v>
      </c>
      <c r="L32" s="4"/>
      <c r="M32" s="8" t="s">
        <v>136</v>
      </c>
      <c r="N32" s="51">
        <v>8.5</v>
      </c>
      <c r="O32" s="22"/>
      <c r="R32" s="66">
        <v>30</v>
      </c>
      <c r="S32" s="75" t="s">
        <v>695</v>
      </c>
      <c r="T32" s="75" t="s">
        <v>696</v>
      </c>
      <c r="U32" s="77">
        <v>9.8800000000000008</v>
      </c>
      <c r="V32" s="141">
        <v>10.16</v>
      </c>
      <c r="W32" s="75">
        <v>10</v>
      </c>
      <c r="X32" s="75">
        <v>0.65</v>
      </c>
      <c r="Y32" s="75">
        <v>2</v>
      </c>
      <c r="Z32" s="75">
        <v>4</v>
      </c>
      <c r="AA32" s="75">
        <v>0</v>
      </c>
      <c r="AB32" s="75" t="s">
        <v>796</v>
      </c>
      <c r="AE32" s="57" t="s">
        <v>1088</v>
      </c>
      <c r="AF32" s="163" t="s">
        <v>1694</v>
      </c>
      <c r="AQ32" t="s">
        <v>372</v>
      </c>
    </row>
    <row r="33" spans="1:43" ht="16.05" customHeight="1" thickBot="1">
      <c r="A33" s="116" t="s">
        <v>908</v>
      </c>
      <c r="B33" s="14">
        <f>ROUND(SUM(B34:B45)/COUNT(B34:B45), 2)</f>
        <v>9.5500000000000007</v>
      </c>
      <c r="C33" s="11"/>
      <c r="D33" s="6" t="s">
        <v>129</v>
      </c>
      <c r="E33" s="51">
        <v>10.5</v>
      </c>
      <c r="F33" s="4"/>
      <c r="G33" s="6" t="s">
        <v>145</v>
      </c>
      <c r="H33" s="51">
        <v>10</v>
      </c>
      <c r="I33" s="4"/>
      <c r="J33" s="6" t="s">
        <v>120</v>
      </c>
      <c r="K33" s="51">
        <v>9</v>
      </c>
      <c r="L33" s="4"/>
      <c r="M33" s="8" t="s">
        <v>137</v>
      </c>
      <c r="N33" s="51">
        <v>9</v>
      </c>
      <c r="O33" s="22"/>
      <c r="R33" s="66">
        <v>31</v>
      </c>
      <c r="S33" s="57" t="s">
        <v>1592</v>
      </c>
      <c r="T33" s="57" t="s">
        <v>1593</v>
      </c>
      <c r="U33" s="76">
        <v>8.82</v>
      </c>
      <c r="V33" s="236">
        <v>8.7899999999999991</v>
      </c>
      <c r="W33" s="57">
        <v>8.5</v>
      </c>
      <c r="X33" s="57">
        <v>0.81</v>
      </c>
      <c r="Y33" s="57">
        <v>2</v>
      </c>
      <c r="Z33" s="57">
        <v>12</v>
      </c>
      <c r="AA33" s="57">
        <v>1</v>
      </c>
      <c r="AB33" s="57" t="s">
        <v>802</v>
      </c>
      <c r="AQ33" t="s">
        <v>373</v>
      </c>
    </row>
    <row r="34" spans="1:43" ht="16.05" customHeight="1">
      <c r="A34" s="13" t="s">
        <v>146</v>
      </c>
      <c r="B34" s="50">
        <v>9</v>
      </c>
      <c r="C34" s="11"/>
      <c r="D34" s="6" t="s">
        <v>130</v>
      </c>
      <c r="E34" s="51">
        <v>9.5</v>
      </c>
      <c r="F34" s="4"/>
      <c r="G34" s="6" t="s">
        <v>202</v>
      </c>
      <c r="H34" s="51"/>
      <c r="I34" s="4"/>
      <c r="J34" s="6" t="s">
        <v>121</v>
      </c>
      <c r="K34" s="51">
        <v>8</v>
      </c>
      <c r="L34" s="4"/>
      <c r="M34" s="8" t="s">
        <v>138</v>
      </c>
      <c r="N34" s="51">
        <v>8</v>
      </c>
      <c r="O34" s="22"/>
      <c r="R34" s="66">
        <v>32</v>
      </c>
      <c r="S34" s="75" t="s">
        <v>1592</v>
      </c>
      <c r="T34" s="75" t="s">
        <v>1652</v>
      </c>
      <c r="U34" s="77">
        <v>8.44</v>
      </c>
      <c r="V34" s="152">
        <v>8.24</v>
      </c>
      <c r="W34" s="75">
        <v>8.5</v>
      </c>
      <c r="X34" s="75">
        <v>1.28</v>
      </c>
      <c r="Y34" s="75">
        <v>2</v>
      </c>
      <c r="Z34" s="75">
        <v>10</v>
      </c>
      <c r="AA34" s="75">
        <v>1</v>
      </c>
      <c r="AB34" s="75" t="s">
        <v>1658</v>
      </c>
      <c r="AE34" s="161" t="s">
        <v>1089</v>
      </c>
      <c r="AF34" s="161"/>
      <c r="AQ34" t="s">
        <v>374</v>
      </c>
    </row>
    <row r="35" spans="1:43" ht="16.05" customHeight="1">
      <c r="A35" s="6" t="s">
        <v>147</v>
      </c>
      <c r="B35" s="51">
        <v>10.5</v>
      </c>
      <c r="C35" s="11"/>
      <c r="D35" s="6" t="s">
        <v>131</v>
      </c>
      <c r="E35" s="51">
        <v>8</v>
      </c>
      <c r="F35" s="4"/>
      <c r="G35" s="6" t="s">
        <v>203</v>
      </c>
      <c r="H35" s="51">
        <v>10.5</v>
      </c>
      <c r="I35" s="4"/>
      <c r="J35" s="6" t="s">
        <v>122</v>
      </c>
      <c r="K35" s="51">
        <v>7</v>
      </c>
      <c r="L35" s="4"/>
      <c r="M35" s="8" t="s">
        <v>139</v>
      </c>
      <c r="N35" s="51">
        <v>9</v>
      </c>
      <c r="O35" s="22"/>
      <c r="R35" s="66">
        <v>33</v>
      </c>
      <c r="S35" s="57" t="s">
        <v>739</v>
      </c>
      <c r="T35" s="57" t="s">
        <v>1490</v>
      </c>
      <c r="U35" s="76">
        <v>8.8800000000000008</v>
      </c>
      <c r="V35" s="232">
        <v>8.86</v>
      </c>
      <c r="W35" s="57">
        <v>8.5</v>
      </c>
      <c r="X35" s="57">
        <v>0.74</v>
      </c>
      <c r="Y35" s="57">
        <v>2</v>
      </c>
      <c r="Z35" s="57">
        <v>15</v>
      </c>
      <c r="AA35" s="57">
        <v>2</v>
      </c>
      <c r="AB35" s="57" t="s">
        <v>1492</v>
      </c>
      <c r="AE35" s="75" t="s">
        <v>1090</v>
      </c>
      <c r="AF35" s="162" t="s">
        <v>1091</v>
      </c>
      <c r="AQ35" t="s">
        <v>375</v>
      </c>
    </row>
    <row r="36" spans="1:43" ht="16.05" customHeight="1" thickBot="1">
      <c r="A36" s="6" t="s">
        <v>148</v>
      </c>
      <c r="B36" s="51">
        <v>9.5</v>
      </c>
      <c r="C36" s="11"/>
      <c r="D36" s="9" t="s">
        <v>132</v>
      </c>
      <c r="E36" s="52">
        <v>8.5</v>
      </c>
      <c r="F36" s="4"/>
      <c r="G36" s="6" t="s">
        <v>204</v>
      </c>
      <c r="H36" s="51"/>
      <c r="I36" s="4"/>
      <c r="J36" s="6" t="s">
        <v>123</v>
      </c>
      <c r="K36" s="51"/>
      <c r="L36" s="4"/>
      <c r="M36" s="8" t="s">
        <v>140</v>
      </c>
      <c r="N36" s="51">
        <v>8.5</v>
      </c>
      <c r="O36" s="22"/>
      <c r="R36" s="66">
        <v>34</v>
      </c>
      <c r="S36" s="75" t="s">
        <v>739</v>
      </c>
      <c r="T36" s="75" t="s">
        <v>735</v>
      </c>
      <c r="U36" s="77">
        <v>8.67</v>
      </c>
      <c r="V36" s="169">
        <v>8.7100000000000009</v>
      </c>
      <c r="W36" s="75">
        <v>8</v>
      </c>
      <c r="X36" s="75">
        <v>1.04</v>
      </c>
      <c r="Y36" s="75">
        <v>4</v>
      </c>
      <c r="Z36" s="75">
        <v>16</v>
      </c>
      <c r="AA36" s="75">
        <v>1</v>
      </c>
      <c r="AB36" s="75" t="s">
        <v>803</v>
      </c>
      <c r="AE36" s="57" t="s">
        <v>1092</v>
      </c>
      <c r="AF36" s="163" t="s">
        <v>1093</v>
      </c>
      <c r="AQ36" t="s">
        <v>427</v>
      </c>
    </row>
    <row r="37" spans="1:43" ht="16.05" customHeight="1" thickBot="1">
      <c r="A37" s="6" t="s">
        <v>149</v>
      </c>
      <c r="B37" s="51">
        <v>9.5</v>
      </c>
      <c r="C37" s="11"/>
      <c r="D37" s="4"/>
      <c r="E37" s="4"/>
      <c r="F37" s="4"/>
      <c r="G37" s="6" t="s">
        <v>205</v>
      </c>
      <c r="H37" s="51">
        <v>8.5</v>
      </c>
      <c r="I37" s="4"/>
      <c r="J37" s="6" t="s">
        <v>124</v>
      </c>
      <c r="K37" s="51">
        <v>7.5</v>
      </c>
      <c r="L37" s="4"/>
      <c r="M37" s="10" t="s">
        <v>141</v>
      </c>
      <c r="N37" s="52">
        <v>10</v>
      </c>
      <c r="O37" s="22"/>
      <c r="R37" s="66">
        <v>35</v>
      </c>
      <c r="S37" s="57" t="s">
        <v>739</v>
      </c>
      <c r="T37" s="57" t="s">
        <v>1341</v>
      </c>
      <c r="U37" s="76">
        <v>8.11</v>
      </c>
      <c r="V37" s="255">
        <v>7.95</v>
      </c>
      <c r="W37" s="57">
        <v>8</v>
      </c>
      <c r="X37" s="57">
        <v>0.71</v>
      </c>
      <c r="Y37" s="57">
        <v>0</v>
      </c>
      <c r="Z37" s="57">
        <v>15</v>
      </c>
      <c r="AA37" s="57">
        <v>1</v>
      </c>
      <c r="AB37" s="57" t="s">
        <v>1357</v>
      </c>
      <c r="AE37" s="75" t="s">
        <v>1094</v>
      </c>
      <c r="AF37" s="162" t="s">
        <v>1460</v>
      </c>
      <c r="AQ37" t="s">
        <v>1305</v>
      </c>
    </row>
    <row r="38" spans="1:43" ht="16.05" customHeight="1" thickBot="1">
      <c r="A38" s="6" t="s">
        <v>150</v>
      </c>
      <c r="B38" s="51">
        <v>10.5</v>
      </c>
      <c r="C38" s="4"/>
      <c r="D38" s="114" t="s">
        <v>906</v>
      </c>
      <c r="E38" s="3">
        <f>ROUND(SUM(E39:E51)/COUNT(E39:E51), 2)</f>
        <v>8.65</v>
      </c>
      <c r="F38" s="4"/>
      <c r="G38" s="6" t="s">
        <v>206</v>
      </c>
      <c r="H38" s="51"/>
      <c r="I38" s="4"/>
      <c r="J38" s="9" t="s">
        <v>125</v>
      </c>
      <c r="K38" s="52">
        <v>7.5</v>
      </c>
      <c r="L38" s="4"/>
      <c r="M38" s="21"/>
      <c r="N38" s="21"/>
      <c r="O38" s="22"/>
      <c r="R38" s="66">
        <v>36</v>
      </c>
      <c r="S38" s="75" t="s">
        <v>352</v>
      </c>
      <c r="T38" s="75" t="s">
        <v>190</v>
      </c>
      <c r="U38" s="77">
        <v>9.2100000000000009</v>
      </c>
      <c r="V38" s="224">
        <v>9.27</v>
      </c>
      <c r="W38" s="75">
        <v>9.25</v>
      </c>
      <c r="X38" s="75">
        <v>0.85</v>
      </c>
      <c r="Y38" s="75">
        <v>5</v>
      </c>
      <c r="Z38" s="75">
        <v>13</v>
      </c>
      <c r="AA38" s="75">
        <v>1</v>
      </c>
      <c r="AB38" s="75" t="s">
        <v>781</v>
      </c>
      <c r="AE38" s="57" t="s">
        <v>1095</v>
      </c>
      <c r="AF38" s="163" t="s">
        <v>1412</v>
      </c>
    </row>
    <row r="39" spans="1:43" ht="16.05" customHeight="1" thickBot="1">
      <c r="A39" s="6" t="s">
        <v>151</v>
      </c>
      <c r="B39" s="51">
        <v>9.5</v>
      </c>
      <c r="C39" s="4"/>
      <c r="D39" s="7" t="s">
        <v>165</v>
      </c>
      <c r="E39" s="50">
        <v>8.5</v>
      </c>
      <c r="F39" s="4"/>
      <c r="G39" s="6" t="s">
        <v>207</v>
      </c>
      <c r="H39" s="51">
        <v>9</v>
      </c>
      <c r="I39" s="4"/>
      <c r="J39" s="21"/>
      <c r="K39" s="21"/>
      <c r="L39" s="4"/>
      <c r="M39" s="29" t="s">
        <v>333</v>
      </c>
      <c r="N39" s="14">
        <f>ROUND(SUM(N40:N52)/COUNT(N40:N52), 2)</f>
        <v>9.2100000000000009</v>
      </c>
      <c r="O39" s="22"/>
      <c r="R39" s="66">
        <v>37</v>
      </c>
      <c r="S39" s="57" t="s">
        <v>436</v>
      </c>
      <c r="T39" s="57" t="s">
        <v>437</v>
      </c>
      <c r="U39" s="76">
        <v>7.29</v>
      </c>
      <c r="V39" s="262">
        <v>7.14</v>
      </c>
      <c r="W39" s="57">
        <v>7</v>
      </c>
      <c r="X39" s="57">
        <v>0.52</v>
      </c>
      <c r="Y39" s="57">
        <v>0</v>
      </c>
      <c r="Z39" s="57">
        <v>7</v>
      </c>
      <c r="AA39" s="57">
        <v>0</v>
      </c>
      <c r="AB39" s="57" t="s">
        <v>807</v>
      </c>
      <c r="AQ39" t="s">
        <v>810</v>
      </c>
    </row>
    <row r="40" spans="1:43" ht="16.05" customHeight="1" thickBot="1">
      <c r="A40" s="6" t="s">
        <v>152</v>
      </c>
      <c r="B40" s="51"/>
      <c r="C40" s="4"/>
      <c r="D40" s="8" t="s">
        <v>166</v>
      </c>
      <c r="E40" s="51">
        <v>9</v>
      </c>
      <c r="F40" s="4"/>
      <c r="G40" s="6" t="s">
        <v>208</v>
      </c>
      <c r="H40" s="51"/>
      <c r="I40" s="4"/>
      <c r="J40" s="118" t="s">
        <v>910</v>
      </c>
      <c r="K40" s="14">
        <f>ROUND(SUM(K41:K52)/COUNT(K41:K52), 2)</f>
        <v>8.3800000000000008</v>
      </c>
      <c r="L40" s="4"/>
      <c r="M40" s="6" t="s">
        <v>177</v>
      </c>
      <c r="N40" s="50">
        <v>10</v>
      </c>
      <c r="O40" s="22"/>
      <c r="R40" s="66">
        <v>38</v>
      </c>
      <c r="S40" s="75" t="s">
        <v>762</v>
      </c>
      <c r="T40" s="75" t="s">
        <v>763</v>
      </c>
      <c r="U40" s="77">
        <v>8.77</v>
      </c>
      <c r="V40" s="149">
        <v>8.61</v>
      </c>
      <c r="W40" s="75">
        <v>8.5</v>
      </c>
      <c r="X40" s="75">
        <v>0.86</v>
      </c>
      <c r="Y40" s="75">
        <v>3</v>
      </c>
      <c r="Z40" s="75">
        <v>11</v>
      </c>
      <c r="AA40" s="75">
        <v>0</v>
      </c>
      <c r="AB40" s="75" t="s">
        <v>865</v>
      </c>
      <c r="AE40" s="161" t="s">
        <v>1096</v>
      </c>
      <c r="AF40" s="161"/>
    </row>
    <row r="41" spans="1:43" ht="16.05" customHeight="1">
      <c r="A41" s="6" t="s">
        <v>153</v>
      </c>
      <c r="B41" s="51">
        <v>9</v>
      </c>
      <c r="C41" s="4"/>
      <c r="D41" s="8" t="s">
        <v>167</v>
      </c>
      <c r="E41" s="51">
        <v>8.5</v>
      </c>
      <c r="F41" s="4"/>
      <c r="G41" s="6" t="s">
        <v>209</v>
      </c>
      <c r="H41" s="51">
        <v>10</v>
      </c>
      <c r="I41" s="4"/>
      <c r="J41" s="13" t="s">
        <v>191</v>
      </c>
      <c r="K41" s="50">
        <v>9</v>
      </c>
      <c r="L41" s="4"/>
      <c r="M41" s="6" t="s">
        <v>178</v>
      </c>
      <c r="N41" s="51">
        <v>9.5</v>
      </c>
      <c r="O41" s="22"/>
      <c r="R41" s="66">
        <v>39</v>
      </c>
      <c r="S41" s="57" t="s">
        <v>689</v>
      </c>
      <c r="T41" s="57" t="s">
        <v>690</v>
      </c>
      <c r="U41" s="76">
        <v>7.06</v>
      </c>
      <c r="V41" s="263">
        <v>6.96</v>
      </c>
      <c r="W41" s="57">
        <v>7</v>
      </c>
      <c r="X41" s="57">
        <v>0.44</v>
      </c>
      <c r="Y41" s="57">
        <v>0</v>
      </c>
      <c r="Z41" s="57">
        <v>10</v>
      </c>
      <c r="AA41" s="57">
        <v>1</v>
      </c>
      <c r="AB41" s="57" t="s">
        <v>800</v>
      </c>
      <c r="AE41" s="75" t="s">
        <v>1097</v>
      </c>
      <c r="AF41" s="162" t="s">
        <v>1698</v>
      </c>
    </row>
    <row r="42" spans="1:43" ht="16.05" customHeight="1">
      <c r="A42" s="6" t="s">
        <v>154</v>
      </c>
      <c r="B42" s="51">
        <v>9.5</v>
      </c>
      <c r="C42" s="4"/>
      <c r="D42" s="8" t="s">
        <v>168</v>
      </c>
      <c r="E42" s="51">
        <v>10</v>
      </c>
      <c r="F42" s="4"/>
      <c r="G42" s="6" t="s">
        <v>210</v>
      </c>
      <c r="H42" s="51"/>
      <c r="I42" s="4"/>
      <c r="J42" s="6" t="s">
        <v>192</v>
      </c>
      <c r="K42" s="51">
        <v>8.5</v>
      </c>
      <c r="L42" s="4"/>
      <c r="M42" s="6" t="s">
        <v>179</v>
      </c>
      <c r="N42" s="51">
        <v>9</v>
      </c>
      <c r="O42" s="22"/>
      <c r="R42" s="66">
        <v>40</v>
      </c>
      <c r="S42" s="75" t="s">
        <v>1524</v>
      </c>
      <c r="T42" s="75" t="s">
        <v>1530</v>
      </c>
      <c r="U42" s="77">
        <v>8.8000000000000007</v>
      </c>
      <c r="V42" s="148">
        <v>8.64</v>
      </c>
      <c r="W42" s="75">
        <v>8.5</v>
      </c>
      <c r="X42" s="75">
        <v>0.7</v>
      </c>
      <c r="Y42" s="75">
        <v>2</v>
      </c>
      <c r="Z42" s="75">
        <v>15</v>
      </c>
      <c r="AA42" s="75">
        <v>0</v>
      </c>
      <c r="AB42" s="75" t="s">
        <v>1527</v>
      </c>
      <c r="AE42" s="57" t="s">
        <v>1098</v>
      </c>
      <c r="AF42" s="163">
        <v>79</v>
      </c>
      <c r="AQ42" t="s">
        <v>1030</v>
      </c>
    </row>
    <row r="43" spans="1:43" ht="16.05" customHeight="1">
      <c r="A43" s="6" t="s">
        <v>155</v>
      </c>
      <c r="B43" s="51">
        <v>9.5</v>
      </c>
      <c r="C43" s="4"/>
      <c r="D43" s="8" t="s">
        <v>169</v>
      </c>
      <c r="E43" s="51">
        <v>9</v>
      </c>
      <c r="F43" s="4"/>
      <c r="G43" s="6" t="s">
        <v>211</v>
      </c>
      <c r="H43" s="51">
        <v>9.5</v>
      </c>
      <c r="I43" s="4"/>
      <c r="J43" s="6" t="s">
        <v>193</v>
      </c>
      <c r="K43" s="51">
        <v>9</v>
      </c>
      <c r="L43" s="4"/>
      <c r="M43" s="6" t="s">
        <v>180</v>
      </c>
      <c r="N43" s="51">
        <v>10.5</v>
      </c>
      <c r="O43" s="22"/>
      <c r="R43" s="66">
        <v>41</v>
      </c>
      <c r="S43" s="57" t="s">
        <v>364</v>
      </c>
      <c r="T43" s="57" t="s">
        <v>317</v>
      </c>
      <c r="U43" s="76">
        <v>8.35</v>
      </c>
      <c r="V43" s="250">
        <v>8.16</v>
      </c>
      <c r="W43" s="57">
        <v>8</v>
      </c>
      <c r="X43" s="57">
        <v>0.78</v>
      </c>
      <c r="Y43" s="57">
        <v>1</v>
      </c>
      <c r="Z43" s="57">
        <v>10</v>
      </c>
      <c r="AA43" s="57">
        <v>0</v>
      </c>
      <c r="AB43" s="57" t="s">
        <v>849</v>
      </c>
      <c r="AE43" s="75" t="s">
        <v>1099</v>
      </c>
      <c r="AF43" s="162" t="s">
        <v>1660</v>
      </c>
    </row>
    <row r="44" spans="1:43" ht="16.05" customHeight="1">
      <c r="A44" s="6" t="s">
        <v>156</v>
      </c>
      <c r="B44" s="51">
        <v>10</v>
      </c>
      <c r="C44" s="4"/>
      <c r="D44" s="8" t="s">
        <v>160</v>
      </c>
      <c r="E44" s="51">
        <v>8</v>
      </c>
      <c r="F44" s="4"/>
      <c r="G44" s="6" t="s">
        <v>212</v>
      </c>
      <c r="H44" s="51"/>
      <c r="I44" s="4"/>
      <c r="J44" s="6" t="s">
        <v>194</v>
      </c>
      <c r="K44" s="51">
        <v>9.5</v>
      </c>
      <c r="L44" s="4"/>
      <c r="M44" s="6" t="s">
        <v>181</v>
      </c>
      <c r="N44" s="51">
        <v>8.5</v>
      </c>
      <c r="O44" s="22"/>
      <c r="R44" s="66">
        <v>42</v>
      </c>
      <c r="S44" s="75" t="s">
        <v>842</v>
      </c>
      <c r="T44" s="75" t="s">
        <v>843</v>
      </c>
      <c r="U44" s="77">
        <v>8.82</v>
      </c>
      <c r="V44" s="174">
        <v>8.7200000000000006</v>
      </c>
      <c r="W44" s="75">
        <v>9</v>
      </c>
      <c r="X44" s="75">
        <v>0.86</v>
      </c>
      <c r="Y44" s="75">
        <v>3</v>
      </c>
      <c r="Z44" s="75">
        <v>13</v>
      </c>
      <c r="AA44" s="75">
        <v>2</v>
      </c>
      <c r="AB44" s="75" t="s">
        <v>844</v>
      </c>
      <c r="AE44" s="57" t="s">
        <v>1100</v>
      </c>
      <c r="AF44" s="163" t="s">
        <v>1101</v>
      </c>
    </row>
    <row r="45" spans="1:43" ht="16.05" customHeight="1" thickBot="1">
      <c r="A45" s="9" t="s">
        <v>157</v>
      </c>
      <c r="B45" s="52">
        <v>8.5</v>
      </c>
      <c r="C45" s="4"/>
      <c r="D45" s="8" t="s">
        <v>170</v>
      </c>
      <c r="E45" s="51">
        <v>9</v>
      </c>
      <c r="F45" s="4"/>
      <c r="G45" s="6" t="s">
        <v>213</v>
      </c>
      <c r="H45" s="52">
        <v>8.5</v>
      </c>
      <c r="I45" s="4"/>
      <c r="J45" s="6" t="s">
        <v>195</v>
      </c>
      <c r="K45" s="51">
        <v>7.5</v>
      </c>
      <c r="L45" s="4"/>
      <c r="M45" s="6" t="s">
        <v>182</v>
      </c>
      <c r="N45" s="51">
        <v>8</v>
      </c>
      <c r="O45" s="22"/>
      <c r="R45" s="66">
        <v>43</v>
      </c>
      <c r="S45" s="57" t="s">
        <v>1472</v>
      </c>
      <c r="T45" s="57" t="s">
        <v>1473</v>
      </c>
      <c r="U45" s="76">
        <v>8.0500000000000007</v>
      </c>
      <c r="V45" s="155">
        <v>7.9</v>
      </c>
      <c r="W45" s="57">
        <v>8</v>
      </c>
      <c r="X45" s="57">
        <v>0.72</v>
      </c>
      <c r="Y45" s="57">
        <v>0</v>
      </c>
      <c r="Z45" s="57">
        <v>10</v>
      </c>
      <c r="AA45" s="57">
        <v>0</v>
      </c>
      <c r="AB45" s="57" t="s">
        <v>775</v>
      </c>
      <c r="AE45" s="75" t="s">
        <v>1102</v>
      </c>
      <c r="AF45" s="162" t="s">
        <v>1103</v>
      </c>
    </row>
    <row r="46" spans="1:43" ht="16.05" customHeight="1" thickBot="1">
      <c r="A46" s="19"/>
      <c r="B46" s="19"/>
      <c r="C46" s="4"/>
      <c r="D46" s="8" t="s">
        <v>171</v>
      </c>
      <c r="E46" s="51">
        <v>8.5</v>
      </c>
      <c r="F46" s="4"/>
      <c r="G46" s="19"/>
      <c r="H46" s="19"/>
      <c r="I46" s="4"/>
      <c r="J46" s="6" t="s">
        <v>196</v>
      </c>
      <c r="K46" s="51">
        <v>10</v>
      </c>
      <c r="L46" s="4"/>
      <c r="M46" s="6" t="s">
        <v>183</v>
      </c>
      <c r="N46" s="51">
        <v>8.5</v>
      </c>
      <c r="O46" s="22"/>
      <c r="R46" s="66">
        <v>44</v>
      </c>
      <c r="S46" s="75" t="s">
        <v>1431</v>
      </c>
      <c r="T46" s="75" t="s">
        <v>1432</v>
      </c>
      <c r="U46" s="77">
        <v>8.82</v>
      </c>
      <c r="V46" s="235">
        <v>8.81</v>
      </c>
      <c r="W46" s="75">
        <v>8.75</v>
      </c>
      <c r="X46" s="75">
        <v>0.92</v>
      </c>
      <c r="Y46" s="75">
        <v>3</v>
      </c>
      <c r="Z46" s="75">
        <v>16</v>
      </c>
      <c r="AA46" s="75">
        <v>2</v>
      </c>
      <c r="AB46" s="75" t="s">
        <v>1435</v>
      </c>
    </row>
    <row r="47" spans="1:43" ht="16.05" customHeight="1" thickBot="1">
      <c r="A47" s="113" t="s">
        <v>905</v>
      </c>
      <c r="B47" s="14">
        <f>ROUND(SUM(B48:B57)/COUNT(B48:B57), 2)</f>
        <v>8.7799999999999994</v>
      </c>
      <c r="C47" s="4"/>
      <c r="D47" s="8" t="s">
        <v>172</v>
      </c>
      <c r="E47" s="51">
        <v>8</v>
      </c>
      <c r="F47" s="22"/>
      <c r="G47" s="119" t="s">
        <v>911</v>
      </c>
      <c r="H47" s="3">
        <f>ROUND(SUM(H48:H55)/COUNT(H48:H55), 2)</f>
        <v>9.3800000000000008</v>
      </c>
      <c r="I47" s="4"/>
      <c r="J47" s="6" t="s">
        <v>197</v>
      </c>
      <c r="K47" s="51">
        <v>8</v>
      </c>
      <c r="L47" s="4"/>
      <c r="M47" s="6" t="s">
        <v>184</v>
      </c>
      <c r="N47" s="51">
        <v>8.5</v>
      </c>
      <c r="O47" s="22"/>
      <c r="R47" s="66">
        <v>45</v>
      </c>
      <c r="S47" s="57" t="s">
        <v>347</v>
      </c>
      <c r="T47" s="57" t="s">
        <v>1228</v>
      </c>
      <c r="U47" s="76">
        <v>9.4</v>
      </c>
      <c r="V47" s="222">
        <v>9.42</v>
      </c>
      <c r="W47" s="57">
        <v>9</v>
      </c>
      <c r="X47" s="57">
        <v>0.73</v>
      </c>
      <c r="Y47" s="57">
        <v>2</v>
      </c>
      <c r="Z47" s="57">
        <v>5</v>
      </c>
      <c r="AA47" s="57">
        <v>0</v>
      </c>
      <c r="AB47" s="57" t="s">
        <v>778</v>
      </c>
      <c r="AE47" s="161" t="s">
        <v>1104</v>
      </c>
      <c r="AF47" s="161"/>
    </row>
    <row r="48" spans="1:43" ht="16.05" customHeight="1">
      <c r="A48" s="7" t="s">
        <v>260</v>
      </c>
      <c r="B48" s="50"/>
      <c r="C48" s="4"/>
      <c r="D48" s="8" t="s">
        <v>173</v>
      </c>
      <c r="E48" s="51">
        <v>10</v>
      </c>
      <c r="F48" s="4"/>
      <c r="G48" s="7" t="s">
        <v>214</v>
      </c>
      <c r="H48" s="50">
        <v>10</v>
      </c>
      <c r="I48" s="4"/>
      <c r="J48" s="6" t="s">
        <v>162</v>
      </c>
      <c r="K48" s="51">
        <v>7.5</v>
      </c>
      <c r="L48" s="4"/>
      <c r="M48" s="6" t="s">
        <v>185</v>
      </c>
      <c r="N48" s="51">
        <v>10</v>
      </c>
      <c r="O48" s="22"/>
      <c r="R48" s="66">
        <v>46</v>
      </c>
      <c r="S48" s="75" t="s">
        <v>347</v>
      </c>
      <c r="T48" s="75" t="s">
        <v>1032</v>
      </c>
      <c r="U48" s="77">
        <v>9.3000000000000007</v>
      </c>
      <c r="V48" s="223">
        <v>9.31</v>
      </c>
      <c r="W48" s="75">
        <v>9</v>
      </c>
      <c r="X48" s="75">
        <v>0.87</v>
      </c>
      <c r="Y48" s="75">
        <v>2</v>
      </c>
      <c r="Z48" s="75">
        <v>5</v>
      </c>
      <c r="AA48" s="75">
        <v>0</v>
      </c>
      <c r="AB48" s="75" t="s">
        <v>778</v>
      </c>
      <c r="AE48" s="57" t="s">
        <v>1105</v>
      </c>
      <c r="AF48" s="163" t="s">
        <v>1106</v>
      </c>
    </row>
    <row r="49" spans="1:32" ht="16.05" customHeight="1">
      <c r="A49" s="8" t="s">
        <v>261</v>
      </c>
      <c r="B49" s="51">
        <v>10</v>
      </c>
      <c r="C49" s="4"/>
      <c r="D49" s="8" t="s">
        <v>174</v>
      </c>
      <c r="E49" s="51">
        <v>8.5</v>
      </c>
      <c r="F49" s="4"/>
      <c r="G49" s="8" t="s">
        <v>215</v>
      </c>
      <c r="H49" s="51">
        <v>9.5</v>
      </c>
      <c r="I49" s="4"/>
      <c r="J49" s="6" t="s">
        <v>198</v>
      </c>
      <c r="K49" s="51">
        <v>7</v>
      </c>
      <c r="L49" s="4"/>
      <c r="M49" s="6" t="s">
        <v>186</v>
      </c>
      <c r="N49" s="51"/>
      <c r="O49" s="22"/>
      <c r="R49" s="66">
        <v>47</v>
      </c>
      <c r="S49" s="57" t="s">
        <v>347</v>
      </c>
      <c r="T49" s="57" t="s">
        <v>1454</v>
      </c>
      <c r="U49" s="76">
        <v>8.83</v>
      </c>
      <c r="V49" s="239">
        <v>8.73</v>
      </c>
      <c r="W49" s="57">
        <v>8.75</v>
      </c>
      <c r="X49" s="57">
        <v>0.62</v>
      </c>
      <c r="Y49" s="57">
        <v>1</v>
      </c>
      <c r="Z49" s="57">
        <v>6</v>
      </c>
      <c r="AA49" s="57">
        <v>0</v>
      </c>
      <c r="AB49" s="57" t="s">
        <v>1458</v>
      </c>
      <c r="AE49" s="75" t="s">
        <v>1108</v>
      </c>
      <c r="AF49" s="162" t="s">
        <v>1178</v>
      </c>
    </row>
    <row r="50" spans="1:32" ht="16.05" customHeight="1">
      <c r="A50" s="8" t="s">
        <v>262</v>
      </c>
      <c r="B50" s="51">
        <v>9</v>
      </c>
      <c r="C50" s="4"/>
      <c r="D50" s="8" t="s">
        <v>175</v>
      </c>
      <c r="E50" s="51">
        <v>8</v>
      </c>
      <c r="F50" s="4"/>
      <c r="G50" s="8" t="s">
        <v>216</v>
      </c>
      <c r="H50" s="51">
        <v>9.5</v>
      </c>
      <c r="I50" s="4"/>
      <c r="J50" s="6" t="s">
        <v>199</v>
      </c>
      <c r="K50" s="51">
        <v>7</v>
      </c>
      <c r="L50" s="4"/>
      <c r="M50" s="6" t="s">
        <v>187</v>
      </c>
      <c r="N50" s="51">
        <v>8</v>
      </c>
      <c r="O50" s="22"/>
      <c r="R50" s="66">
        <v>48</v>
      </c>
      <c r="S50" s="75" t="s">
        <v>346</v>
      </c>
      <c r="T50" s="75" t="s">
        <v>280</v>
      </c>
      <c r="U50" s="77">
        <v>9.3800000000000008</v>
      </c>
      <c r="V50" s="221">
        <v>9.4600000000000009</v>
      </c>
      <c r="W50" s="75">
        <v>9.5</v>
      </c>
      <c r="X50" s="75">
        <v>0.78</v>
      </c>
      <c r="Y50" s="75">
        <v>3</v>
      </c>
      <c r="Z50" s="75">
        <v>8</v>
      </c>
      <c r="AA50" s="75">
        <v>0</v>
      </c>
      <c r="AB50" s="75" t="s">
        <v>777</v>
      </c>
      <c r="AE50" s="57" t="s">
        <v>1107</v>
      </c>
      <c r="AF50" s="163" t="s">
        <v>1455</v>
      </c>
    </row>
    <row r="51" spans="1:32" ht="16.05" customHeight="1" thickBot="1">
      <c r="A51" s="8" t="s">
        <v>263</v>
      </c>
      <c r="B51" s="51">
        <v>9</v>
      </c>
      <c r="C51" s="4"/>
      <c r="D51" s="10" t="s">
        <v>176</v>
      </c>
      <c r="E51" s="52">
        <v>7.5</v>
      </c>
      <c r="F51" s="4"/>
      <c r="G51" s="8" t="s">
        <v>217</v>
      </c>
      <c r="H51" s="51">
        <v>10.5</v>
      </c>
      <c r="I51" s="4"/>
      <c r="J51" s="6" t="s">
        <v>200</v>
      </c>
      <c r="K51" s="51">
        <v>7.5</v>
      </c>
      <c r="L51" s="4"/>
      <c r="M51" s="6" t="s">
        <v>188</v>
      </c>
      <c r="N51" s="51">
        <v>10</v>
      </c>
      <c r="O51" s="22"/>
      <c r="R51" s="66">
        <v>49</v>
      </c>
      <c r="S51" s="57" t="s">
        <v>365</v>
      </c>
      <c r="T51" s="57" t="s">
        <v>366</v>
      </c>
      <c r="U51" s="76">
        <v>8.42</v>
      </c>
      <c r="V51" s="248">
        <v>8.26</v>
      </c>
      <c r="W51" s="57">
        <v>8.5</v>
      </c>
      <c r="X51" s="57">
        <v>0.91</v>
      </c>
      <c r="Y51" s="57">
        <v>1</v>
      </c>
      <c r="Z51" s="57">
        <v>13</v>
      </c>
      <c r="AA51" s="57">
        <v>1</v>
      </c>
      <c r="AB51" s="57" t="s">
        <v>790</v>
      </c>
      <c r="AE51" s="75" t="s">
        <v>1114</v>
      </c>
      <c r="AF51" s="162" t="s">
        <v>1179</v>
      </c>
    </row>
    <row r="52" spans="1:32" ht="16.05" customHeight="1" thickBot="1">
      <c r="A52" s="8" t="s">
        <v>264</v>
      </c>
      <c r="B52" s="51">
        <v>8</v>
      </c>
      <c r="C52" s="4"/>
      <c r="D52" s="21"/>
      <c r="E52" s="21"/>
      <c r="F52" s="4"/>
      <c r="G52" s="8" t="s">
        <v>218</v>
      </c>
      <c r="H52" s="51">
        <v>8.5</v>
      </c>
      <c r="I52" s="4"/>
      <c r="J52" s="9" t="s">
        <v>201</v>
      </c>
      <c r="K52" s="52">
        <v>10</v>
      </c>
      <c r="L52" s="4"/>
      <c r="M52" s="9" t="s">
        <v>189</v>
      </c>
      <c r="N52" s="52">
        <v>10</v>
      </c>
      <c r="O52" s="22"/>
      <c r="R52" s="66">
        <v>50</v>
      </c>
      <c r="S52" s="75" t="s">
        <v>389</v>
      </c>
      <c r="T52" s="75" t="s">
        <v>390</v>
      </c>
      <c r="U52" s="77">
        <v>8.4600000000000009</v>
      </c>
      <c r="V52" s="247">
        <v>8.33</v>
      </c>
      <c r="W52" s="75">
        <v>8.5</v>
      </c>
      <c r="X52" s="75">
        <v>0.84</v>
      </c>
      <c r="Y52" s="75">
        <v>2</v>
      </c>
      <c r="Z52" s="75">
        <v>13</v>
      </c>
      <c r="AA52" s="75">
        <v>0</v>
      </c>
      <c r="AB52" s="75" t="s">
        <v>806</v>
      </c>
      <c r="AE52" s="57" t="s">
        <v>1110</v>
      </c>
      <c r="AF52" s="163" t="s">
        <v>1111</v>
      </c>
    </row>
    <row r="53" spans="1:32" ht="16.05" customHeight="1" thickBot="1">
      <c r="A53" s="8" t="s">
        <v>265</v>
      </c>
      <c r="B53" s="51">
        <v>8</v>
      </c>
      <c r="C53" s="22"/>
      <c r="D53" s="112" t="s">
        <v>904</v>
      </c>
      <c r="E53" s="14">
        <f>ROUND(SUM(E54:E62)/COUNT(E54:E62), 2)</f>
        <v>9</v>
      </c>
      <c r="F53" s="4"/>
      <c r="G53" s="8" t="s">
        <v>219</v>
      </c>
      <c r="H53" s="51">
        <v>8</v>
      </c>
      <c r="I53" s="4"/>
      <c r="J53" s="21"/>
      <c r="K53" s="21"/>
      <c r="L53" s="4"/>
      <c r="M53" s="21"/>
      <c r="N53" s="21"/>
      <c r="O53" s="22"/>
      <c r="R53" s="66">
        <v>51</v>
      </c>
      <c r="S53" s="57" t="s">
        <v>934</v>
      </c>
      <c r="T53" s="57" t="s">
        <v>925</v>
      </c>
      <c r="U53" s="76">
        <v>9.06</v>
      </c>
      <c r="V53" s="58">
        <v>9.0500000000000007</v>
      </c>
      <c r="W53" s="57">
        <v>8.75</v>
      </c>
      <c r="X53" s="57">
        <v>0.92</v>
      </c>
      <c r="Y53" s="57">
        <v>3</v>
      </c>
      <c r="Z53" s="57">
        <v>9</v>
      </c>
      <c r="AA53" s="57">
        <v>1</v>
      </c>
      <c r="AB53" s="57" t="s">
        <v>935</v>
      </c>
      <c r="AE53" s="75" t="s">
        <v>1112</v>
      </c>
      <c r="AF53" s="162" t="s">
        <v>1688</v>
      </c>
    </row>
    <row r="54" spans="1:32" ht="16.05" customHeight="1" thickBot="1">
      <c r="A54" s="8" t="s">
        <v>266</v>
      </c>
      <c r="B54" s="51">
        <v>8</v>
      </c>
      <c r="C54" s="4"/>
      <c r="D54" s="7" t="s">
        <v>271</v>
      </c>
      <c r="E54" s="50">
        <v>10</v>
      </c>
      <c r="F54" s="4"/>
      <c r="G54" s="8" t="s">
        <v>220</v>
      </c>
      <c r="H54" s="51">
        <v>9</v>
      </c>
      <c r="I54" s="22"/>
      <c r="J54" s="64" t="s">
        <v>414</v>
      </c>
      <c r="K54" s="3">
        <f>ROUND(SUM(K55:K64)/COUNT(K55:K64), 2)</f>
        <v>8.35</v>
      </c>
      <c r="L54" s="4"/>
      <c r="M54" s="111" t="s">
        <v>903</v>
      </c>
      <c r="N54" s="14">
        <f>ROUND(SUM(N55:N65)/COUNT(N55:N65), 2)</f>
        <v>9.0500000000000007</v>
      </c>
      <c r="O54" s="22"/>
      <c r="R54" s="66">
        <v>52</v>
      </c>
      <c r="S54" s="75" t="s">
        <v>359</v>
      </c>
      <c r="T54" s="75" t="s">
        <v>247</v>
      </c>
      <c r="U54" s="77">
        <v>8.68</v>
      </c>
      <c r="V54" s="151">
        <v>8.5299999999999994</v>
      </c>
      <c r="W54" s="75">
        <v>8.5</v>
      </c>
      <c r="X54" s="75">
        <v>0.81</v>
      </c>
      <c r="Y54" s="75">
        <v>2</v>
      </c>
      <c r="Z54" s="75">
        <v>11</v>
      </c>
      <c r="AA54" s="75">
        <v>0</v>
      </c>
      <c r="AB54" s="75" t="s">
        <v>787</v>
      </c>
      <c r="AE54" s="57" t="s">
        <v>798</v>
      </c>
      <c r="AF54" s="163" t="s">
        <v>1491</v>
      </c>
    </row>
    <row r="55" spans="1:32" ht="16.05" customHeight="1" thickBot="1">
      <c r="A55" s="8" t="s">
        <v>267</v>
      </c>
      <c r="B55" s="51">
        <v>8</v>
      </c>
      <c r="C55" s="4"/>
      <c r="D55" s="8" t="s">
        <v>272</v>
      </c>
      <c r="E55" s="51">
        <v>9.5</v>
      </c>
      <c r="F55" s="4"/>
      <c r="G55" s="10" t="s">
        <v>221</v>
      </c>
      <c r="H55" s="52">
        <v>10</v>
      </c>
      <c r="I55" s="4"/>
      <c r="J55" s="7" t="s">
        <v>307</v>
      </c>
      <c r="K55" s="50">
        <v>10</v>
      </c>
      <c r="L55" s="4"/>
      <c r="M55" s="7" t="s">
        <v>296</v>
      </c>
      <c r="N55" s="50">
        <v>10</v>
      </c>
      <c r="O55" s="22"/>
      <c r="R55" s="66">
        <v>53</v>
      </c>
      <c r="S55" s="57" t="s">
        <v>354</v>
      </c>
      <c r="T55" s="57" t="s">
        <v>270</v>
      </c>
      <c r="U55" s="76">
        <v>9</v>
      </c>
      <c r="V55" s="228">
        <v>9.0299999999999994</v>
      </c>
      <c r="W55" s="57">
        <v>9</v>
      </c>
      <c r="X55" s="57">
        <v>0.82</v>
      </c>
      <c r="Y55" s="57">
        <v>2</v>
      </c>
      <c r="Z55" s="57">
        <v>9</v>
      </c>
      <c r="AA55" s="57">
        <v>0</v>
      </c>
      <c r="AB55" s="57" t="s">
        <v>801</v>
      </c>
      <c r="AE55" s="75" t="s">
        <v>1109</v>
      </c>
      <c r="AF55" s="162" t="s">
        <v>1575</v>
      </c>
    </row>
    <row r="56" spans="1:32" ht="16.05" customHeight="1" thickBot="1">
      <c r="A56" s="8" t="s">
        <v>268</v>
      </c>
      <c r="B56" s="51">
        <v>10</v>
      </c>
      <c r="C56" s="4"/>
      <c r="D56" s="8" t="s">
        <v>273</v>
      </c>
      <c r="E56" s="51">
        <v>8</v>
      </c>
      <c r="F56" s="4"/>
      <c r="G56" s="21"/>
      <c r="H56" s="21"/>
      <c r="I56" s="4"/>
      <c r="J56" s="8" t="s">
        <v>308</v>
      </c>
      <c r="K56" s="51">
        <v>9</v>
      </c>
      <c r="L56" s="4"/>
      <c r="M56" s="8" t="s">
        <v>297</v>
      </c>
      <c r="N56" s="51">
        <v>8.5</v>
      </c>
      <c r="O56" s="22"/>
      <c r="R56" s="66">
        <v>54</v>
      </c>
      <c r="S56" s="75" t="s">
        <v>354</v>
      </c>
      <c r="T56" s="75" t="s">
        <v>354</v>
      </c>
      <c r="U56" s="77">
        <v>7.77</v>
      </c>
      <c r="V56" s="260">
        <v>7.61</v>
      </c>
      <c r="W56" s="75">
        <v>7.5</v>
      </c>
      <c r="X56" s="75">
        <v>0.62</v>
      </c>
      <c r="Y56" s="75">
        <v>0</v>
      </c>
      <c r="Z56" s="75">
        <v>11</v>
      </c>
      <c r="AA56" s="75">
        <v>0</v>
      </c>
      <c r="AB56" s="75" t="s">
        <v>801</v>
      </c>
      <c r="AE56" s="57" t="s">
        <v>1113</v>
      </c>
      <c r="AF56" s="163" t="s">
        <v>1395</v>
      </c>
    </row>
    <row r="57" spans="1:32" ht="16.05" customHeight="1" thickBot="1">
      <c r="A57" s="10" t="s">
        <v>269</v>
      </c>
      <c r="B57" s="52">
        <v>9</v>
      </c>
      <c r="C57" s="4"/>
      <c r="D57" s="8" t="s">
        <v>274</v>
      </c>
      <c r="E57" s="51">
        <v>8.5</v>
      </c>
      <c r="F57" s="22"/>
      <c r="G57" s="54" t="s">
        <v>334</v>
      </c>
      <c r="H57" s="3">
        <f>ROUND(SUM(H58:H67)/COUNT(H58:H67), 2)</f>
        <v>8.35</v>
      </c>
      <c r="I57" s="4"/>
      <c r="J57" s="8" t="s">
        <v>309</v>
      </c>
      <c r="K57" s="51">
        <v>8</v>
      </c>
      <c r="L57" s="4"/>
      <c r="M57" s="8" t="s">
        <v>298</v>
      </c>
      <c r="N57" s="51">
        <v>9</v>
      </c>
      <c r="O57" s="22"/>
      <c r="R57" s="66">
        <v>55</v>
      </c>
      <c r="S57" s="57" t="s">
        <v>1331</v>
      </c>
      <c r="T57" s="57" t="s">
        <v>1332</v>
      </c>
      <c r="U57" s="76">
        <v>8.67</v>
      </c>
      <c r="V57" s="175">
        <v>8.6999999999999993</v>
      </c>
      <c r="W57" s="57">
        <v>9</v>
      </c>
      <c r="X57" s="57">
        <v>1.08</v>
      </c>
      <c r="Y57" s="57">
        <v>2</v>
      </c>
      <c r="Z57" s="57">
        <v>9</v>
      </c>
      <c r="AA57" s="57">
        <v>0</v>
      </c>
      <c r="AB57" s="57" t="s">
        <v>1336</v>
      </c>
      <c r="AE57" s="75" t="s">
        <v>1115</v>
      </c>
      <c r="AF57" s="162" t="s">
        <v>1116</v>
      </c>
    </row>
    <row r="58" spans="1:32" ht="16.05" customHeight="1" thickBot="1">
      <c r="A58" s="21"/>
      <c r="B58" s="21"/>
      <c r="C58" s="4"/>
      <c r="D58" s="8" t="s">
        <v>275</v>
      </c>
      <c r="E58" s="51">
        <v>9</v>
      </c>
      <c r="F58" s="4"/>
      <c r="G58" s="7" t="s">
        <v>318</v>
      </c>
      <c r="H58" s="50">
        <v>8</v>
      </c>
      <c r="I58" s="4"/>
      <c r="J58" s="8" t="s">
        <v>310</v>
      </c>
      <c r="K58" s="51">
        <v>7</v>
      </c>
      <c r="L58" s="4"/>
      <c r="M58" s="8" t="s">
        <v>299</v>
      </c>
      <c r="N58" s="51">
        <v>10.5</v>
      </c>
      <c r="O58" s="22"/>
      <c r="R58" s="66">
        <v>56</v>
      </c>
      <c r="S58" s="75" t="s">
        <v>351</v>
      </c>
      <c r="T58" s="75" t="s">
        <v>56</v>
      </c>
      <c r="U58" s="77">
        <v>9.25</v>
      </c>
      <c r="V58" s="223">
        <v>9.31</v>
      </c>
      <c r="W58" s="75">
        <v>9.25</v>
      </c>
      <c r="X58" s="75">
        <v>0.83</v>
      </c>
      <c r="Y58" s="75">
        <v>3</v>
      </c>
      <c r="Z58" s="75">
        <v>8</v>
      </c>
      <c r="AA58" s="75">
        <v>0</v>
      </c>
      <c r="AB58" s="75" t="s">
        <v>801</v>
      </c>
      <c r="AE58" s="57" t="s">
        <v>1117</v>
      </c>
      <c r="AF58" s="163" t="s">
        <v>1116</v>
      </c>
    </row>
    <row r="59" spans="1:32" ht="16.05" customHeight="1" thickBot="1">
      <c r="A59" s="53" t="s">
        <v>367</v>
      </c>
      <c r="B59" s="14">
        <f>ROUND(SUM(B60:B69)/COUNT(B60:B69), 2)</f>
        <v>8.33</v>
      </c>
      <c r="C59" s="4"/>
      <c r="D59" s="8" t="s">
        <v>276</v>
      </c>
      <c r="E59" s="51">
        <v>9</v>
      </c>
      <c r="F59" s="4"/>
      <c r="G59" s="8" t="s">
        <v>319</v>
      </c>
      <c r="H59" s="51">
        <v>10</v>
      </c>
      <c r="I59" s="4"/>
      <c r="J59" s="8" t="s">
        <v>311</v>
      </c>
      <c r="K59" s="51">
        <v>8</v>
      </c>
      <c r="L59" s="4"/>
      <c r="M59" s="8" t="s">
        <v>300</v>
      </c>
      <c r="N59" s="51">
        <v>8</v>
      </c>
      <c r="O59" s="22"/>
      <c r="R59" s="66">
        <v>57</v>
      </c>
      <c r="S59" s="57" t="s">
        <v>351</v>
      </c>
      <c r="T59" s="57" t="s">
        <v>715</v>
      </c>
      <c r="U59" s="76">
        <v>9.1300000000000008</v>
      </c>
      <c r="V59" s="226">
        <v>9.15</v>
      </c>
      <c r="W59" s="57">
        <v>9</v>
      </c>
      <c r="X59" s="57">
        <v>0.93</v>
      </c>
      <c r="Y59" s="57">
        <v>3</v>
      </c>
      <c r="Z59" s="57">
        <v>8</v>
      </c>
      <c r="AA59" s="57">
        <v>0</v>
      </c>
      <c r="AB59" s="57" t="s">
        <v>801</v>
      </c>
      <c r="AE59" s="75" t="s">
        <v>1292</v>
      </c>
      <c r="AF59" s="162" t="s">
        <v>1525</v>
      </c>
    </row>
    <row r="60" spans="1:32" ht="16.05" customHeight="1">
      <c r="A60" s="7" t="s">
        <v>286</v>
      </c>
      <c r="B60" s="50">
        <v>8</v>
      </c>
      <c r="C60" s="4"/>
      <c r="D60" s="8" t="s">
        <v>277</v>
      </c>
      <c r="E60" s="51">
        <v>10.5</v>
      </c>
      <c r="F60" s="4"/>
      <c r="G60" s="8" t="s">
        <v>320</v>
      </c>
      <c r="H60" s="51">
        <v>10</v>
      </c>
      <c r="I60" s="4"/>
      <c r="J60" s="8" t="s">
        <v>312</v>
      </c>
      <c r="K60" s="51">
        <v>8</v>
      </c>
      <c r="L60" s="4"/>
      <c r="M60" s="8" t="s">
        <v>301</v>
      </c>
      <c r="N60" s="51">
        <v>8.5</v>
      </c>
      <c r="O60" s="22"/>
      <c r="R60" s="66">
        <v>58</v>
      </c>
      <c r="S60" s="75" t="s">
        <v>351</v>
      </c>
      <c r="T60" s="75" t="s">
        <v>1170</v>
      </c>
      <c r="U60" s="77">
        <v>9</v>
      </c>
      <c r="V60" s="229">
        <v>9.02</v>
      </c>
      <c r="W60" s="75">
        <v>9</v>
      </c>
      <c r="X60" s="75">
        <v>0.88</v>
      </c>
      <c r="Y60" s="75">
        <v>2</v>
      </c>
      <c r="Z60" s="75">
        <v>9</v>
      </c>
      <c r="AA60" s="75">
        <v>0</v>
      </c>
      <c r="AB60" s="75" t="s">
        <v>801</v>
      </c>
      <c r="AE60" s="57" t="s">
        <v>784</v>
      </c>
      <c r="AF60" s="163" t="s">
        <v>1180</v>
      </c>
    </row>
    <row r="61" spans="1:32" ht="16.05" customHeight="1">
      <c r="A61" s="8" t="s">
        <v>287</v>
      </c>
      <c r="B61" s="51">
        <v>7</v>
      </c>
      <c r="C61" s="4"/>
      <c r="D61" s="8" t="s">
        <v>278</v>
      </c>
      <c r="E61" s="51">
        <v>8</v>
      </c>
      <c r="F61" s="4"/>
      <c r="G61" s="8" t="s">
        <v>321</v>
      </c>
      <c r="H61" s="51">
        <v>9</v>
      </c>
      <c r="I61" s="4"/>
      <c r="J61" s="8" t="s">
        <v>313</v>
      </c>
      <c r="K61" s="51">
        <v>9</v>
      </c>
      <c r="L61" s="4"/>
      <c r="M61" s="8" t="s">
        <v>302</v>
      </c>
      <c r="N61" s="51">
        <v>7</v>
      </c>
      <c r="O61" s="22"/>
      <c r="R61" s="66">
        <v>59</v>
      </c>
      <c r="S61" s="57" t="s">
        <v>351</v>
      </c>
      <c r="T61" s="57" t="s">
        <v>351</v>
      </c>
      <c r="U61" s="76">
        <v>8.4600000000000009</v>
      </c>
      <c r="V61" s="243">
        <v>8.5500000000000007</v>
      </c>
      <c r="W61" s="57">
        <v>8.5</v>
      </c>
      <c r="X61" s="57">
        <v>1.33</v>
      </c>
      <c r="Y61" s="57">
        <v>3</v>
      </c>
      <c r="Z61" s="57">
        <v>12</v>
      </c>
      <c r="AA61" s="57">
        <v>0</v>
      </c>
      <c r="AB61" s="57" t="s">
        <v>1413</v>
      </c>
      <c r="AE61" s="75" t="s">
        <v>1689</v>
      </c>
      <c r="AF61" s="162" t="s">
        <v>1690</v>
      </c>
    </row>
    <row r="62" spans="1:32" ht="16.05" customHeight="1" thickBot="1">
      <c r="A62" s="8" t="s">
        <v>288</v>
      </c>
      <c r="B62" s="51">
        <v>7.5</v>
      </c>
      <c r="C62" s="4"/>
      <c r="D62" s="10" t="s">
        <v>279</v>
      </c>
      <c r="E62" s="52">
        <v>8.5</v>
      </c>
      <c r="F62" s="4"/>
      <c r="G62" s="8" t="s">
        <v>322</v>
      </c>
      <c r="H62" s="51">
        <v>7</v>
      </c>
      <c r="I62" s="4"/>
      <c r="J62" s="8" t="s">
        <v>314</v>
      </c>
      <c r="K62" s="51">
        <v>8</v>
      </c>
      <c r="L62" s="4"/>
      <c r="M62" s="8" t="s">
        <v>303</v>
      </c>
      <c r="N62" s="51">
        <v>10</v>
      </c>
      <c r="O62" s="22"/>
      <c r="R62" s="66">
        <v>60</v>
      </c>
      <c r="S62" s="75" t="s">
        <v>358</v>
      </c>
      <c r="T62" s="75" t="s">
        <v>282</v>
      </c>
      <c r="U62" s="77">
        <v>8.7799999999999994</v>
      </c>
      <c r="V62" s="240">
        <v>8.69</v>
      </c>
      <c r="W62" s="75">
        <v>9</v>
      </c>
      <c r="X62" s="75">
        <v>0.79</v>
      </c>
      <c r="Y62" s="75">
        <v>2</v>
      </c>
      <c r="Z62" s="75">
        <v>10</v>
      </c>
      <c r="AA62" s="75">
        <v>1</v>
      </c>
      <c r="AB62" s="75" t="s">
        <v>785</v>
      </c>
      <c r="AE62" s="57" t="s">
        <v>1119</v>
      </c>
      <c r="AF62" s="163" t="s">
        <v>1120</v>
      </c>
    </row>
    <row r="63" spans="1:32" ht="16.05" customHeight="1" thickBot="1">
      <c r="A63" s="8" t="s">
        <v>289</v>
      </c>
      <c r="B63" s="51">
        <v>8.5</v>
      </c>
      <c r="C63" s="4"/>
      <c r="D63" s="21"/>
      <c r="E63" s="21"/>
      <c r="F63" s="4"/>
      <c r="G63" s="8" t="s">
        <v>323</v>
      </c>
      <c r="H63" s="51">
        <v>8.5</v>
      </c>
      <c r="I63" s="4"/>
      <c r="J63" s="8" t="s">
        <v>315</v>
      </c>
      <c r="K63" s="51">
        <v>8.5</v>
      </c>
      <c r="L63" s="4"/>
      <c r="M63" s="8" t="s">
        <v>304</v>
      </c>
      <c r="N63" s="51">
        <v>9</v>
      </c>
      <c r="O63" s="22"/>
      <c r="R63" s="66">
        <v>61</v>
      </c>
      <c r="S63" s="57" t="s">
        <v>863</v>
      </c>
      <c r="T63" s="57" t="s">
        <v>858</v>
      </c>
      <c r="U63" s="76">
        <v>8.7100000000000009</v>
      </c>
      <c r="V63" s="169">
        <v>8.7100000000000009</v>
      </c>
      <c r="W63" s="57">
        <v>8.5</v>
      </c>
      <c r="X63" s="57">
        <v>0.75</v>
      </c>
      <c r="Y63" s="57">
        <v>2</v>
      </c>
      <c r="Z63" s="57">
        <v>14</v>
      </c>
      <c r="AA63" s="57">
        <v>0</v>
      </c>
      <c r="AB63" s="57" t="s">
        <v>864</v>
      </c>
      <c r="AE63" s="75" t="s">
        <v>1124</v>
      </c>
      <c r="AF63" s="162" t="s">
        <v>1641</v>
      </c>
    </row>
    <row r="64" spans="1:32" ht="16.05" customHeight="1" thickBot="1">
      <c r="A64" s="8" t="s">
        <v>290</v>
      </c>
      <c r="B64" s="51">
        <v>9</v>
      </c>
      <c r="C64" s="22"/>
      <c r="D64" s="110" t="s">
        <v>902</v>
      </c>
      <c r="E64" s="3">
        <f>ROUND(SUM(E65:E77)/COUNT(E65:E77), 2)</f>
        <v>8.4600000000000009</v>
      </c>
      <c r="F64" s="4"/>
      <c r="G64" s="8" t="s">
        <v>324</v>
      </c>
      <c r="H64" s="51">
        <v>7.5</v>
      </c>
      <c r="I64" s="4"/>
      <c r="J64" s="10" t="s">
        <v>316</v>
      </c>
      <c r="K64" s="52">
        <v>8</v>
      </c>
      <c r="L64" s="4"/>
      <c r="M64" s="8" t="s">
        <v>305</v>
      </c>
      <c r="N64" s="51">
        <v>10</v>
      </c>
      <c r="O64" s="22"/>
      <c r="R64" s="66">
        <v>62</v>
      </c>
      <c r="S64" s="75" t="s">
        <v>350</v>
      </c>
      <c r="T64" s="75" t="s">
        <v>132</v>
      </c>
      <c r="U64" s="77">
        <v>9.2100000000000009</v>
      </c>
      <c r="V64" s="146">
        <v>9.23</v>
      </c>
      <c r="W64" s="75">
        <v>9</v>
      </c>
      <c r="X64" s="75">
        <v>0.8</v>
      </c>
      <c r="Y64" s="75">
        <v>2</v>
      </c>
      <c r="Z64" s="75">
        <v>7</v>
      </c>
      <c r="AA64" s="75">
        <v>0</v>
      </c>
      <c r="AB64" s="75" t="s">
        <v>802</v>
      </c>
      <c r="AE64" s="57" t="s">
        <v>1456</v>
      </c>
      <c r="AF64" s="163" t="s">
        <v>1457</v>
      </c>
    </row>
    <row r="65" spans="1:32" ht="16.05" customHeight="1" thickBot="1">
      <c r="A65" s="8" t="s">
        <v>291</v>
      </c>
      <c r="B65" s="51">
        <v>9.5</v>
      </c>
      <c r="C65" s="22"/>
      <c r="D65" s="5" t="s">
        <v>376</v>
      </c>
      <c r="E65" s="51">
        <v>8</v>
      </c>
      <c r="F65" s="4"/>
      <c r="G65" s="8" t="s">
        <v>325</v>
      </c>
      <c r="H65" s="51">
        <v>10</v>
      </c>
      <c r="I65" s="4"/>
      <c r="J65" s="21"/>
      <c r="K65" s="21"/>
      <c r="L65" s="4"/>
      <c r="M65" s="10" t="s">
        <v>306</v>
      </c>
      <c r="N65" s="52"/>
      <c r="O65" s="22"/>
      <c r="R65" s="66">
        <v>63</v>
      </c>
      <c r="S65" s="57" t="s">
        <v>350</v>
      </c>
      <c r="T65" s="57" t="s">
        <v>993</v>
      </c>
      <c r="U65" s="76">
        <v>8.8800000000000008</v>
      </c>
      <c r="V65" s="233">
        <v>8.85</v>
      </c>
      <c r="W65" s="57">
        <v>8.75</v>
      </c>
      <c r="X65" s="57">
        <v>0.89</v>
      </c>
      <c r="Y65" s="57">
        <v>1</v>
      </c>
      <c r="Z65" s="57">
        <v>8</v>
      </c>
      <c r="AA65" s="57">
        <v>0</v>
      </c>
      <c r="AB65" s="57" t="s">
        <v>802</v>
      </c>
      <c r="AE65" s="75" t="s">
        <v>801</v>
      </c>
      <c r="AF65" s="162" t="s">
        <v>1181</v>
      </c>
    </row>
    <row r="66" spans="1:32" ht="16.05" customHeight="1" thickBot="1">
      <c r="A66" s="8" t="s">
        <v>292</v>
      </c>
      <c r="B66" s="51">
        <v>10</v>
      </c>
      <c r="C66" s="22"/>
      <c r="D66" s="5" t="s">
        <v>377</v>
      </c>
      <c r="E66" s="51">
        <v>10</v>
      </c>
      <c r="F66" s="4"/>
      <c r="G66" s="8" t="s">
        <v>326</v>
      </c>
      <c r="H66" s="51">
        <v>7.5</v>
      </c>
      <c r="I66" s="22"/>
      <c r="J66" s="62" t="s">
        <v>401</v>
      </c>
      <c r="K66" s="3">
        <f>ROUND(SUM(K67:K75)/COUNT(K67:K75), 2)</f>
        <v>8</v>
      </c>
      <c r="L66" s="4"/>
      <c r="M66" s="21"/>
      <c r="N66" s="21"/>
      <c r="O66" s="22"/>
      <c r="R66" s="66">
        <v>64</v>
      </c>
      <c r="S66" s="75" t="s">
        <v>350</v>
      </c>
      <c r="T66" s="75" t="s">
        <v>923</v>
      </c>
      <c r="U66" s="77">
        <v>8.7100000000000009</v>
      </c>
      <c r="V66" s="241">
        <v>8.67</v>
      </c>
      <c r="W66" s="75">
        <v>8.5</v>
      </c>
      <c r="X66" s="75">
        <v>0.96</v>
      </c>
      <c r="Y66" s="75">
        <v>1</v>
      </c>
      <c r="Z66" s="75">
        <v>7</v>
      </c>
      <c r="AA66" s="75">
        <v>0</v>
      </c>
      <c r="AB66" s="75" t="s">
        <v>802</v>
      </c>
      <c r="AE66" s="57" t="s">
        <v>1526</v>
      </c>
      <c r="AF66" s="163" t="s">
        <v>1274</v>
      </c>
    </row>
    <row r="67" spans="1:32" ht="16.05" customHeight="1" thickBot="1">
      <c r="A67" s="8" t="s">
        <v>293</v>
      </c>
      <c r="B67" s="51">
        <v>8</v>
      </c>
      <c r="C67" s="22"/>
      <c r="D67" s="5" t="s">
        <v>378</v>
      </c>
      <c r="E67" s="51">
        <v>9</v>
      </c>
      <c r="F67" s="4"/>
      <c r="G67" s="10" t="s">
        <v>327</v>
      </c>
      <c r="H67" s="52">
        <v>6</v>
      </c>
      <c r="I67" s="4"/>
      <c r="J67" s="7" t="s">
        <v>392</v>
      </c>
      <c r="K67" s="50"/>
      <c r="L67" s="22"/>
      <c r="M67" s="144" t="s">
        <v>1027</v>
      </c>
      <c r="N67" s="3">
        <f>ROUND(SUM(N68:N77)/COUNT(N68:N77), 2)</f>
        <v>8.6999999999999993</v>
      </c>
      <c r="O67" s="22"/>
      <c r="R67" s="66">
        <v>65</v>
      </c>
      <c r="S67" s="57" t="s">
        <v>350</v>
      </c>
      <c r="T67" s="57" t="s">
        <v>531</v>
      </c>
      <c r="U67" s="76">
        <v>8.5</v>
      </c>
      <c r="V67" s="246">
        <v>8.34</v>
      </c>
      <c r="W67" s="57">
        <v>8.5</v>
      </c>
      <c r="X67" s="57">
        <v>0.94</v>
      </c>
      <c r="Y67" s="57">
        <v>1</v>
      </c>
      <c r="Z67" s="57">
        <v>8</v>
      </c>
      <c r="AA67" s="57">
        <v>0</v>
      </c>
      <c r="AB67" s="57" t="s">
        <v>802</v>
      </c>
      <c r="AE67" s="75" t="s">
        <v>1273</v>
      </c>
      <c r="AF67" s="162" t="s">
        <v>1274</v>
      </c>
    </row>
    <row r="68" spans="1:32" ht="16.05" customHeight="1" thickBot="1">
      <c r="A68" s="10" t="s">
        <v>294</v>
      </c>
      <c r="B68" s="52">
        <v>7.5</v>
      </c>
      <c r="C68" s="22"/>
      <c r="D68" s="5" t="s">
        <v>379</v>
      </c>
      <c r="E68" s="51">
        <v>8.5</v>
      </c>
      <c r="F68" s="4"/>
      <c r="G68" s="21"/>
      <c r="H68" s="21"/>
      <c r="I68" s="4"/>
      <c r="J68" s="8" t="s">
        <v>393</v>
      </c>
      <c r="K68" s="51">
        <v>7</v>
      </c>
      <c r="L68" s="22"/>
      <c r="M68" s="5" t="s">
        <v>403</v>
      </c>
      <c r="N68" s="51">
        <v>10.5</v>
      </c>
      <c r="O68" s="22"/>
      <c r="R68" s="66">
        <v>66</v>
      </c>
      <c r="S68" s="75" t="s">
        <v>1558</v>
      </c>
      <c r="T68" s="75" t="s">
        <v>1559</v>
      </c>
      <c r="U68" s="77">
        <v>8.93</v>
      </c>
      <c r="V68" s="234">
        <v>8.82</v>
      </c>
      <c r="W68" s="75">
        <v>9</v>
      </c>
      <c r="X68" s="75">
        <v>0.73</v>
      </c>
      <c r="Y68" s="75">
        <v>1</v>
      </c>
      <c r="Z68" s="75">
        <v>7</v>
      </c>
      <c r="AA68" s="75">
        <v>0</v>
      </c>
      <c r="AB68" s="75" t="s">
        <v>1562</v>
      </c>
      <c r="AE68" s="57" t="s">
        <v>1275</v>
      </c>
      <c r="AF68" s="163" t="s">
        <v>1274</v>
      </c>
    </row>
    <row r="69" spans="1:32" ht="16.05" customHeight="1" thickBot="1">
      <c r="A69" s="21"/>
      <c r="B69" s="21"/>
      <c r="C69" s="22"/>
      <c r="D69" s="5" t="s">
        <v>380</v>
      </c>
      <c r="E69" s="51">
        <v>10</v>
      </c>
      <c r="F69" s="22"/>
      <c r="G69" s="109" t="s">
        <v>901</v>
      </c>
      <c r="H69" s="3">
        <f>ROUND(SUM(H70:H81)/COUNT(H70:H81), 2)</f>
        <v>8.67</v>
      </c>
      <c r="I69" s="4"/>
      <c r="J69" s="8" t="s">
        <v>394</v>
      </c>
      <c r="K69" s="51">
        <v>8.5</v>
      </c>
      <c r="L69" s="22"/>
      <c r="M69" s="5" t="s">
        <v>404</v>
      </c>
      <c r="N69" s="51">
        <v>9.5</v>
      </c>
      <c r="O69" s="22"/>
      <c r="R69" s="66">
        <v>67</v>
      </c>
      <c r="S69" s="57" t="s">
        <v>348</v>
      </c>
      <c r="T69" s="57" t="s">
        <v>1054</v>
      </c>
      <c r="U69" s="76">
        <v>10</v>
      </c>
      <c r="V69" s="141">
        <v>10.35</v>
      </c>
      <c r="W69" s="57">
        <v>10</v>
      </c>
      <c r="X69" s="57">
        <v>0.55000000000000004</v>
      </c>
      <c r="Y69" s="57">
        <v>4</v>
      </c>
      <c r="Z69" s="57">
        <v>5</v>
      </c>
      <c r="AA69" s="57">
        <v>0</v>
      </c>
      <c r="AB69" s="57" t="s">
        <v>778</v>
      </c>
      <c r="AE69" s="75" t="s">
        <v>1461</v>
      </c>
      <c r="AF69" s="162" t="s">
        <v>1274</v>
      </c>
    </row>
    <row r="70" spans="1:32" ht="16.05" customHeight="1" thickBot="1">
      <c r="A70" s="71" t="s">
        <v>483</v>
      </c>
      <c r="B70" s="3">
        <f>ROUND(SUM(B71:B77)/COUNT(B71:B77), 2)</f>
        <v>7.29</v>
      </c>
      <c r="C70" s="22"/>
      <c r="D70" s="5" t="s">
        <v>381</v>
      </c>
      <c r="E70" s="51">
        <v>8</v>
      </c>
      <c r="F70" s="22"/>
      <c r="G70" s="5" t="s">
        <v>415</v>
      </c>
      <c r="H70" s="51">
        <v>8.5</v>
      </c>
      <c r="I70" s="4"/>
      <c r="J70" s="8" t="s">
        <v>395</v>
      </c>
      <c r="K70" s="51">
        <v>8.5</v>
      </c>
      <c r="L70" s="22"/>
      <c r="M70" s="5" t="s">
        <v>405</v>
      </c>
      <c r="N70" s="51">
        <v>8</v>
      </c>
      <c r="O70" s="22"/>
      <c r="R70" s="66">
        <v>68</v>
      </c>
      <c r="S70" s="75" t="s">
        <v>348</v>
      </c>
      <c r="T70" s="75" t="s">
        <v>349</v>
      </c>
      <c r="U70" s="77">
        <v>9.44</v>
      </c>
      <c r="V70" s="218">
        <v>9.65</v>
      </c>
      <c r="W70" s="75">
        <v>9.5</v>
      </c>
      <c r="X70" s="75">
        <v>0.93</v>
      </c>
      <c r="Y70" s="75">
        <v>4</v>
      </c>
      <c r="Z70" s="75">
        <v>10</v>
      </c>
      <c r="AA70" s="75">
        <v>1</v>
      </c>
      <c r="AB70" s="75" t="s">
        <v>779</v>
      </c>
      <c r="AE70" s="57" t="s">
        <v>1121</v>
      </c>
      <c r="AF70" s="163" t="s">
        <v>1122</v>
      </c>
    </row>
    <row r="71" spans="1:32" ht="16.05" customHeight="1">
      <c r="A71" s="13" t="s">
        <v>429</v>
      </c>
      <c r="B71" s="50">
        <v>8</v>
      </c>
      <c r="C71" s="22"/>
      <c r="D71" s="5" t="s">
        <v>382</v>
      </c>
      <c r="E71" s="51">
        <v>7.5</v>
      </c>
      <c r="F71" s="22"/>
      <c r="G71" s="5" t="s">
        <v>416</v>
      </c>
      <c r="H71" s="51">
        <v>9</v>
      </c>
      <c r="I71" s="4"/>
      <c r="J71" s="8" t="s">
        <v>396</v>
      </c>
      <c r="K71" s="51">
        <v>8</v>
      </c>
      <c r="L71" s="22"/>
      <c r="M71" s="5" t="s">
        <v>406</v>
      </c>
      <c r="N71" s="51">
        <v>8.5</v>
      </c>
      <c r="O71" s="22"/>
      <c r="R71" s="66">
        <v>69</v>
      </c>
      <c r="S71" s="57" t="s">
        <v>348</v>
      </c>
      <c r="T71" s="57" t="s">
        <v>792</v>
      </c>
      <c r="U71" s="76">
        <v>9.4</v>
      </c>
      <c r="V71" s="220">
        <v>9.49</v>
      </c>
      <c r="W71" s="57">
        <v>9.5</v>
      </c>
      <c r="X71" s="57">
        <v>0.8</v>
      </c>
      <c r="Y71" s="57">
        <v>2</v>
      </c>
      <c r="Z71" s="57">
        <v>5</v>
      </c>
      <c r="AA71" s="57">
        <v>0</v>
      </c>
      <c r="AB71" s="57" t="s">
        <v>779</v>
      </c>
      <c r="AE71" s="75" t="s">
        <v>1123</v>
      </c>
      <c r="AF71" s="162" t="s">
        <v>1122</v>
      </c>
    </row>
    <row r="72" spans="1:32" ht="16.05" customHeight="1">
      <c r="A72" s="6" t="s">
        <v>430</v>
      </c>
      <c r="B72" s="51">
        <v>7</v>
      </c>
      <c r="C72" s="22"/>
      <c r="D72" s="5" t="s">
        <v>383</v>
      </c>
      <c r="E72" s="51">
        <v>9</v>
      </c>
      <c r="F72" s="22"/>
      <c r="G72" s="5" t="s">
        <v>417</v>
      </c>
      <c r="H72" s="51">
        <v>8.5</v>
      </c>
      <c r="I72" s="4"/>
      <c r="J72" s="8" t="s">
        <v>397</v>
      </c>
      <c r="K72" s="51">
        <v>8.5</v>
      </c>
      <c r="L72" s="22"/>
      <c r="M72" s="5" t="s">
        <v>407</v>
      </c>
      <c r="N72" s="51">
        <v>10</v>
      </c>
      <c r="O72" s="22"/>
      <c r="R72" s="66">
        <v>70</v>
      </c>
      <c r="S72" s="75" t="s">
        <v>499</v>
      </c>
      <c r="T72" s="75" t="s">
        <v>517</v>
      </c>
      <c r="U72" s="77">
        <v>9.17</v>
      </c>
      <c r="V72" s="166">
        <v>9.19</v>
      </c>
      <c r="W72" s="75">
        <v>9</v>
      </c>
      <c r="X72" s="75">
        <v>0.69</v>
      </c>
      <c r="Y72" s="75">
        <v>1</v>
      </c>
      <c r="Z72" s="75">
        <v>6</v>
      </c>
      <c r="AA72" s="75">
        <v>0</v>
      </c>
      <c r="AB72" s="75" t="s">
        <v>780</v>
      </c>
      <c r="AE72" s="57" t="s">
        <v>1445</v>
      </c>
      <c r="AF72" s="163" t="s">
        <v>1122</v>
      </c>
    </row>
    <row r="73" spans="1:32" ht="16.05" customHeight="1">
      <c r="A73" s="6" t="s">
        <v>431</v>
      </c>
      <c r="B73" s="51">
        <v>6.5</v>
      </c>
      <c r="C73" s="22"/>
      <c r="D73" s="5" t="s">
        <v>384</v>
      </c>
      <c r="E73" s="51">
        <v>7</v>
      </c>
      <c r="F73" s="22"/>
      <c r="G73" s="5" t="s">
        <v>418</v>
      </c>
      <c r="H73" s="51">
        <v>10</v>
      </c>
      <c r="I73" s="4"/>
      <c r="J73" s="8" t="s">
        <v>398</v>
      </c>
      <c r="K73" s="51">
        <v>8.5</v>
      </c>
      <c r="L73" s="22"/>
      <c r="M73" s="5" t="s">
        <v>408</v>
      </c>
      <c r="N73" s="51">
        <v>8.5</v>
      </c>
      <c r="O73" s="22"/>
      <c r="R73" s="66">
        <v>71</v>
      </c>
      <c r="S73" s="57" t="s">
        <v>499</v>
      </c>
      <c r="T73" s="57" t="s">
        <v>670</v>
      </c>
      <c r="U73" s="76">
        <v>8.94</v>
      </c>
      <c r="V73" s="230">
        <v>8.9700000000000006</v>
      </c>
      <c r="W73" s="57">
        <v>9</v>
      </c>
      <c r="X73" s="57">
        <v>0.86</v>
      </c>
      <c r="Y73" s="57">
        <v>2</v>
      </c>
      <c r="Z73" s="57">
        <v>9</v>
      </c>
      <c r="AA73" s="57">
        <v>0</v>
      </c>
      <c r="AB73" s="57" t="s">
        <v>780</v>
      </c>
      <c r="AE73" s="75" t="s">
        <v>1125</v>
      </c>
      <c r="AF73" s="162" t="s">
        <v>1624</v>
      </c>
    </row>
    <row r="74" spans="1:32" ht="16.05" customHeight="1">
      <c r="A74" s="6" t="s">
        <v>432</v>
      </c>
      <c r="B74" s="51">
        <v>7</v>
      </c>
      <c r="C74" s="22"/>
      <c r="D74" s="5" t="s">
        <v>385</v>
      </c>
      <c r="E74" s="51">
        <v>8.5</v>
      </c>
      <c r="F74" s="22"/>
      <c r="G74" s="5" t="s">
        <v>419</v>
      </c>
      <c r="H74" s="51">
        <v>8.5</v>
      </c>
      <c r="I74" s="4"/>
      <c r="J74" s="8" t="s">
        <v>399</v>
      </c>
      <c r="K74" s="51">
        <v>7.5</v>
      </c>
      <c r="L74" s="22"/>
      <c r="M74" s="5" t="s">
        <v>409</v>
      </c>
      <c r="N74" s="51">
        <v>7.5</v>
      </c>
      <c r="O74" s="22"/>
      <c r="R74" s="66">
        <v>72</v>
      </c>
      <c r="S74" s="75" t="s">
        <v>499</v>
      </c>
      <c r="T74" s="75" t="s">
        <v>500</v>
      </c>
      <c r="U74" s="77">
        <v>8.67</v>
      </c>
      <c r="V74" s="212">
        <v>8.51</v>
      </c>
      <c r="W74" s="75">
        <v>8.5</v>
      </c>
      <c r="X74" s="75">
        <v>0.92</v>
      </c>
      <c r="Y74" s="75">
        <v>3</v>
      </c>
      <c r="Z74" s="75">
        <v>12</v>
      </c>
      <c r="AA74" s="75">
        <v>0</v>
      </c>
      <c r="AB74" s="75" t="s">
        <v>780</v>
      </c>
      <c r="AE74" s="57" t="s">
        <v>1528</v>
      </c>
      <c r="AF74" s="163" t="s">
        <v>1531</v>
      </c>
    </row>
    <row r="75" spans="1:32" ht="16.05" customHeight="1" thickBot="1">
      <c r="A75" s="6" t="s">
        <v>433</v>
      </c>
      <c r="B75" s="51">
        <v>8</v>
      </c>
      <c r="C75" s="22"/>
      <c r="D75" s="5" t="s">
        <v>386</v>
      </c>
      <c r="E75" s="51">
        <v>8</v>
      </c>
      <c r="F75" s="22"/>
      <c r="G75" s="5" t="s">
        <v>420</v>
      </c>
      <c r="H75" s="51">
        <v>10.5</v>
      </c>
      <c r="I75" s="4"/>
      <c r="J75" s="10" t="s">
        <v>400</v>
      </c>
      <c r="K75" s="52">
        <v>7.5</v>
      </c>
      <c r="L75" s="22"/>
      <c r="M75" s="5" t="s">
        <v>410</v>
      </c>
      <c r="N75" s="51">
        <v>8</v>
      </c>
      <c r="O75" s="22"/>
      <c r="R75" s="66">
        <v>73</v>
      </c>
      <c r="S75" s="57" t="s">
        <v>1389</v>
      </c>
      <c r="T75" s="57" t="s">
        <v>1390</v>
      </c>
      <c r="U75" s="76">
        <v>8.77</v>
      </c>
      <c r="V75" s="149">
        <v>8.61</v>
      </c>
      <c r="W75" s="57">
        <v>8.5</v>
      </c>
      <c r="X75" s="57">
        <v>0.75</v>
      </c>
      <c r="Y75" s="57">
        <v>2</v>
      </c>
      <c r="Z75" s="57">
        <v>14</v>
      </c>
      <c r="AA75" s="57">
        <v>1</v>
      </c>
      <c r="AB75" s="57" t="s">
        <v>1394</v>
      </c>
      <c r="AE75" s="75" t="s">
        <v>1118</v>
      </c>
      <c r="AF75" s="162" t="s">
        <v>1199</v>
      </c>
    </row>
    <row r="76" spans="1:32" ht="16.05" customHeight="1" thickBot="1">
      <c r="A76" s="6" t="s">
        <v>434</v>
      </c>
      <c r="B76" s="51">
        <v>7.5</v>
      </c>
      <c r="C76" s="22"/>
      <c r="D76" s="5" t="s">
        <v>388</v>
      </c>
      <c r="E76" s="51">
        <v>8.5</v>
      </c>
      <c r="F76" s="22"/>
      <c r="G76" s="5" t="s">
        <v>421</v>
      </c>
      <c r="H76" s="51">
        <v>9</v>
      </c>
      <c r="I76" s="4"/>
      <c r="J76" s="21"/>
      <c r="K76" s="21"/>
      <c r="L76" s="22"/>
      <c r="M76" s="5" t="s">
        <v>411</v>
      </c>
      <c r="N76" s="51">
        <v>7</v>
      </c>
      <c r="O76" s="22"/>
      <c r="R76" s="66">
        <v>74</v>
      </c>
      <c r="S76" s="75" t="s">
        <v>343</v>
      </c>
      <c r="T76" s="75" t="s">
        <v>344</v>
      </c>
      <c r="U76" s="77">
        <v>9.6999999999999993</v>
      </c>
      <c r="V76" s="141">
        <v>10.29</v>
      </c>
      <c r="W76" s="75">
        <v>10</v>
      </c>
      <c r="X76" s="75">
        <v>0.87</v>
      </c>
      <c r="Y76" s="75">
        <v>6</v>
      </c>
      <c r="Z76" s="75">
        <v>10</v>
      </c>
      <c r="AA76" s="75">
        <v>0</v>
      </c>
      <c r="AB76" s="75" t="s">
        <v>776</v>
      </c>
      <c r="AE76" s="57" t="s">
        <v>800</v>
      </c>
      <c r="AF76" s="163" t="s">
        <v>1661</v>
      </c>
    </row>
    <row r="77" spans="1:32" ht="16.05" customHeight="1" thickBot="1">
      <c r="A77" s="9" t="s">
        <v>435</v>
      </c>
      <c r="B77" s="52">
        <v>7</v>
      </c>
      <c r="C77" s="22"/>
      <c r="D77" s="61" t="s">
        <v>387</v>
      </c>
      <c r="E77" s="52">
        <v>8</v>
      </c>
      <c r="F77" s="22"/>
      <c r="G77" s="5" t="s">
        <v>422</v>
      </c>
      <c r="H77" s="51">
        <v>8.5</v>
      </c>
      <c r="I77" s="22"/>
      <c r="J77" s="127" t="s">
        <v>919</v>
      </c>
      <c r="K77" s="3">
        <f>ROUND(SUM(K78:K88)/COUNT(K78:K88), 2)</f>
        <v>7.77</v>
      </c>
      <c r="L77" s="22"/>
      <c r="M77" s="63" t="s">
        <v>412</v>
      </c>
      <c r="N77" s="52">
        <v>9.5</v>
      </c>
      <c r="O77" s="22"/>
      <c r="R77" s="66">
        <v>75</v>
      </c>
      <c r="S77" s="57" t="s">
        <v>343</v>
      </c>
      <c r="T77" s="57" t="s">
        <v>345</v>
      </c>
      <c r="U77" s="76">
        <v>9.5500000000000007</v>
      </c>
      <c r="V77" s="217">
        <v>9.77</v>
      </c>
      <c r="W77" s="57">
        <v>9.5</v>
      </c>
      <c r="X77" s="57">
        <v>0.57999999999999996</v>
      </c>
      <c r="Y77" s="57">
        <v>3</v>
      </c>
      <c r="Z77" s="57">
        <v>12</v>
      </c>
      <c r="AA77" s="57">
        <v>1</v>
      </c>
      <c r="AB77" s="57" t="s">
        <v>776</v>
      </c>
      <c r="AE77" s="75" t="s">
        <v>1129</v>
      </c>
      <c r="AF77" s="162" t="s">
        <v>1532</v>
      </c>
    </row>
    <row r="78" spans="1:32" ht="16.05" customHeight="1" thickBot="1">
      <c r="A78" s="21"/>
      <c r="B78" s="21"/>
      <c r="C78" s="4"/>
      <c r="D78" s="21"/>
      <c r="E78" s="21"/>
      <c r="F78" s="22"/>
      <c r="G78" s="5" t="s">
        <v>423</v>
      </c>
      <c r="H78" s="65">
        <v>7.5</v>
      </c>
      <c r="I78" s="4"/>
      <c r="J78" s="7" t="s">
        <v>438</v>
      </c>
      <c r="K78" s="50">
        <v>8.5</v>
      </c>
      <c r="L78" s="4"/>
      <c r="M78" s="21"/>
      <c r="N78" s="21"/>
      <c r="O78" s="22"/>
      <c r="R78" s="66">
        <v>76</v>
      </c>
      <c r="S78" s="75" t="s">
        <v>343</v>
      </c>
      <c r="T78" s="75" t="s">
        <v>297</v>
      </c>
      <c r="U78" s="77">
        <v>9.0500000000000007</v>
      </c>
      <c r="V78" s="227">
        <v>9.06</v>
      </c>
      <c r="W78" s="75">
        <v>9</v>
      </c>
      <c r="X78" s="75">
        <v>1.04</v>
      </c>
      <c r="Y78" s="75">
        <v>4</v>
      </c>
      <c r="Z78" s="75">
        <v>11</v>
      </c>
      <c r="AA78" s="75">
        <v>1</v>
      </c>
      <c r="AB78" s="75" t="s">
        <v>882</v>
      </c>
      <c r="AE78" s="57" t="s">
        <v>1396</v>
      </c>
      <c r="AF78" s="163" t="s">
        <v>1397</v>
      </c>
    </row>
    <row r="79" spans="1:32" ht="16.05" customHeight="1" thickBot="1">
      <c r="A79" s="72" t="s">
        <v>498</v>
      </c>
      <c r="B79" s="3">
        <f>ROUND(SUM(B80:B91)/COUNT(B80:B91), 2)</f>
        <v>8.9600000000000009</v>
      </c>
      <c r="C79" s="22"/>
      <c r="D79" s="108" t="s">
        <v>900</v>
      </c>
      <c r="E79" s="3">
        <f>ROUND(SUM(E80:E98)/COUNT(E80:E98), 2)</f>
        <v>8.18</v>
      </c>
      <c r="F79" s="22"/>
      <c r="G79" s="5" t="s">
        <v>424</v>
      </c>
      <c r="H79" s="51">
        <v>8.5</v>
      </c>
      <c r="I79" s="4"/>
      <c r="J79" s="8" t="s">
        <v>439</v>
      </c>
      <c r="K79" s="51">
        <v>8.5</v>
      </c>
      <c r="L79" s="22"/>
      <c r="M79" s="143" t="s">
        <v>1026</v>
      </c>
      <c r="N79" s="3">
        <f>ROUND(SUM(N80:N91)/COUNT(N80:N91), 2)</f>
        <v>8.67</v>
      </c>
      <c r="O79" s="22"/>
      <c r="R79" s="66">
        <v>77</v>
      </c>
      <c r="S79" s="57" t="s">
        <v>343</v>
      </c>
      <c r="T79" s="57" t="s">
        <v>451</v>
      </c>
      <c r="U79" s="76">
        <v>8.9600000000000009</v>
      </c>
      <c r="V79" s="231">
        <v>8.9600000000000009</v>
      </c>
      <c r="W79" s="57">
        <v>8.75</v>
      </c>
      <c r="X79" s="57">
        <v>0.83</v>
      </c>
      <c r="Y79" s="57">
        <v>3</v>
      </c>
      <c r="Z79" s="57">
        <v>12</v>
      </c>
      <c r="AA79" s="57">
        <v>0</v>
      </c>
      <c r="AB79" s="57" t="s">
        <v>799</v>
      </c>
      <c r="AE79" s="75" t="s">
        <v>1577</v>
      </c>
      <c r="AF79" s="162" t="s">
        <v>1291</v>
      </c>
    </row>
    <row r="80" spans="1:32" ht="16.05" customHeight="1">
      <c r="A80" s="7" t="s">
        <v>450</v>
      </c>
      <c r="B80" s="50">
        <v>8.5</v>
      </c>
      <c r="C80" s="4"/>
      <c r="D80" s="13" t="s">
        <v>464</v>
      </c>
      <c r="E80" s="50">
        <v>10</v>
      </c>
      <c r="F80" s="22"/>
      <c r="G80" s="5" t="s">
        <v>425</v>
      </c>
      <c r="H80" s="51">
        <v>8</v>
      </c>
      <c r="I80" s="4"/>
      <c r="J80" s="8" t="s">
        <v>440</v>
      </c>
      <c r="K80" s="51">
        <v>7.5</v>
      </c>
      <c r="L80" s="22"/>
      <c r="M80" s="5" t="s">
        <v>486</v>
      </c>
      <c r="N80" s="51">
        <v>10</v>
      </c>
      <c r="O80" s="22"/>
      <c r="R80" s="66">
        <v>78</v>
      </c>
      <c r="S80" s="75" t="s">
        <v>343</v>
      </c>
      <c r="T80" s="75" t="s">
        <v>579</v>
      </c>
      <c r="U80" s="77">
        <v>8.68</v>
      </c>
      <c r="V80" s="149">
        <v>8.61</v>
      </c>
      <c r="W80" s="75">
        <v>9</v>
      </c>
      <c r="X80" s="75">
        <v>0.61</v>
      </c>
      <c r="Y80" s="75">
        <v>0</v>
      </c>
      <c r="Z80" s="75">
        <v>11</v>
      </c>
      <c r="AA80" s="75">
        <v>0</v>
      </c>
      <c r="AB80" s="75" t="s">
        <v>776</v>
      </c>
      <c r="AE80" s="57" t="s">
        <v>1290</v>
      </c>
      <c r="AF80" s="163" t="s">
        <v>1291</v>
      </c>
    </row>
    <row r="81" spans="1:32" ht="16.05" customHeight="1" thickBot="1">
      <c r="A81" s="8" t="s">
        <v>451</v>
      </c>
      <c r="B81" s="51">
        <v>9</v>
      </c>
      <c r="C81" s="4"/>
      <c r="D81" s="6" t="s">
        <v>465</v>
      </c>
      <c r="E81" s="51">
        <v>8</v>
      </c>
      <c r="F81" s="22"/>
      <c r="G81" s="61" t="s">
        <v>306</v>
      </c>
      <c r="H81" s="52">
        <v>7.5</v>
      </c>
      <c r="I81" s="4"/>
      <c r="J81" s="8" t="s">
        <v>441</v>
      </c>
      <c r="K81" s="51">
        <v>7</v>
      </c>
      <c r="L81" s="22"/>
      <c r="M81" s="5" t="s">
        <v>487</v>
      </c>
      <c r="N81" s="51">
        <v>10</v>
      </c>
      <c r="O81" s="22"/>
      <c r="R81" s="66">
        <v>79</v>
      </c>
      <c r="S81" s="57" t="s">
        <v>343</v>
      </c>
      <c r="T81" s="57" t="s">
        <v>881</v>
      </c>
      <c r="U81" s="76">
        <v>8.5</v>
      </c>
      <c r="V81" s="181">
        <v>8.49</v>
      </c>
      <c r="W81" s="57">
        <v>8.5</v>
      </c>
      <c r="X81" s="57">
        <v>0.96</v>
      </c>
      <c r="Y81" s="57">
        <v>2</v>
      </c>
      <c r="Z81" s="57">
        <v>14</v>
      </c>
      <c r="AA81" s="57">
        <v>1</v>
      </c>
      <c r="AB81" s="57" t="s">
        <v>776</v>
      </c>
      <c r="AE81" s="75" t="s">
        <v>1699</v>
      </c>
      <c r="AF81" s="162" t="s">
        <v>1291</v>
      </c>
    </row>
    <row r="82" spans="1:32" ht="16.05" customHeight="1" thickBot="1">
      <c r="A82" s="8" t="s">
        <v>452</v>
      </c>
      <c r="B82" s="51">
        <v>10</v>
      </c>
      <c r="C82" s="4"/>
      <c r="D82" s="6" t="s">
        <v>466</v>
      </c>
      <c r="E82" s="51">
        <v>8.5</v>
      </c>
      <c r="F82" s="4"/>
      <c r="G82" s="21"/>
      <c r="H82" s="21"/>
      <c r="I82" s="4"/>
      <c r="J82" s="8" t="s">
        <v>442</v>
      </c>
      <c r="K82" s="51">
        <v>8</v>
      </c>
      <c r="L82" s="22"/>
      <c r="M82" s="5" t="s">
        <v>488</v>
      </c>
      <c r="N82" s="51">
        <v>8</v>
      </c>
      <c r="O82" s="22"/>
      <c r="R82" s="66">
        <v>80</v>
      </c>
      <c r="S82" s="75" t="s">
        <v>343</v>
      </c>
      <c r="T82" s="75" t="s">
        <v>634</v>
      </c>
      <c r="U82" s="77">
        <v>8.0500000000000007</v>
      </c>
      <c r="V82" s="154">
        <v>8.01</v>
      </c>
      <c r="W82" s="75">
        <v>8.25</v>
      </c>
      <c r="X82" s="75">
        <v>1.19</v>
      </c>
      <c r="Y82" s="75">
        <v>1</v>
      </c>
      <c r="Z82" s="75">
        <v>11</v>
      </c>
      <c r="AA82" s="75">
        <v>1</v>
      </c>
      <c r="AB82" s="75" t="s">
        <v>776</v>
      </c>
      <c r="AE82" s="57" t="s">
        <v>1560</v>
      </c>
      <c r="AF82" s="163" t="s">
        <v>1127</v>
      </c>
    </row>
    <row r="83" spans="1:32" ht="16.05" customHeight="1" thickBot="1">
      <c r="A83" s="8" t="s">
        <v>453</v>
      </c>
      <c r="B83" s="51">
        <v>10.5</v>
      </c>
      <c r="C83" s="4"/>
      <c r="D83" s="6" t="s">
        <v>467</v>
      </c>
      <c r="E83" s="51">
        <v>10</v>
      </c>
      <c r="F83" s="22"/>
      <c r="G83" s="73" t="s">
        <v>501</v>
      </c>
      <c r="H83" s="3">
        <f>ROUND(SUM(H84:H95)/COUNT(H84:H95), 2)</f>
        <v>7.67</v>
      </c>
      <c r="I83" s="4"/>
      <c r="J83" s="8" t="s">
        <v>443</v>
      </c>
      <c r="K83" s="51">
        <v>7.5</v>
      </c>
      <c r="L83" s="22"/>
      <c r="M83" s="5" t="s">
        <v>489</v>
      </c>
      <c r="N83" s="51">
        <v>9</v>
      </c>
      <c r="O83" s="22"/>
      <c r="R83" s="66">
        <v>81</v>
      </c>
      <c r="S83" s="57" t="s">
        <v>343</v>
      </c>
      <c r="T83" s="57" t="s">
        <v>968</v>
      </c>
      <c r="U83" s="76">
        <v>7.88</v>
      </c>
      <c r="V83" s="258">
        <v>7.68</v>
      </c>
      <c r="W83" s="57">
        <v>7.75</v>
      </c>
      <c r="X83" s="57">
        <v>0.86</v>
      </c>
      <c r="Y83" s="57">
        <v>0</v>
      </c>
      <c r="Z83" s="57">
        <v>8</v>
      </c>
      <c r="AA83" s="57">
        <v>0</v>
      </c>
      <c r="AB83" s="57" t="s">
        <v>969</v>
      </c>
      <c r="AE83" s="75" t="s">
        <v>1561</v>
      </c>
      <c r="AF83" s="162" t="s">
        <v>1127</v>
      </c>
    </row>
    <row r="84" spans="1:32" ht="16.05" customHeight="1">
      <c r="A84" s="8" t="s">
        <v>454</v>
      </c>
      <c r="B84" s="51">
        <v>8</v>
      </c>
      <c r="C84" s="4"/>
      <c r="D84" s="6" t="s">
        <v>468</v>
      </c>
      <c r="E84" s="51">
        <v>8.5</v>
      </c>
      <c r="F84" s="22"/>
      <c r="G84" s="5" t="s">
        <v>502</v>
      </c>
      <c r="H84" s="50">
        <v>8</v>
      </c>
      <c r="I84" s="4"/>
      <c r="J84" s="8" t="s">
        <v>444</v>
      </c>
      <c r="K84" s="51">
        <v>7.5</v>
      </c>
      <c r="L84" s="22"/>
      <c r="M84" s="5" t="s">
        <v>490</v>
      </c>
      <c r="N84" s="51">
        <v>8</v>
      </c>
      <c r="O84" s="22"/>
      <c r="R84" s="66">
        <v>82</v>
      </c>
      <c r="S84" s="75" t="s">
        <v>343</v>
      </c>
      <c r="T84" s="75" t="s">
        <v>1007</v>
      </c>
      <c r="U84" s="77">
        <v>7.5</v>
      </c>
      <c r="V84" s="261">
        <v>7.35</v>
      </c>
      <c r="W84" s="75">
        <v>7.5</v>
      </c>
      <c r="X84" s="75">
        <v>0.76</v>
      </c>
      <c r="Y84" s="75">
        <v>0</v>
      </c>
      <c r="Z84" s="75">
        <v>12</v>
      </c>
      <c r="AA84" s="75">
        <v>0</v>
      </c>
      <c r="AB84" s="75" t="s">
        <v>799</v>
      </c>
      <c r="AE84" s="57" t="s">
        <v>1126</v>
      </c>
      <c r="AF84" s="163" t="s">
        <v>1127</v>
      </c>
    </row>
    <row r="85" spans="1:32" ht="16.05" customHeight="1">
      <c r="A85" s="8" t="s">
        <v>455</v>
      </c>
      <c r="B85" s="51">
        <v>8.5</v>
      </c>
      <c r="C85" s="4"/>
      <c r="D85" s="6" t="s">
        <v>469</v>
      </c>
      <c r="E85" s="51">
        <v>7</v>
      </c>
      <c r="F85" s="22"/>
      <c r="G85" s="5" t="s">
        <v>503</v>
      </c>
      <c r="H85" s="51">
        <v>8</v>
      </c>
      <c r="I85" s="4"/>
      <c r="J85" s="8" t="s">
        <v>445</v>
      </c>
      <c r="K85" s="51">
        <v>7.5</v>
      </c>
      <c r="L85" s="22"/>
      <c r="M85" s="5" t="s">
        <v>491</v>
      </c>
      <c r="N85" s="51">
        <v>8</v>
      </c>
      <c r="O85" s="22"/>
      <c r="R85" s="66">
        <v>83</v>
      </c>
      <c r="S85" s="57" t="s">
        <v>402</v>
      </c>
      <c r="T85" s="57" t="s">
        <v>395</v>
      </c>
      <c r="U85" s="76">
        <v>8</v>
      </c>
      <c r="V85" s="256">
        <v>7.93</v>
      </c>
      <c r="W85" s="57">
        <v>8.25</v>
      </c>
      <c r="X85" s="57">
        <v>0.56000000000000005</v>
      </c>
      <c r="Y85" s="57">
        <v>0</v>
      </c>
      <c r="Z85" s="57">
        <v>9</v>
      </c>
      <c r="AA85" s="57">
        <v>1</v>
      </c>
      <c r="AB85" s="57" t="s">
        <v>780</v>
      </c>
      <c r="AE85" s="75" t="s">
        <v>1128</v>
      </c>
      <c r="AF85" s="162" t="s">
        <v>1127</v>
      </c>
    </row>
    <row r="86" spans="1:32" ht="16.05" customHeight="1">
      <c r="A86" s="8" t="s">
        <v>456</v>
      </c>
      <c r="B86" s="51">
        <v>9</v>
      </c>
      <c r="C86" s="4"/>
      <c r="D86" s="6" t="s">
        <v>470</v>
      </c>
      <c r="E86" s="51">
        <v>7.5</v>
      </c>
      <c r="F86" s="22"/>
      <c r="G86" s="5" t="s">
        <v>504</v>
      </c>
      <c r="H86" s="51">
        <v>8</v>
      </c>
      <c r="I86" s="4"/>
      <c r="J86" s="8" t="s">
        <v>446</v>
      </c>
      <c r="K86" s="51">
        <v>7</v>
      </c>
      <c r="L86" s="22"/>
      <c r="M86" s="5" t="s">
        <v>492</v>
      </c>
      <c r="N86" s="51">
        <v>8.5</v>
      </c>
      <c r="O86" s="22"/>
      <c r="R86" s="66">
        <v>84</v>
      </c>
      <c r="S86" s="75" t="s">
        <v>749</v>
      </c>
      <c r="T86" s="75" t="s">
        <v>750</v>
      </c>
      <c r="U86" s="77">
        <v>8.67</v>
      </c>
      <c r="V86" s="244">
        <v>8.5399999999999991</v>
      </c>
      <c r="W86" s="75">
        <v>8.5</v>
      </c>
      <c r="X86" s="75">
        <v>0.62</v>
      </c>
      <c r="Y86" s="75">
        <v>1</v>
      </c>
      <c r="Z86" s="75">
        <v>9</v>
      </c>
      <c r="AA86" s="75">
        <v>0</v>
      </c>
      <c r="AB86" s="75" t="s">
        <v>804</v>
      </c>
      <c r="AE86" s="57" t="s">
        <v>1134</v>
      </c>
      <c r="AF86" s="163" t="s">
        <v>1578</v>
      </c>
    </row>
    <row r="87" spans="1:32" ht="16.05" customHeight="1">
      <c r="A87" s="8" t="s">
        <v>457</v>
      </c>
      <c r="B87" s="51">
        <v>8</v>
      </c>
      <c r="C87" s="4"/>
      <c r="D87" s="6" t="s">
        <v>471</v>
      </c>
      <c r="E87" s="51">
        <v>9</v>
      </c>
      <c r="F87" s="22"/>
      <c r="G87" s="5" t="s">
        <v>505</v>
      </c>
      <c r="H87" s="51">
        <v>8.5</v>
      </c>
      <c r="I87" s="4"/>
      <c r="J87" s="8" t="s">
        <v>447</v>
      </c>
      <c r="K87" s="51">
        <v>7.5</v>
      </c>
      <c r="L87" s="22"/>
      <c r="M87" s="5" t="s">
        <v>493</v>
      </c>
      <c r="N87" s="51">
        <v>9</v>
      </c>
      <c r="O87" s="22"/>
      <c r="R87" s="66">
        <v>85</v>
      </c>
      <c r="S87" s="57" t="s">
        <v>982</v>
      </c>
      <c r="T87" s="57" t="s">
        <v>980</v>
      </c>
      <c r="U87" s="76">
        <v>8.67</v>
      </c>
      <c r="V87" s="192">
        <v>8.52</v>
      </c>
      <c r="W87" s="57">
        <v>8.5</v>
      </c>
      <c r="X87" s="57">
        <v>0.71</v>
      </c>
      <c r="Y87" s="57">
        <v>1</v>
      </c>
      <c r="Z87" s="57">
        <v>10</v>
      </c>
      <c r="AA87" s="57">
        <v>1</v>
      </c>
      <c r="AB87" s="57" t="s">
        <v>983</v>
      </c>
      <c r="AE87" s="75" t="s">
        <v>799</v>
      </c>
      <c r="AF87" s="162" t="s">
        <v>1506</v>
      </c>
    </row>
    <row r="88" spans="1:32" ht="16.05" customHeight="1" thickBot="1">
      <c r="A88" s="8" t="s">
        <v>458</v>
      </c>
      <c r="B88" s="51">
        <v>8.5</v>
      </c>
      <c r="C88" s="4"/>
      <c r="D88" s="6" t="s">
        <v>472</v>
      </c>
      <c r="E88" s="51">
        <v>7</v>
      </c>
      <c r="F88" s="22"/>
      <c r="G88" s="5" t="s">
        <v>506</v>
      </c>
      <c r="H88" s="51">
        <v>7</v>
      </c>
      <c r="I88" s="4"/>
      <c r="J88" s="10" t="s">
        <v>448</v>
      </c>
      <c r="K88" s="52">
        <v>9</v>
      </c>
      <c r="L88" s="22"/>
      <c r="M88" s="5" t="s">
        <v>494</v>
      </c>
      <c r="N88" s="51">
        <v>8</v>
      </c>
      <c r="O88" s="22"/>
      <c r="R88" s="66">
        <v>86</v>
      </c>
      <c r="S88" s="75" t="s">
        <v>1684</v>
      </c>
      <c r="T88" s="75" t="s">
        <v>1677</v>
      </c>
      <c r="U88" s="77">
        <v>8.75</v>
      </c>
      <c r="V88" s="242">
        <v>8.58</v>
      </c>
      <c r="W88" s="75">
        <v>8.5</v>
      </c>
      <c r="X88" s="75">
        <v>0.87</v>
      </c>
      <c r="Y88" s="75">
        <v>2</v>
      </c>
      <c r="Z88" s="75">
        <v>10</v>
      </c>
      <c r="AA88" s="75">
        <v>0</v>
      </c>
      <c r="AB88" s="75" t="s">
        <v>1695</v>
      </c>
      <c r="AE88" s="57" t="s">
        <v>1131</v>
      </c>
      <c r="AF88" s="163" t="s">
        <v>1130</v>
      </c>
    </row>
    <row r="89" spans="1:32" ht="16.05" customHeight="1" thickBot="1">
      <c r="A89" s="8" t="s">
        <v>459</v>
      </c>
      <c r="B89" s="51">
        <v>9.5</v>
      </c>
      <c r="C89" s="4"/>
      <c r="D89" s="6" t="s">
        <v>473</v>
      </c>
      <c r="E89" s="51">
        <v>8</v>
      </c>
      <c r="F89" s="22"/>
      <c r="G89" s="5" t="s">
        <v>507</v>
      </c>
      <c r="H89" s="51">
        <v>8</v>
      </c>
      <c r="I89" s="4"/>
      <c r="J89" s="21"/>
      <c r="K89" s="21"/>
      <c r="L89" s="22"/>
      <c r="M89" s="5" t="s">
        <v>495</v>
      </c>
      <c r="N89" s="51">
        <v>7</v>
      </c>
      <c r="O89" s="22"/>
      <c r="R89" s="66">
        <v>87</v>
      </c>
      <c r="S89" s="57" t="s">
        <v>362</v>
      </c>
      <c r="T89" s="57" t="s">
        <v>1229</v>
      </c>
      <c r="U89" s="76">
        <v>8.65</v>
      </c>
      <c r="V89" s="181">
        <v>8.49</v>
      </c>
      <c r="W89" s="57">
        <v>8.5</v>
      </c>
      <c r="X89" s="57">
        <v>0.84</v>
      </c>
      <c r="Y89" s="57">
        <v>2</v>
      </c>
      <c r="Z89" s="57">
        <v>13</v>
      </c>
      <c r="AA89" s="57">
        <v>0</v>
      </c>
      <c r="AB89" s="57" t="s">
        <v>1231</v>
      </c>
      <c r="AE89" s="75" t="s">
        <v>1230</v>
      </c>
      <c r="AF89" s="162" t="s">
        <v>1626</v>
      </c>
    </row>
    <row r="90" spans="1:32" ht="16.05" customHeight="1" thickBot="1">
      <c r="A90" s="8" t="s">
        <v>460</v>
      </c>
      <c r="B90" s="51">
        <v>8</v>
      </c>
      <c r="C90" s="4"/>
      <c r="D90" s="6" t="s">
        <v>474</v>
      </c>
      <c r="E90" s="51">
        <v>7.5</v>
      </c>
      <c r="F90" s="22"/>
      <c r="G90" s="5" t="s">
        <v>508</v>
      </c>
      <c r="H90" s="51">
        <v>7</v>
      </c>
      <c r="I90" s="22"/>
      <c r="J90" s="80" t="s">
        <v>516</v>
      </c>
      <c r="K90" s="3">
        <f>ROUND(SUM(K91:K96)/COUNT(K91:K96), 2)</f>
        <v>9.17</v>
      </c>
      <c r="L90" s="22"/>
      <c r="M90" s="5" t="s">
        <v>496</v>
      </c>
      <c r="N90" s="51">
        <v>8.5</v>
      </c>
      <c r="O90" s="22"/>
      <c r="R90" s="66">
        <v>88</v>
      </c>
      <c r="S90" s="75" t="s">
        <v>606</v>
      </c>
      <c r="T90" s="75" t="s">
        <v>607</v>
      </c>
      <c r="U90" s="77">
        <v>8.7799999999999994</v>
      </c>
      <c r="V90" s="238">
        <v>8.74</v>
      </c>
      <c r="W90" s="75">
        <v>8.5</v>
      </c>
      <c r="X90" s="75">
        <v>0.97</v>
      </c>
      <c r="Y90" s="75">
        <v>2</v>
      </c>
      <c r="Z90" s="75">
        <v>9</v>
      </c>
      <c r="AA90" s="75">
        <v>0</v>
      </c>
      <c r="AB90" s="75" t="s">
        <v>845</v>
      </c>
      <c r="AE90" s="57" t="s">
        <v>1627</v>
      </c>
      <c r="AF90" s="163" t="s">
        <v>1626</v>
      </c>
    </row>
    <row r="91" spans="1:32" ht="16.05" customHeight="1" thickBot="1">
      <c r="A91" s="10" t="s">
        <v>461</v>
      </c>
      <c r="B91" s="52">
        <v>10</v>
      </c>
      <c r="C91" s="4"/>
      <c r="D91" s="6" t="s">
        <v>475</v>
      </c>
      <c r="E91" s="51">
        <v>8.5</v>
      </c>
      <c r="F91" s="22"/>
      <c r="G91" s="5" t="s">
        <v>509</v>
      </c>
      <c r="H91" s="51">
        <v>8</v>
      </c>
      <c r="I91" s="4"/>
      <c r="J91" s="7" t="s">
        <v>517</v>
      </c>
      <c r="K91" s="50">
        <v>9.5</v>
      </c>
      <c r="L91" s="22"/>
      <c r="M91" s="61" t="s">
        <v>497</v>
      </c>
      <c r="N91" s="52">
        <v>10</v>
      </c>
      <c r="O91" s="22"/>
      <c r="R91" s="66">
        <v>89</v>
      </c>
      <c r="S91" s="57" t="s">
        <v>621</v>
      </c>
      <c r="T91" s="57" t="s">
        <v>622</v>
      </c>
      <c r="U91" s="76">
        <v>8.73</v>
      </c>
      <c r="V91" s="150">
        <v>8.56</v>
      </c>
      <c r="W91" s="57">
        <v>8.5</v>
      </c>
      <c r="X91" s="57">
        <v>0.89</v>
      </c>
      <c r="Y91" s="57">
        <v>3</v>
      </c>
      <c r="Z91" s="57">
        <v>13</v>
      </c>
      <c r="AA91" s="57">
        <v>2</v>
      </c>
      <c r="AB91" s="57" t="s">
        <v>846</v>
      </c>
      <c r="AE91" s="75" t="s">
        <v>1140</v>
      </c>
      <c r="AF91" s="162" t="s">
        <v>1626</v>
      </c>
    </row>
    <row r="92" spans="1:32" ht="16.05" customHeight="1" thickBot="1">
      <c r="A92" s="21"/>
      <c r="B92" s="21"/>
      <c r="C92" s="4"/>
      <c r="D92" s="6" t="s">
        <v>476</v>
      </c>
      <c r="E92" s="51">
        <v>8</v>
      </c>
      <c r="F92" s="22"/>
      <c r="G92" s="5" t="s">
        <v>510</v>
      </c>
      <c r="H92" s="51">
        <v>7</v>
      </c>
      <c r="I92" s="4"/>
      <c r="J92" s="8" t="s">
        <v>518</v>
      </c>
      <c r="K92" s="51">
        <v>8.5</v>
      </c>
      <c r="L92" s="4"/>
      <c r="M92" s="21"/>
      <c r="N92" s="21"/>
      <c r="O92" s="22"/>
      <c r="R92" s="66">
        <v>90</v>
      </c>
      <c r="S92" s="75" t="s">
        <v>463</v>
      </c>
      <c r="T92" s="75" t="s">
        <v>36</v>
      </c>
      <c r="U92" s="77">
        <v>9.15</v>
      </c>
      <c r="V92" s="225">
        <v>9.18</v>
      </c>
      <c r="W92" s="75">
        <v>9</v>
      </c>
      <c r="X92" s="75">
        <v>0.78</v>
      </c>
      <c r="Y92" s="75">
        <v>3</v>
      </c>
      <c r="Z92" s="75">
        <v>10</v>
      </c>
      <c r="AA92" s="75">
        <v>0</v>
      </c>
      <c r="AB92" s="75" t="s">
        <v>778</v>
      </c>
      <c r="AE92" s="57" t="s">
        <v>1132</v>
      </c>
      <c r="AF92" s="163" t="s">
        <v>1133</v>
      </c>
    </row>
    <row r="93" spans="1:32" ht="16.05" customHeight="1" thickBot="1">
      <c r="A93" s="128" t="s">
        <v>920</v>
      </c>
      <c r="B93" s="14">
        <f>ROUND(SUM(B94:B101)/COUNT(B94:B101), 2)</f>
        <v>8.5</v>
      </c>
      <c r="C93" s="4"/>
      <c r="D93" s="6" t="s">
        <v>477</v>
      </c>
      <c r="E93" s="51">
        <v>8</v>
      </c>
      <c r="F93" s="22"/>
      <c r="G93" s="5" t="s">
        <v>511</v>
      </c>
      <c r="H93" s="51">
        <v>8</v>
      </c>
      <c r="I93" s="4"/>
      <c r="J93" s="8" t="s">
        <v>519</v>
      </c>
      <c r="K93" s="51">
        <v>10.5</v>
      </c>
      <c r="L93" s="22"/>
      <c r="M93" s="142" t="s">
        <v>1025</v>
      </c>
      <c r="N93" s="3">
        <f>ROUND(SUM(N94:N110)/COUNT(N94:N110), 2)</f>
        <v>8.5</v>
      </c>
      <c r="O93" s="22"/>
      <c r="R93" s="66">
        <v>91</v>
      </c>
      <c r="S93" s="57" t="s">
        <v>957</v>
      </c>
      <c r="T93" s="57" t="s">
        <v>938</v>
      </c>
      <c r="U93" s="76">
        <v>8.5500000000000007</v>
      </c>
      <c r="V93" s="151">
        <v>8.5299999999999994</v>
      </c>
      <c r="W93" s="57">
        <v>8.5</v>
      </c>
      <c r="X93" s="57">
        <v>0.96</v>
      </c>
      <c r="Y93" s="57">
        <v>3</v>
      </c>
      <c r="Z93" s="57">
        <v>19</v>
      </c>
      <c r="AA93" s="57">
        <v>0</v>
      </c>
      <c r="AB93" s="57" t="s">
        <v>958</v>
      </c>
      <c r="AE93" s="75" t="s">
        <v>1138</v>
      </c>
      <c r="AF93" s="162" t="s">
        <v>1136</v>
      </c>
    </row>
    <row r="94" spans="1:32" ht="16.05" customHeight="1">
      <c r="A94" s="13" t="s">
        <v>523</v>
      </c>
      <c r="B94" s="50">
        <v>10</v>
      </c>
      <c r="C94" s="4"/>
      <c r="D94" s="6" t="s">
        <v>478</v>
      </c>
      <c r="E94" s="51">
        <v>7</v>
      </c>
      <c r="F94" s="22"/>
      <c r="G94" s="5" t="s">
        <v>512</v>
      </c>
      <c r="H94" s="51">
        <v>6.5</v>
      </c>
      <c r="I94" s="4"/>
      <c r="J94" s="8" t="s">
        <v>520</v>
      </c>
      <c r="K94" s="51">
        <v>9</v>
      </c>
      <c r="L94" s="4"/>
      <c r="M94" s="7" t="s">
        <v>536</v>
      </c>
      <c r="N94" s="50">
        <v>8</v>
      </c>
      <c r="O94" s="22"/>
      <c r="R94" s="66">
        <v>92</v>
      </c>
      <c r="S94" s="75" t="s">
        <v>426</v>
      </c>
      <c r="T94" s="75" t="s">
        <v>424</v>
      </c>
      <c r="U94" s="77">
        <v>8.67</v>
      </c>
      <c r="V94" s="197">
        <v>8.66</v>
      </c>
      <c r="W94" s="75">
        <v>8.5</v>
      </c>
      <c r="X94" s="75">
        <v>0.85</v>
      </c>
      <c r="Y94" s="75">
        <v>2</v>
      </c>
      <c r="Z94" s="75">
        <v>12</v>
      </c>
      <c r="AA94" s="75">
        <v>0</v>
      </c>
      <c r="AB94" s="75" t="s">
        <v>845</v>
      </c>
      <c r="AE94" s="57" t="s">
        <v>1337</v>
      </c>
      <c r="AF94" s="163" t="s">
        <v>1136</v>
      </c>
    </row>
    <row r="95" spans="1:32" ht="16.05" customHeight="1" thickBot="1">
      <c r="A95" s="6" t="s">
        <v>524</v>
      </c>
      <c r="B95" s="51">
        <v>9.5</v>
      </c>
      <c r="C95" s="4"/>
      <c r="D95" s="6" t="s">
        <v>479</v>
      </c>
      <c r="E95" s="51">
        <v>8.5</v>
      </c>
      <c r="F95" s="22"/>
      <c r="G95" s="9" t="s">
        <v>513</v>
      </c>
      <c r="H95" s="52">
        <v>8</v>
      </c>
      <c r="I95" s="4"/>
      <c r="J95" s="8" t="s">
        <v>521</v>
      </c>
      <c r="K95" s="51">
        <v>9</v>
      </c>
      <c r="L95" s="4"/>
      <c r="M95" s="8" t="s">
        <v>537</v>
      </c>
      <c r="N95" s="51">
        <v>8</v>
      </c>
      <c r="O95" s="22"/>
      <c r="R95" s="66">
        <v>93</v>
      </c>
      <c r="S95" s="57" t="s">
        <v>1196</v>
      </c>
      <c r="T95" s="57" t="s">
        <v>1197</v>
      </c>
      <c r="U95" s="76">
        <v>8.4600000000000009</v>
      </c>
      <c r="V95" s="249">
        <v>8.2100000000000009</v>
      </c>
      <c r="W95" s="57">
        <v>8</v>
      </c>
      <c r="X95" s="57">
        <v>1.1299999999999999</v>
      </c>
      <c r="Y95" s="57">
        <v>3</v>
      </c>
      <c r="Z95" s="57">
        <v>13</v>
      </c>
      <c r="AA95" s="57">
        <v>1</v>
      </c>
      <c r="AB95" s="57" t="s">
        <v>1198</v>
      </c>
      <c r="AE95" s="75" t="s">
        <v>804</v>
      </c>
      <c r="AF95" s="162" t="s">
        <v>1136</v>
      </c>
    </row>
    <row r="96" spans="1:32" ht="16.05" customHeight="1" thickBot="1">
      <c r="A96" s="6" t="s">
        <v>525</v>
      </c>
      <c r="B96" s="51">
        <v>8.5</v>
      </c>
      <c r="C96" s="4"/>
      <c r="D96" s="6" t="s">
        <v>480</v>
      </c>
      <c r="E96" s="51">
        <v>8.5</v>
      </c>
      <c r="F96" s="4"/>
      <c r="G96" s="21"/>
      <c r="H96" s="21"/>
      <c r="I96" s="4"/>
      <c r="J96" s="10" t="s">
        <v>522</v>
      </c>
      <c r="K96" s="52">
        <v>8.5</v>
      </c>
      <c r="L96" s="4"/>
      <c r="M96" s="8" t="s">
        <v>538</v>
      </c>
      <c r="N96" s="51">
        <v>9</v>
      </c>
      <c r="O96" s="22"/>
      <c r="R96" s="66">
        <v>94</v>
      </c>
      <c r="S96" s="75" t="s">
        <v>355</v>
      </c>
      <c r="T96" s="75" t="s">
        <v>356</v>
      </c>
      <c r="U96" s="77">
        <v>8.89</v>
      </c>
      <c r="V96" s="235">
        <v>8.81</v>
      </c>
      <c r="W96" s="75">
        <v>9</v>
      </c>
      <c r="X96" s="75">
        <v>0.7</v>
      </c>
      <c r="Y96" s="75">
        <v>2</v>
      </c>
      <c r="Z96" s="75">
        <v>9</v>
      </c>
      <c r="AA96" s="75">
        <v>0</v>
      </c>
      <c r="AB96" s="75" t="s">
        <v>783</v>
      </c>
      <c r="AE96" s="57" t="s">
        <v>1137</v>
      </c>
      <c r="AF96" s="163" t="s">
        <v>1136</v>
      </c>
    </row>
    <row r="97" spans="1:32" ht="16.05" customHeight="1" thickBot="1">
      <c r="A97" s="6" t="s">
        <v>526</v>
      </c>
      <c r="B97" s="51">
        <v>8</v>
      </c>
      <c r="C97" s="4"/>
      <c r="D97" s="6" t="s">
        <v>481</v>
      </c>
      <c r="E97" s="51">
        <v>7</v>
      </c>
      <c r="F97" s="22"/>
      <c r="G97" s="78" t="s">
        <v>565</v>
      </c>
      <c r="H97" s="3">
        <f>ROUND(SUM(H98:H108)/COUNT(H98:H109), 2)</f>
        <v>8.68</v>
      </c>
      <c r="I97" s="4"/>
      <c r="J97" s="21"/>
      <c r="K97" s="21"/>
      <c r="L97" s="4"/>
      <c r="M97" s="8" t="s">
        <v>539</v>
      </c>
      <c r="N97" s="51"/>
      <c r="O97" s="22"/>
      <c r="R97" s="66">
        <v>95</v>
      </c>
      <c r="S97" s="57" t="s">
        <v>342</v>
      </c>
      <c r="T97" s="57" t="s">
        <v>7</v>
      </c>
      <c r="U97" s="76">
        <v>9.89</v>
      </c>
      <c r="V97" s="141">
        <v>10.47</v>
      </c>
      <c r="W97" s="57">
        <v>10</v>
      </c>
      <c r="X97" s="57">
        <v>0.61</v>
      </c>
      <c r="Y97" s="57">
        <v>5</v>
      </c>
      <c r="Z97" s="57">
        <v>12</v>
      </c>
      <c r="AA97" s="57">
        <v>3</v>
      </c>
      <c r="AB97" s="57" t="s">
        <v>775</v>
      </c>
      <c r="AE97" s="75" t="s">
        <v>1243</v>
      </c>
      <c r="AF97" s="162" t="s">
        <v>1141</v>
      </c>
    </row>
    <row r="98" spans="1:32" ht="16.05" customHeight="1" thickBot="1">
      <c r="A98" s="6" t="s">
        <v>527</v>
      </c>
      <c r="B98" s="51">
        <v>8.5</v>
      </c>
      <c r="C98" s="4"/>
      <c r="D98" s="9" t="s">
        <v>482</v>
      </c>
      <c r="E98" s="52">
        <v>9</v>
      </c>
      <c r="F98" s="4"/>
      <c r="G98" s="7" t="s">
        <v>555</v>
      </c>
      <c r="H98" s="50">
        <v>9.5</v>
      </c>
      <c r="I98" s="22"/>
      <c r="J98" s="79" t="s">
        <v>566</v>
      </c>
      <c r="K98" s="3">
        <f>ROUND(SUM(K99:K109)/COUNT(K99:K109), 2)</f>
        <v>9.61</v>
      </c>
      <c r="L98" s="4"/>
      <c r="M98" s="8" t="s">
        <v>540</v>
      </c>
      <c r="N98" s="51">
        <v>8.5</v>
      </c>
      <c r="O98" s="22"/>
      <c r="R98" s="66">
        <v>96</v>
      </c>
      <c r="S98" s="75" t="s">
        <v>342</v>
      </c>
      <c r="T98" s="75" t="s">
        <v>158</v>
      </c>
      <c r="U98" s="77">
        <v>9.61</v>
      </c>
      <c r="V98" s="216">
        <v>9.89</v>
      </c>
      <c r="W98" s="75">
        <v>10</v>
      </c>
      <c r="X98" s="75">
        <v>0.74</v>
      </c>
      <c r="Y98" s="75">
        <v>5</v>
      </c>
      <c r="Z98" s="75">
        <v>15</v>
      </c>
      <c r="AA98" s="75">
        <v>6</v>
      </c>
      <c r="AB98" s="75" t="s">
        <v>775</v>
      </c>
      <c r="AE98" s="57" t="s">
        <v>1142</v>
      </c>
      <c r="AF98" s="163" t="s">
        <v>1642</v>
      </c>
    </row>
    <row r="99" spans="1:32" ht="16.05" customHeight="1" thickBot="1">
      <c r="A99" s="6" t="s">
        <v>528</v>
      </c>
      <c r="B99" s="51">
        <v>7.5</v>
      </c>
      <c r="C99" s="4"/>
      <c r="D99" s="21"/>
      <c r="E99" s="21"/>
      <c r="F99" s="4"/>
      <c r="G99" s="8" t="s">
        <v>556</v>
      </c>
      <c r="H99" s="51">
        <v>8.5</v>
      </c>
      <c r="I99" s="4"/>
      <c r="J99" s="7" t="s">
        <v>567</v>
      </c>
      <c r="K99" s="50">
        <v>10.5</v>
      </c>
      <c r="L99" s="4"/>
      <c r="M99" s="8" t="s">
        <v>541</v>
      </c>
      <c r="N99" s="51">
        <v>7.5</v>
      </c>
      <c r="O99" s="22"/>
      <c r="R99" s="66">
        <v>97</v>
      </c>
      <c r="S99" s="57" t="s">
        <v>342</v>
      </c>
      <c r="T99" s="57" t="s">
        <v>578</v>
      </c>
      <c r="U99" s="76">
        <v>9.61</v>
      </c>
      <c r="V99" s="215">
        <v>9.91</v>
      </c>
      <c r="W99" s="57">
        <v>10</v>
      </c>
      <c r="X99" s="57">
        <v>0.74</v>
      </c>
      <c r="Y99" s="57">
        <v>5</v>
      </c>
      <c r="Z99" s="57">
        <v>11</v>
      </c>
      <c r="AA99" s="57">
        <v>2</v>
      </c>
      <c r="AB99" s="57" t="s">
        <v>775</v>
      </c>
      <c r="AE99" s="75" t="s">
        <v>1143</v>
      </c>
      <c r="AF99" s="162" t="s">
        <v>1338</v>
      </c>
    </row>
    <row r="100" spans="1:32" ht="16.05" customHeight="1" thickBot="1">
      <c r="A100" s="6" t="s">
        <v>529</v>
      </c>
      <c r="B100" s="51">
        <v>9</v>
      </c>
      <c r="C100" s="22"/>
      <c r="D100" s="107" t="s">
        <v>899</v>
      </c>
      <c r="E100" s="3">
        <f>ROUND(SUM(E101:E114)/COUNT(E101:E114), 2)</f>
        <v>8.31</v>
      </c>
      <c r="F100" s="4"/>
      <c r="G100" s="8" t="s">
        <v>557</v>
      </c>
      <c r="H100" s="51">
        <v>8.5</v>
      </c>
      <c r="I100" s="4"/>
      <c r="J100" s="8" t="s">
        <v>568</v>
      </c>
      <c r="K100" s="51">
        <v>10</v>
      </c>
      <c r="L100" s="4"/>
      <c r="M100" s="8" t="s">
        <v>542</v>
      </c>
      <c r="N100" s="51">
        <v>9.5</v>
      </c>
      <c r="O100" s="22"/>
      <c r="R100" s="66">
        <v>98</v>
      </c>
      <c r="S100" s="75" t="s">
        <v>342</v>
      </c>
      <c r="T100" s="75" t="s">
        <v>1293</v>
      </c>
      <c r="U100" s="77">
        <v>9.36</v>
      </c>
      <c r="V100" s="219">
        <v>9.61</v>
      </c>
      <c r="W100" s="75">
        <v>10</v>
      </c>
      <c r="X100" s="75">
        <v>1.1200000000000001</v>
      </c>
      <c r="Y100" s="75">
        <v>4</v>
      </c>
      <c r="Z100" s="75">
        <v>10</v>
      </c>
      <c r="AA100" s="75">
        <v>3</v>
      </c>
      <c r="AB100" s="75" t="s">
        <v>1306</v>
      </c>
      <c r="AE100" s="57" t="s">
        <v>1135</v>
      </c>
      <c r="AF100" s="163" t="s">
        <v>1287</v>
      </c>
    </row>
    <row r="101" spans="1:32" ht="16.05" customHeight="1" thickBot="1">
      <c r="A101" s="9" t="s">
        <v>530</v>
      </c>
      <c r="B101" s="52">
        <v>7</v>
      </c>
      <c r="C101" s="4"/>
      <c r="D101" s="7" t="s">
        <v>581</v>
      </c>
      <c r="E101" s="81"/>
      <c r="F101" s="4"/>
      <c r="G101" s="8" t="s">
        <v>558</v>
      </c>
      <c r="H101" s="51">
        <v>8</v>
      </c>
      <c r="I101" s="4"/>
      <c r="J101" s="8" t="s">
        <v>569</v>
      </c>
      <c r="K101" s="51">
        <v>8.5</v>
      </c>
      <c r="L101" s="4"/>
      <c r="M101" s="8" t="s">
        <v>552</v>
      </c>
      <c r="N101" s="51"/>
      <c r="O101" s="22"/>
      <c r="R101" s="66">
        <v>99</v>
      </c>
      <c r="S101" s="57" t="s">
        <v>342</v>
      </c>
      <c r="T101" s="57" t="s">
        <v>324</v>
      </c>
      <c r="U101" s="76">
        <v>8.35</v>
      </c>
      <c r="V101" s="251">
        <v>8.1300000000000008</v>
      </c>
      <c r="W101" s="57">
        <v>8.25</v>
      </c>
      <c r="X101" s="57">
        <v>1.32</v>
      </c>
      <c r="Y101" s="57">
        <v>3</v>
      </c>
      <c r="Z101" s="57">
        <v>10</v>
      </c>
      <c r="AA101" s="57">
        <v>0</v>
      </c>
      <c r="AB101" s="57" t="s">
        <v>798</v>
      </c>
      <c r="AE101" s="75" t="s">
        <v>1144</v>
      </c>
      <c r="AF101" s="162" t="s">
        <v>1145</v>
      </c>
    </row>
    <row r="102" spans="1:32" ht="16.05" customHeight="1" thickBot="1">
      <c r="A102" s="21"/>
      <c r="B102" s="21"/>
      <c r="C102" s="22"/>
      <c r="D102" s="20" t="s">
        <v>582</v>
      </c>
      <c r="E102" s="51">
        <v>8</v>
      </c>
      <c r="F102" s="4"/>
      <c r="G102" s="8" t="s">
        <v>559</v>
      </c>
      <c r="H102" s="51">
        <v>9</v>
      </c>
      <c r="I102" s="4"/>
      <c r="J102" s="8" t="s">
        <v>570</v>
      </c>
      <c r="K102" s="51">
        <v>9.5</v>
      </c>
      <c r="L102" s="4"/>
      <c r="M102" s="8" t="s">
        <v>543</v>
      </c>
      <c r="N102" s="51">
        <v>9</v>
      </c>
      <c r="O102" s="22"/>
      <c r="R102" s="66">
        <v>100</v>
      </c>
      <c r="S102" s="75" t="s">
        <v>484</v>
      </c>
      <c r="T102" s="75" t="s">
        <v>485</v>
      </c>
      <c r="U102" s="77">
        <v>8.18</v>
      </c>
      <c r="V102" s="254">
        <v>8</v>
      </c>
      <c r="W102" s="75">
        <v>8</v>
      </c>
      <c r="X102" s="75">
        <v>0.89</v>
      </c>
      <c r="Y102" s="75">
        <v>2</v>
      </c>
      <c r="Z102" s="75">
        <v>19</v>
      </c>
      <c r="AA102" s="75">
        <v>0</v>
      </c>
      <c r="AB102" s="75" t="s">
        <v>805</v>
      </c>
      <c r="AE102" s="57" t="s">
        <v>1139</v>
      </c>
      <c r="AF102" s="163" t="s">
        <v>1507</v>
      </c>
    </row>
    <row r="103" spans="1:32" ht="16.05" customHeight="1" thickBot="1">
      <c r="A103" s="82" t="s">
        <v>596</v>
      </c>
      <c r="B103" s="3">
        <f>ROUND(SUM(B104:B112)/COUNT(B104:B112), 2)</f>
        <v>8.7799999999999994</v>
      </c>
      <c r="C103" s="22"/>
      <c r="D103" s="20" t="s">
        <v>583</v>
      </c>
      <c r="E103" s="51">
        <v>9</v>
      </c>
      <c r="F103" s="4"/>
      <c r="G103" s="8" t="s">
        <v>560</v>
      </c>
      <c r="H103" s="51">
        <v>8</v>
      </c>
      <c r="I103" s="4"/>
      <c r="J103" s="8" t="s">
        <v>571</v>
      </c>
      <c r="K103" s="51">
        <v>10</v>
      </c>
      <c r="L103" s="4"/>
      <c r="M103" s="8" t="s">
        <v>544</v>
      </c>
      <c r="N103" s="51"/>
      <c r="O103" s="22"/>
      <c r="R103" s="66">
        <v>101</v>
      </c>
      <c r="S103" s="57" t="s">
        <v>827</v>
      </c>
      <c r="T103" s="57" t="s">
        <v>828</v>
      </c>
      <c r="U103" s="76">
        <v>8.33</v>
      </c>
      <c r="V103" s="253">
        <v>8.09</v>
      </c>
      <c r="W103" s="57">
        <v>8</v>
      </c>
      <c r="X103" s="57">
        <v>1.1599999999999999</v>
      </c>
      <c r="Y103" s="57">
        <v>3</v>
      </c>
      <c r="Z103" s="57">
        <v>15</v>
      </c>
      <c r="AA103" s="57">
        <v>0</v>
      </c>
      <c r="AB103" s="57" t="s">
        <v>848</v>
      </c>
      <c r="AE103" s="75" t="s">
        <v>1146</v>
      </c>
      <c r="AF103" s="162" t="s">
        <v>1339</v>
      </c>
    </row>
    <row r="104" spans="1:32" ht="16.05" customHeight="1">
      <c r="A104" s="5" t="s">
        <v>597</v>
      </c>
      <c r="B104" s="51">
        <v>9.5</v>
      </c>
      <c r="C104" s="4"/>
      <c r="D104" s="8" t="s">
        <v>584</v>
      </c>
      <c r="E104" s="51">
        <v>8.5</v>
      </c>
      <c r="F104" s="4"/>
      <c r="G104" s="8" t="s">
        <v>561</v>
      </c>
      <c r="H104" s="51">
        <v>9</v>
      </c>
      <c r="I104" s="4"/>
      <c r="J104" s="8" t="s">
        <v>572</v>
      </c>
      <c r="K104" s="51"/>
      <c r="L104" s="4"/>
      <c r="M104" s="8" t="s">
        <v>545</v>
      </c>
      <c r="N104" s="51">
        <v>8</v>
      </c>
      <c r="O104" s="22"/>
      <c r="R104" s="66">
        <v>102</v>
      </c>
      <c r="S104" s="75" t="s">
        <v>369</v>
      </c>
      <c r="T104" s="75" t="s">
        <v>370</v>
      </c>
      <c r="U104" s="77">
        <v>8.33</v>
      </c>
      <c r="V104" s="252">
        <v>8.1199999999999992</v>
      </c>
      <c r="W104" s="75">
        <v>8</v>
      </c>
      <c r="X104" s="75">
        <v>0.94</v>
      </c>
      <c r="Y104" s="75">
        <v>1</v>
      </c>
      <c r="Z104" s="75">
        <v>9</v>
      </c>
      <c r="AA104" s="75">
        <v>0</v>
      </c>
      <c r="AB104" s="75" t="s">
        <v>785</v>
      </c>
      <c r="AE104" s="57" t="s">
        <v>1147</v>
      </c>
      <c r="AF104" s="163" t="s">
        <v>1148</v>
      </c>
    </row>
    <row r="105" spans="1:32" ht="16.05" customHeight="1">
      <c r="A105" s="5" t="s">
        <v>598</v>
      </c>
      <c r="B105" s="51">
        <v>9</v>
      </c>
      <c r="C105" s="4"/>
      <c r="D105" s="8" t="s">
        <v>585</v>
      </c>
      <c r="E105" s="51">
        <v>7.5</v>
      </c>
      <c r="F105" s="4"/>
      <c r="G105" s="8" t="s">
        <v>562</v>
      </c>
      <c r="H105" s="51">
        <v>9.5</v>
      </c>
      <c r="I105" s="4"/>
      <c r="J105" s="8" t="s">
        <v>573</v>
      </c>
      <c r="K105" s="51">
        <v>9</v>
      </c>
      <c r="L105" s="4"/>
      <c r="M105" s="8" t="s">
        <v>546</v>
      </c>
      <c r="N105" s="51"/>
      <c r="O105" s="22"/>
      <c r="R105" s="66">
        <v>103</v>
      </c>
      <c r="S105" s="57" t="s">
        <v>594</v>
      </c>
      <c r="T105" s="57" t="s">
        <v>595</v>
      </c>
      <c r="U105" s="76">
        <v>8.31</v>
      </c>
      <c r="V105" s="214">
        <v>8.11</v>
      </c>
      <c r="W105" s="57">
        <v>8</v>
      </c>
      <c r="X105" s="57">
        <v>0.89</v>
      </c>
      <c r="Y105" s="57">
        <v>2</v>
      </c>
      <c r="Z105" s="57">
        <v>14</v>
      </c>
      <c r="AA105" s="57">
        <v>1</v>
      </c>
      <c r="AB105" s="57" t="s">
        <v>789</v>
      </c>
      <c r="AE105" s="75" t="s">
        <v>1149</v>
      </c>
      <c r="AF105" s="162" t="s">
        <v>1148</v>
      </c>
    </row>
    <row r="106" spans="1:32" ht="16.05" customHeight="1">
      <c r="A106" s="5" t="s">
        <v>599</v>
      </c>
      <c r="B106" s="51">
        <v>10</v>
      </c>
      <c r="C106" s="4"/>
      <c r="D106" s="8" t="s">
        <v>586</v>
      </c>
      <c r="E106" s="51">
        <v>7.5</v>
      </c>
      <c r="F106" s="4"/>
      <c r="G106" s="8" t="s">
        <v>563</v>
      </c>
      <c r="H106" s="51">
        <v>9</v>
      </c>
      <c r="I106" s="4"/>
      <c r="J106" s="8" t="s">
        <v>574</v>
      </c>
      <c r="K106" s="51">
        <v>10.5</v>
      </c>
      <c r="L106" s="4"/>
      <c r="M106" s="8" t="s">
        <v>547</v>
      </c>
      <c r="N106" s="51">
        <v>8</v>
      </c>
      <c r="O106" s="22"/>
      <c r="V106"/>
      <c r="W106"/>
      <c r="X106"/>
      <c r="Y106"/>
      <c r="Z106"/>
      <c r="AE106" s="57" t="s">
        <v>1150</v>
      </c>
      <c r="AF106" s="163" t="s">
        <v>1151</v>
      </c>
    </row>
    <row r="107" spans="1:32" ht="16.05" customHeight="1">
      <c r="A107" s="5" t="s">
        <v>600</v>
      </c>
      <c r="B107" s="51">
        <v>8.5</v>
      </c>
      <c r="C107" s="4"/>
      <c r="D107" s="8" t="s">
        <v>587</v>
      </c>
      <c r="E107" s="51">
        <v>10</v>
      </c>
      <c r="F107" s="4"/>
      <c r="G107" s="8" t="s">
        <v>564</v>
      </c>
      <c r="H107" s="51">
        <v>7.5</v>
      </c>
      <c r="I107" s="4"/>
      <c r="J107" s="8" t="s">
        <v>575</v>
      </c>
      <c r="K107" s="65">
        <v>8.5</v>
      </c>
      <c r="L107" s="4"/>
      <c r="M107" s="8" t="s">
        <v>548</v>
      </c>
      <c r="N107" s="51">
        <v>9</v>
      </c>
      <c r="O107" s="22"/>
      <c r="R107" s="268" t="s">
        <v>1391</v>
      </c>
      <c r="S107" s="268"/>
      <c r="T107" s="268"/>
      <c r="U107" s="268"/>
      <c r="V107" s="268"/>
      <c r="W107" s="268"/>
      <c r="X107" s="268"/>
      <c r="Y107" s="268"/>
      <c r="Z107" s="268"/>
      <c r="AA107" s="268"/>
      <c r="AB107" s="268"/>
      <c r="AE107" s="75" t="s">
        <v>1152</v>
      </c>
      <c r="AF107" s="162" t="s">
        <v>1153</v>
      </c>
    </row>
    <row r="108" spans="1:32" ht="16.05" customHeight="1" thickBot="1">
      <c r="A108" s="5" t="s">
        <v>601</v>
      </c>
      <c r="B108" s="51">
        <v>8</v>
      </c>
      <c r="C108" s="4"/>
      <c r="D108" s="8" t="s">
        <v>50</v>
      </c>
      <c r="E108" s="51">
        <v>9</v>
      </c>
      <c r="F108" s="4"/>
      <c r="G108" s="10" t="s">
        <v>580</v>
      </c>
      <c r="H108" s="52">
        <v>9</v>
      </c>
      <c r="I108" s="4"/>
      <c r="J108" s="8" t="s">
        <v>576</v>
      </c>
      <c r="K108" s="51">
        <v>10</v>
      </c>
      <c r="L108" s="4"/>
      <c r="M108" s="8" t="s">
        <v>549</v>
      </c>
      <c r="N108" s="51">
        <v>9</v>
      </c>
      <c r="O108" s="22"/>
      <c r="R108" s="56" t="s">
        <v>368</v>
      </c>
      <c r="S108" s="56" t="s">
        <v>335</v>
      </c>
      <c r="T108" s="56" t="s">
        <v>535</v>
      </c>
      <c r="U108" s="56" t="s">
        <v>532</v>
      </c>
      <c r="V108" s="56" t="s">
        <v>1029</v>
      </c>
      <c r="W108" s="56" t="s">
        <v>533</v>
      </c>
      <c r="X108" s="56" t="s">
        <v>338</v>
      </c>
      <c r="Y108" s="56" t="s">
        <v>339</v>
      </c>
      <c r="Z108" s="56" t="s">
        <v>340</v>
      </c>
      <c r="AA108" s="56" t="s">
        <v>341</v>
      </c>
      <c r="AB108" s="56" t="s">
        <v>936</v>
      </c>
      <c r="AE108" s="57" t="s">
        <v>1413</v>
      </c>
      <c r="AF108" s="163" t="s">
        <v>1434</v>
      </c>
    </row>
    <row r="109" spans="1:32" ht="16.05" customHeight="1" thickBot="1">
      <c r="A109" s="5" t="s">
        <v>602</v>
      </c>
      <c r="B109" s="51">
        <v>7.5</v>
      </c>
      <c r="C109" s="4"/>
      <c r="D109" s="8" t="s">
        <v>588</v>
      </c>
      <c r="E109" s="51">
        <v>8</v>
      </c>
      <c r="F109" s="4"/>
      <c r="G109" s="21"/>
      <c r="H109" s="21"/>
      <c r="I109" s="4"/>
      <c r="J109" s="10" t="s">
        <v>577</v>
      </c>
      <c r="K109" s="52"/>
      <c r="L109" s="4"/>
      <c r="M109" s="8" t="s">
        <v>550</v>
      </c>
      <c r="N109" s="51">
        <v>9</v>
      </c>
      <c r="O109" s="22"/>
      <c r="R109" s="67">
        <v>1</v>
      </c>
      <c r="S109" s="57" t="s">
        <v>348</v>
      </c>
      <c r="T109" s="76">
        <v>3</v>
      </c>
      <c r="U109" s="76">
        <v>9.61</v>
      </c>
      <c r="V109" s="145">
        <v>9.83</v>
      </c>
      <c r="W109" s="57">
        <v>9.67</v>
      </c>
      <c r="X109" s="57">
        <v>0.76</v>
      </c>
      <c r="Y109" s="57">
        <v>10</v>
      </c>
      <c r="Z109" s="57">
        <v>20</v>
      </c>
      <c r="AA109" s="57">
        <v>1</v>
      </c>
      <c r="AB109" s="57" t="s">
        <v>1057</v>
      </c>
      <c r="AE109" s="75" t="s">
        <v>1333</v>
      </c>
      <c r="AF109" s="162" t="s">
        <v>1334</v>
      </c>
    </row>
    <row r="110" spans="1:32" ht="16.05" customHeight="1" thickBot="1">
      <c r="A110" s="5" t="s">
        <v>603</v>
      </c>
      <c r="B110" s="51">
        <v>8</v>
      </c>
      <c r="C110" s="4"/>
      <c r="D110" s="8" t="s">
        <v>589</v>
      </c>
      <c r="E110" s="51">
        <v>7.5</v>
      </c>
      <c r="F110" s="22"/>
      <c r="G110" s="106" t="s">
        <v>898</v>
      </c>
      <c r="H110" s="3">
        <f>ROUND(SUM(H111:H124)/COUNT(H111:H124), 2)</f>
        <v>8.73</v>
      </c>
      <c r="I110" s="4"/>
      <c r="J110" s="21"/>
      <c r="K110" s="21"/>
      <c r="L110" s="4"/>
      <c r="M110" s="10" t="s">
        <v>551</v>
      </c>
      <c r="N110" s="52">
        <v>8</v>
      </c>
      <c r="O110" s="22"/>
      <c r="R110" s="68">
        <v>2</v>
      </c>
      <c r="S110" s="75" t="s">
        <v>342</v>
      </c>
      <c r="T110" s="77">
        <v>5</v>
      </c>
      <c r="U110" s="77">
        <v>9.36</v>
      </c>
      <c r="V110" s="264">
        <v>9.6</v>
      </c>
      <c r="W110" s="75">
        <v>9.65</v>
      </c>
      <c r="X110" s="75">
        <v>0.91</v>
      </c>
      <c r="Y110" s="75">
        <v>22</v>
      </c>
      <c r="Z110" s="75">
        <v>58</v>
      </c>
      <c r="AA110" s="75">
        <v>14</v>
      </c>
      <c r="AB110" s="75" t="s">
        <v>1307</v>
      </c>
      <c r="AE110" s="57" t="s">
        <v>1335</v>
      </c>
      <c r="AF110" s="163" t="s">
        <v>1334</v>
      </c>
    </row>
    <row r="111" spans="1:32" ht="16.05" customHeight="1" thickBot="1">
      <c r="A111" s="5" t="s">
        <v>604</v>
      </c>
      <c r="B111" s="51">
        <v>8</v>
      </c>
      <c r="C111" s="4"/>
      <c r="D111" s="8" t="s">
        <v>590</v>
      </c>
      <c r="E111" s="51">
        <v>7.5</v>
      </c>
      <c r="F111" s="4"/>
      <c r="G111" s="7" t="s">
        <v>608</v>
      </c>
      <c r="H111" s="50">
        <v>10</v>
      </c>
      <c r="I111" s="22"/>
      <c r="J111" s="105" t="s">
        <v>897</v>
      </c>
      <c r="K111" s="3">
        <f>ROUND(SUM(K112:K125)/COUNT(K112:K125), 2)</f>
        <v>7.96</v>
      </c>
      <c r="L111" s="4"/>
      <c r="M111" s="21"/>
      <c r="N111" s="21"/>
      <c r="O111" s="22"/>
      <c r="R111" s="69">
        <v>3</v>
      </c>
      <c r="S111" s="57" t="s">
        <v>347</v>
      </c>
      <c r="T111" s="76">
        <v>3</v>
      </c>
      <c r="U111" s="76">
        <v>9.18</v>
      </c>
      <c r="V111" s="226">
        <v>9.15</v>
      </c>
      <c r="W111" s="57">
        <v>8.92</v>
      </c>
      <c r="X111" s="57">
        <v>0.74</v>
      </c>
      <c r="Y111" s="57">
        <v>5</v>
      </c>
      <c r="Z111" s="57">
        <v>16</v>
      </c>
      <c r="AA111" s="57">
        <v>0</v>
      </c>
      <c r="AB111" s="57" t="s">
        <v>1459</v>
      </c>
      <c r="AE111" s="75" t="s">
        <v>789</v>
      </c>
      <c r="AF111" s="162" t="s">
        <v>1288</v>
      </c>
    </row>
    <row r="112" spans="1:32" ht="16.05" customHeight="1" thickBot="1">
      <c r="A112" s="63" t="s">
        <v>605</v>
      </c>
      <c r="B112" s="52">
        <v>10.5</v>
      </c>
      <c r="C112" s="4"/>
      <c r="D112" s="8" t="s">
        <v>591</v>
      </c>
      <c r="E112" s="51">
        <v>8</v>
      </c>
      <c r="F112" s="4"/>
      <c r="G112" s="8" t="s">
        <v>609</v>
      </c>
      <c r="H112" s="51">
        <v>8</v>
      </c>
      <c r="I112" s="22"/>
      <c r="J112" s="5" t="s">
        <v>623</v>
      </c>
      <c r="K112" s="51">
        <v>8</v>
      </c>
      <c r="L112" s="22"/>
      <c r="M112" s="84" t="s">
        <v>635</v>
      </c>
      <c r="N112" s="3">
        <f>ROUND(SUM(N113:N125)/COUNT(N113:N125), 2)</f>
        <v>8.77</v>
      </c>
      <c r="O112" s="22"/>
      <c r="R112" s="66">
        <v>4</v>
      </c>
      <c r="S112" s="75" t="s">
        <v>351</v>
      </c>
      <c r="T112" s="77">
        <v>4</v>
      </c>
      <c r="U112" s="77">
        <v>8.9600000000000009</v>
      </c>
      <c r="V112" s="186">
        <v>9.01</v>
      </c>
      <c r="W112" s="75">
        <v>8.94</v>
      </c>
      <c r="X112" s="75">
        <v>0.99</v>
      </c>
      <c r="Y112" s="75">
        <v>11</v>
      </c>
      <c r="Z112" s="75">
        <v>37</v>
      </c>
      <c r="AA112" s="75">
        <v>0</v>
      </c>
      <c r="AB112" s="75" t="s">
        <v>1433</v>
      </c>
      <c r="AE112" s="57" t="s">
        <v>1662</v>
      </c>
      <c r="AF112" s="163" t="s">
        <v>1663</v>
      </c>
    </row>
    <row r="113" spans="1:32" ht="16.05" customHeight="1" thickBot="1">
      <c r="A113" s="21"/>
      <c r="B113" s="21"/>
      <c r="C113" s="22"/>
      <c r="D113" s="20" t="s">
        <v>592</v>
      </c>
      <c r="E113" s="51">
        <v>7.5</v>
      </c>
      <c r="F113" s="4"/>
      <c r="G113" s="8" t="s">
        <v>610</v>
      </c>
      <c r="H113" s="51">
        <v>8.5</v>
      </c>
      <c r="I113" s="22"/>
      <c r="J113" s="5" t="s">
        <v>624</v>
      </c>
      <c r="K113" s="51">
        <v>10.5</v>
      </c>
      <c r="L113" s="22"/>
      <c r="M113" s="5" t="s">
        <v>636</v>
      </c>
      <c r="N113" s="51">
        <v>9</v>
      </c>
      <c r="O113" s="22"/>
      <c r="R113" s="66">
        <v>5</v>
      </c>
      <c r="S113" s="57" t="s">
        <v>499</v>
      </c>
      <c r="T113" s="76">
        <v>3</v>
      </c>
      <c r="U113" s="76">
        <v>8.93</v>
      </c>
      <c r="V113" s="59">
        <v>8.89</v>
      </c>
      <c r="W113" s="57">
        <v>8.83</v>
      </c>
      <c r="X113" s="57">
        <v>0.82</v>
      </c>
      <c r="Y113" s="57">
        <v>6</v>
      </c>
      <c r="Z113" s="57">
        <v>27</v>
      </c>
      <c r="AA113" s="57">
        <v>0</v>
      </c>
      <c r="AB113" s="57" t="s">
        <v>780</v>
      </c>
      <c r="AE113" s="75" t="s">
        <v>1157</v>
      </c>
      <c r="AF113" s="162" t="s">
        <v>1340</v>
      </c>
    </row>
    <row r="114" spans="1:32" ht="16.05" customHeight="1" thickBot="1">
      <c r="A114" s="104" t="s">
        <v>896</v>
      </c>
      <c r="B114" s="3">
        <f>ROUND(SUM(B115:B132)/COUNT(B115:B132), 2)</f>
        <v>7.72</v>
      </c>
      <c r="C114" s="4"/>
      <c r="D114" s="10" t="s">
        <v>593</v>
      </c>
      <c r="E114" s="52">
        <v>10</v>
      </c>
      <c r="F114" s="4"/>
      <c r="G114" s="8" t="s">
        <v>611</v>
      </c>
      <c r="H114" s="51">
        <v>9</v>
      </c>
      <c r="I114" s="22"/>
      <c r="J114" s="5" t="s">
        <v>625</v>
      </c>
      <c r="K114" s="51">
        <v>6</v>
      </c>
      <c r="L114" s="22"/>
      <c r="M114" s="5" t="s">
        <v>637</v>
      </c>
      <c r="N114" s="51">
        <v>8.5</v>
      </c>
      <c r="O114" s="22"/>
      <c r="R114" s="66">
        <v>6</v>
      </c>
      <c r="S114" s="75" t="s">
        <v>357</v>
      </c>
      <c r="T114" s="77">
        <v>2</v>
      </c>
      <c r="U114" s="77">
        <v>8.83</v>
      </c>
      <c r="V114" s="158">
        <v>8.8000000000000007</v>
      </c>
      <c r="W114" s="75">
        <v>8.5</v>
      </c>
      <c r="X114" s="75">
        <v>0.88</v>
      </c>
      <c r="Y114" s="75">
        <v>4</v>
      </c>
      <c r="Z114" s="75">
        <v>18</v>
      </c>
      <c r="AA114" s="75">
        <v>0</v>
      </c>
      <c r="AB114" s="75" t="s">
        <v>1697</v>
      </c>
      <c r="AE114" s="57" t="s">
        <v>1158</v>
      </c>
      <c r="AF114" s="163" t="s">
        <v>1340</v>
      </c>
    </row>
    <row r="115" spans="1:32" ht="16.05" customHeight="1" thickBot="1">
      <c r="A115" s="7" t="s">
        <v>650</v>
      </c>
      <c r="B115" s="51">
        <v>7.5</v>
      </c>
      <c r="C115" s="4"/>
      <c r="D115" s="21"/>
      <c r="E115" s="19"/>
      <c r="F115" s="4"/>
      <c r="G115" s="8" t="s">
        <v>612</v>
      </c>
      <c r="H115" s="51">
        <v>10</v>
      </c>
      <c r="I115" s="22"/>
      <c r="J115" s="5" t="s">
        <v>626</v>
      </c>
      <c r="K115" s="51">
        <v>9</v>
      </c>
      <c r="L115" s="22"/>
      <c r="M115" s="5" t="s">
        <v>638</v>
      </c>
      <c r="N115" s="51">
        <v>9</v>
      </c>
      <c r="O115" s="22"/>
      <c r="R115" s="66">
        <v>7</v>
      </c>
      <c r="S115" s="57" t="s">
        <v>350</v>
      </c>
      <c r="T115" s="76">
        <v>4</v>
      </c>
      <c r="U115" s="76">
        <v>8.83</v>
      </c>
      <c r="V115" s="237">
        <v>8.77</v>
      </c>
      <c r="W115" s="57">
        <v>8.69</v>
      </c>
      <c r="X115" s="57">
        <v>0.9</v>
      </c>
      <c r="Y115" s="57">
        <v>5</v>
      </c>
      <c r="Z115" s="57">
        <v>30</v>
      </c>
      <c r="AA115" s="57">
        <v>0</v>
      </c>
      <c r="AB115" s="57" t="s">
        <v>802</v>
      </c>
      <c r="AE115" s="75" t="s">
        <v>1154</v>
      </c>
      <c r="AF115" s="162" t="s">
        <v>1155</v>
      </c>
    </row>
    <row r="116" spans="1:32" ht="16.05" customHeight="1" thickBot="1">
      <c r="A116" s="8" t="s">
        <v>651</v>
      </c>
      <c r="B116" s="51">
        <v>8</v>
      </c>
      <c r="C116" s="22"/>
      <c r="D116" s="103" t="s">
        <v>895</v>
      </c>
      <c r="E116" s="3">
        <f>ROUND(SUM(E117:E130)/COUNT(E117:E130), 2)</f>
        <v>8.76</v>
      </c>
      <c r="F116" s="4"/>
      <c r="G116" s="8" t="s">
        <v>613</v>
      </c>
      <c r="H116" s="51"/>
      <c r="I116" s="22"/>
      <c r="J116" s="5" t="s">
        <v>627</v>
      </c>
      <c r="K116" s="51">
        <v>8.5</v>
      </c>
      <c r="L116" s="22"/>
      <c r="M116" s="5" t="s">
        <v>639</v>
      </c>
      <c r="N116" s="51">
        <v>8</v>
      </c>
      <c r="O116" s="22"/>
      <c r="R116" s="66">
        <v>8</v>
      </c>
      <c r="S116" s="75" t="s">
        <v>361</v>
      </c>
      <c r="T116" s="77">
        <v>2</v>
      </c>
      <c r="U116" s="77">
        <v>8.69</v>
      </c>
      <c r="V116" s="148">
        <v>8.64</v>
      </c>
      <c r="W116" s="75">
        <v>8.75</v>
      </c>
      <c r="X116" s="75">
        <v>0.84</v>
      </c>
      <c r="Y116" s="75">
        <v>4</v>
      </c>
      <c r="Z116" s="75">
        <v>24</v>
      </c>
      <c r="AA116" s="75">
        <v>0</v>
      </c>
      <c r="AB116" s="75" t="s">
        <v>1028</v>
      </c>
      <c r="AE116" s="57" t="s">
        <v>1156</v>
      </c>
      <c r="AF116" s="163" t="s">
        <v>1155</v>
      </c>
    </row>
    <row r="117" spans="1:32" ht="16.05" customHeight="1">
      <c r="A117" s="8" t="s">
        <v>652</v>
      </c>
      <c r="B117" s="51">
        <v>8</v>
      </c>
      <c r="C117" s="22"/>
      <c r="D117" s="5" t="s">
        <v>670</v>
      </c>
      <c r="E117" s="51">
        <v>9</v>
      </c>
      <c r="F117" s="4"/>
      <c r="G117" s="8" t="s">
        <v>614</v>
      </c>
      <c r="H117" s="51">
        <v>10</v>
      </c>
      <c r="I117" s="22"/>
      <c r="J117" s="5" t="s">
        <v>628</v>
      </c>
      <c r="K117" s="51">
        <v>8.5</v>
      </c>
      <c r="L117" s="22"/>
      <c r="M117" s="5" t="s">
        <v>640</v>
      </c>
      <c r="N117" s="51">
        <v>10</v>
      </c>
      <c r="O117" s="22"/>
      <c r="R117" s="66">
        <v>9</v>
      </c>
      <c r="S117" s="57" t="s">
        <v>343</v>
      </c>
      <c r="T117" s="76">
        <v>9</v>
      </c>
      <c r="U117" s="76">
        <v>8.65</v>
      </c>
      <c r="V117" s="240">
        <v>8.69</v>
      </c>
      <c r="W117" s="57">
        <v>8.69</v>
      </c>
      <c r="X117" s="57">
        <v>0.86</v>
      </c>
      <c r="Y117" s="57">
        <v>19</v>
      </c>
      <c r="Z117" s="57">
        <v>101</v>
      </c>
      <c r="AA117" s="57">
        <v>4</v>
      </c>
      <c r="AB117" s="57" t="s">
        <v>970</v>
      </c>
      <c r="AE117" s="75" t="s">
        <v>806</v>
      </c>
      <c r="AF117" s="162" t="s">
        <v>1159</v>
      </c>
    </row>
    <row r="118" spans="1:32" ht="16.05" customHeight="1">
      <c r="A118" s="8" t="s">
        <v>653</v>
      </c>
      <c r="B118" s="51">
        <v>7</v>
      </c>
      <c r="C118" s="22"/>
      <c r="D118" s="5" t="s">
        <v>671</v>
      </c>
      <c r="E118" s="51">
        <v>9.5</v>
      </c>
      <c r="F118" s="4"/>
      <c r="G118" s="8" t="s">
        <v>615</v>
      </c>
      <c r="H118" s="51">
        <v>7.5</v>
      </c>
      <c r="I118" s="22"/>
      <c r="J118" s="5" t="s">
        <v>629</v>
      </c>
      <c r="K118" s="51">
        <v>7.5</v>
      </c>
      <c r="L118" s="22"/>
      <c r="M118" s="5" t="s">
        <v>641</v>
      </c>
      <c r="N118" s="51">
        <v>9.5</v>
      </c>
      <c r="O118" s="22"/>
      <c r="R118" s="66">
        <v>10</v>
      </c>
      <c r="S118" s="75" t="s">
        <v>1592</v>
      </c>
      <c r="T118" s="77">
        <v>2</v>
      </c>
      <c r="U118" s="77">
        <v>8.6300000000000008</v>
      </c>
      <c r="V118" s="192">
        <v>8.52</v>
      </c>
      <c r="W118" s="75">
        <v>8.5</v>
      </c>
      <c r="X118" s="75">
        <v>1.05</v>
      </c>
      <c r="Y118" s="75">
        <v>4</v>
      </c>
      <c r="Z118" s="75">
        <v>22</v>
      </c>
      <c r="AA118" s="75">
        <v>2</v>
      </c>
      <c r="AB118" s="75" t="s">
        <v>1659</v>
      </c>
      <c r="AE118" s="57" t="s">
        <v>1160</v>
      </c>
      <c r="AF118" s="163" t="s">
        <v>1161</v>
      </c>
    </row>
    <row r="119" spans="1:32" ht="16.05" customHeight="1">
      <c r="A119" s="8" t="s">
        <v>654</v>
      </c>
      <c r="B119" s="51">
        <v>7.5</v>
      </c>
      <c r="C119" s="22"/>
      <c r="D119" s="5" t="s">
        <v>508</v>
      </c>
      <c r="E119" s="51">
        <v>10</v>
      </c>
      <c r="F119" s="4"/>
      <c r="G119" s="8" t="s">
        <v>616</v>
      </c>
      <c r="H119" s="51"/>
      <c r="I119" s="22"/>
      <c r="J119" s="5" t="s">
        <v>630</v>
      </c>
      <c r="K119" s="51">
        <v>7</v>
      </c>
      <c r="L119" s="22"/>
      <c r="M119" s="5" t="s">
        <v>642</v>
      </c>
      <c r="N119" s="51">
        <v>10.5</v>
      </c>
      <c r="O119" s="22"/>
      <c r="R119" s="66">
        <v>11</v>
      </c>
      <c r="S119" s="57" t="s">
        <v>739</v>
      </c>
      <c r="T119" s="76">
        <v>3</v>
      </c>
      <c r="U119" s="76">
        <v>8.5500000000000007</v>
      </c>
      <c r="V119" s="212">
        <v>8.51</v>
      </c>
      <c r="W119" s="57">
        <v>8.17</v>
      </c>
      <c r="X119" s="57">
        <v>0.83</v>
      </c>
      <c r="Y119" s="57">
        <v>6</v>
      </c>
      <c r="Z119" s="57">
        <v>46</v>
      </c>
      <c r="AA119" s="57">
        <v>4</v>
      </c>
      <c r="AB119" s="57" t="s">
        <v>1505</v>
      </c>
      <c r="AE119" s="75" t="s">
        <v>1358</v>
      </c>
      <c r="AF119" s="162" t="s">
        <v>1359</v>
      </c>
    </row>
    <row r="120" spans="1:32" ht="16.05" customHeight="1">
      <c r="A120" s="8" t="s">
        <v>655</v>
      </c>
      <c r="B120" s="51">
        <v>8</v>
      </c>
      <c r="C120" s="22"/>
      <c r="D120" s="5" t="s">
        <v>672</v>
      </c>
      <c r="E120" s="51">
        <v>8</v>
      </c>
      <c r="F120" s="4"/>
      <c r="G120" s="83" t="s">
        <v>617</v>
      </c>
      <c r="H120" s="51">
        <v>8</v>
      </c>
      <c r="I120" s="22"/>
      <c r="J120" s="5" t="s">
        <v>631</v>
      </c>
      <c r="K120" s="51"/>
      <c r="L120" s="22"/>
      <c r="M120" s="5" t="s">
        <v>643</v>
      </c>
      <c r="N120" s="51">
        <v>10</v>
      </c>
      <c r="O120" s="22"/>
      <c r="R120" s="66">
        <v>12</v>
      </c>
      <c r="S120" s="75" t="s">
        <v>353</v>
      </c>
      <c r="T120" s="77">
        <v>4</v>
      </c>
      <c r="U120" s="77">
        <v>8.48</v>
      </c>
      <c r="V120" s="265">
        <v>8.36</v>
      </c>
      <c r="W120" s="75">
        <v>8.25</v>
      </c>
      <c r="X120" s="75">
        <v>0.95</v>
      </c>
      <c r="Y120" s="75">
        <v>8</v>
      </c>
      <c r="Z120" s="75">
        <v>52</v>
      </c>
      <c r="AA120" s="75">
        <v>4</v>
      </c>
      <c r="AB120" s="75" t="s">
        <v>1640</v>
      </c>
      <c r="AE120" s="57" t="s">
        <v>1643</v>
      </c>
      <c r="AF120" s="163" t="s">
        <v>1644</v>
      </c>
    </row>
    <row r="121" spans="1:32" ht="16.05" customHeight="1">
      <c r="A121" s="8" t="s">
        <v>656</v>
      </c>
      <c r="B121" s="51">
        <v>8</v>
      </c>
      <c r="C121" s="22"/>
      <c r="D121" s="5" t="s">
        <v>673</v>
      </c>
      <c r="E121" s="51">
        <v>10.5</v>
      </c>
      <c r="F121" s="4"/>
      <c r="G121" s="8" t="s">
        <v>618</v>
      </c>
      <c r="H121" s="51">
        <v>8</v>
      </c>
      <c r="I121" s="22"/>
      <c r="J121" s="5" t="s">
        <v>632</v>
      </c>
      <c r="K121" s="51">
        <v>7</v>
      </c>
      <c r="L121" s="22"/>
      <c r="M121" s="5" t="s">
        <v>644</v>
      </c>
      <c r="N121" s="51">
        <v>8.5</v>
      </c>
      <c r="O121" s="22"/>
      <c r="R121" s="66">
        <v>13</v>
      </c>
      <c r="S121" s="57" t="s">
        <v>354</v>
      </c>
      <c r="T121" s="76">
        <v>2</v>
      </c>
      <c r="U121" s="76">
        <v>8.39</v>
      </c>
      <c r="V121" s="153">
        <v>8.32</v>
      </c>
      <c r="W121" s="57">
        <v>8.25</v>
      </c>
      <c r="X121" s="57">
        <v>0.72</v>
      </c>
      <c r="Y121" s="57">
        <v>2</v>
      </c>
      <c r="Z121" s="57">
        <v>20</v>
      </c>
      <c r="AA121" s="57">
        <v>0</v>
      </c>
      <c r="AB121" s="57" t="s">
        <v>801</v>
      </c>
      <c r="AE121" s="75" t="s">
        <v>1645</v>
      </c>
      <c r="AF121" s="162" t="s">
        <v>1644</v>
      </c>
    </row>
    <row r="122" spans="1:32" ht="16.05" customHeight="1" thickBot="1">
      <c r="A122" s="8" t="s">
        <v>657</v>
      </c>
      <c r="B122" s="51">
        <v>8</v>
      </c>
      <c r="C122" s="22"/>
      <c r="D122" s="5" t="s">
        <v>674</v>
      </c>
      <c r="E122" s="51">
        <v>8</v>
      </c>
      <c r="F122" s="4"/>
      <c r="G122" s="8" t="s">
        <v>619</v>
      </c>
      <c r="H122" s="51">
        <v>8</v>
      </c>
      <c r="I122" s="22"/>
      <c r="J122" s="9" t="s">
        <v>633</v>
      </c>
      <c r="K122" s="52">
        <v>8.5</v>
      </c>
      <c r="L122" s="22"/>
      <c r="M122" s="5" t="s">
        <v>645</v>
      </c>
      <c r="N122" s="51">
        <v>7.5</v>
      </c>
      <c r="O122" s="22"/>
      <c r="V122"/>
      <c r="W122"/>
      <c r="X122"/>
      <c r="Y122"/>
      <c r="Z122"/>
      <c r="AE122" s="57" t="s">
        <v>1162</v>
      </c>
      <c r="AF122" s="163" t="s">
        <v>1163</v>
      </c>
    </row>
    <row r="123" spans="1:32" ht="16.05" customHeight="1" thickBot="1">
      <c r="A123" s="8" t="s">
        <v>658</v>
      </c>
      <c r="B123" s="51">
        <v>6.5</v>
      </c>
      <c r="C123" s="22"/>
      <c r="D123" s="5" t="s">
        <v>675</v>
      </c>
      <c r="E123" s="51">
        <v>9</v>
      </c>
      <c r="F123" s="4"/>
      <c r="G123" s="10" t="s">
        <v>620</v>
      </c>
      <c r="H123" s="52">
        <v>9</v>
      </c>
      <c r="I123" s="4"/>
      <c r="J123" s="21"/>
      <c r="K123" s="21"/>
      <c r="L123" s="22"/>
      <c r="M123" s="5" t="s">
        <v>646</v>
      </c>
      <c r="N123" s="51">
        <v>8</v>
      </c>
      <c r="O123" s="22"/>
      <c r="R123" s="268" t="s">
        <v>1392</v>
      </c>
      <c r="S123" s="268"/>
      <c r="T123" s="268"/>
      <c r="U123" s="268"/>
      <c r="V123" s="268"/>
      <c r="W123"/>
      <c r="X123"/>
      <c r="Y123"/>
      <c r="Z123"/>
      <c r="AE123" s="75" t="s">
        <v>1244</v>
      </c>
      <c r="AF123" s="162" t="s">
        <v>1255</v>
      </c>
    </row>
    <row r="124" spans="1:32" ht="16.05" customHeight="1" thickBot="1">
      <c r="A124" s="8" t="s">
        <v>659</v>
      </c>
      <c r="B124" s="51">
        <v>7.5</v>
      </c>
      <c r="C124" s="22"/>
      <c r="D124" s="5" t="s">
        <v>676</v>
      </c>
      <c r="E124" s="51">
        <v>8.5</v>
      </c>
      <c r="F124" s="4"/>
      <c r="G124" s="21"/>
      <c r="H124" s="21"/>
      <c r="I124" s="4"/>
      <c r="J124" s="88" t="s">
        <v>688</v>
      </c>
      <c r="K124" s="3">
        <f>ROUND(SUM(K125:K134)/COUNT(K125:K134), 2)</f>
        <v>7.06</v>
      </c>
      <c r="L124" s="22"/>
      <c r="M124" s="5" t="s">
        <v>647</v>
      </c>
      <c r="N124" s="51">
        <v>8.5</v>
      </c>
      <c r="O124" s="22"/>
      <c r="R124" s="56" t="s">
        <v>368</v>
      </c>
      <c r="S124" s="56" t="s">
        <v>335</v>
      </c>
      <c r="T124" s="56" t="s">
        <v>336</v>
      </c>
      <c r="U124" s="56" t="s">
        <v>337</v>
      </c>
      <c r="V124" s="56" t="s">
        <v>1029</v>
      </c>
      <c r="W124"/>
      <c r="X124"/>
      <c r="Y124"/>
      <c r="Z124"/>
      <c r="AE124" s="57" t="s">
        <v>1164</v>
      </c>
      <c r="AF124" s="163" t="s">
        <v>1165</v>
      </c>
    </row>
    <row r="125" spans="1:32" ht="16.05" customHeight="1" thickBot="1">
      <c r="A125" s="8" t="s">
        <v>660</v>
      </c>
      <c r="B125" s="51">
        <v>7</v>
      </c>
      <c r="C125" s="22"/>
      <c r="D125" s="9" t="s">
        <v>677</v>
      </c>
      <c r="E125" s="52">
        <v>8</v>
      </c>
      <c r="F125" s="22"/>
      <c r="G125" s="180" t="s">
        <v>1285</v>
      </c>
      <c r="H125" s="3">
        <f>ROUND(SUM(H126:H129)/COUNT(H126:H129), 2)</f>
        <v>9.8800000000000008</v>
      </c>
      <c r="I125" s="4"/>
      <c r="J125" s="13" t="s">
        <v>678</v>
      </c>
      <c r="K125" s="51"/>
      <c r="L125" s="22"/>
      <c r="M125" s="61" t="s">
        <v>648</v>
      </c>
      <c r="N125" s="52">
        <v>7</v>
      </c>
      <c r="O125" s="22"/>
      <c r="R125" s="67">
        <v>1</v>
      </c>
      <c r="S125" s="57" t="s">
        <v>1022</v>
      </c>
      <c r="T125" s="57" t="s">
        <v>1020</v>
      </c>
      <c r="U125" s="76">
        <v>10.5</v>
      </c>
      <c r="V125" s="141">
        <v>10.85</v>
      </c>
      <c r="W125"/>
      <c r="X125"/>
      <c r="Y125"/>
      <c r="Z125"/>
      <c r="AE125" s="75" t="s">
        <v>1166</v>
      </c>
      <c r="AF125" s="162" t="s">
        <v>1165</v>
      </c>
    </row>
    <row r="126" spans="1:32" ht="16.05" customHeight="1" thickBot="1">
      <c r="A126" s="8" t="s">
        <v>661</v>
      </c>
      <c r="B126" s="51">
        <v>8</v>
      </c>
      <c r="C126" s="4"/>
      <c r="D126" s="21"/>
      <c r="E126" s="21"/>
      <c r="F126" s="4"/>
      <c r="G126" s="13" t="s">
        <v>691</v>
      </c>
      <c r="H126" s="50">
        <v>10.5</v>
      </c>
      <c r="I126" s="4"/>
      <c r="J126" s="6" t="s">
        <v>679</v>
      </c>
      <c r="K126" s="51">
        <v>7.5</v>
      </c>
      <c r="L126" s="4"/>
      <c r="M126" s="21"/>
      <c r="N126" s="21"/>
      <c r="O126" s="22"/>
      <c r="R126" s="68">
        <v>2</v>
      </c>
      <c r="S126" s="75" t="s">
        <v>342</v>
      </c>
      <c r="T126" s="75" t="s">
        <v>7</v>
      </c>
      <c r="U126" s="77">
        <v>9.89</v>
      </c>
      <c r="V126" s="141">
        <v>10.47</v>
      </c>
      <c r="W126"/>
      <c r="X126"/>
      <c r="Y126"/>
      <c r="Z126"/>
      <c r="AE126" s="57" t="s">
        <v>807</v>
      </c>
      <c r="AF126" s="163" t="s">
        <v>1167</v>
      </c>
    </row>
    <row r="127" spans="1:32" ht="16.05" customHeight="1" thickBot="1">
      <c r="A127" s="8" t="s">
        <v>662</v>
      </c>
      <c r="B127" s="51">
        <v>7</v>
      </c>
      <c r="C127" s="22"/>
      <c r="D127" s="102" t="s">
        <v>894</v>
      </c>
      <c r="E127" s="3">
        <f>ROUND(SUM(E128:E143)/COUNT(E128:E143), 2)</f>
        <v>8.07</v>
      </c>
      <c r="F127" s="4"/>
      <c r="G127" s="6" t="s">
        <v>692</v>
      </c>
      <c r="H127" s="51">
        <v>9.5</v>
      </c>
      <c r="I127" s="42"/>
      <c r="J127" s="6" t="s">
        <v>680</v>
      </c>
      <c r="K127" s="51">
        <v>7</v>
      </c>
      <c r="L127" s="22"/>
      <c r="M127" s="89" t="s">
        <v>722</v>
      </c>
      <c r="N127" s="3">
        <f>ROUND(SUM(N128:N135)/COUNT(N128:N135), 2)</f>
        <v>9.1300000000000008</v>
      </c>
      <c r="O127" s="22"/>
      <c r="R127" s="69">
        <v>3</v>
      </c>
      <c r="S127" s="57" t="s">
        <v>348</v>
      </c>
      <c r="T127" s="57" t="s">
        <v>1054</v>
      </c>
      <c r="U127" s="76">
        <v>10</v>
      </c>
      <c r="V127" s="141">
        <v>10.35</v>
      </c>
      <c r="W127"/>
      <c r="X127"/>
      <c r="Y127"/>
      <c r="Z127"/>
    </row>
    <row r="128" spans="1:32" ht="16.05" customHeight="1">
      <c r="A128" s="8" t="s">
        <v>663</v>
      </c>
      <c r="B128" s="51">
        <v>8</v>
      </c>
      <c r="C128" s="4"/>
      <c r="D128" s="13" t="s">
        <v>697</v>
      </c>
      <c r="E128" s="50">
        <v>7.5</v>
      </c>
      <c r="F128" s="4"/>
      <c r="G128" s="6" t="s">
        <v>693</v>
      </c>
      <c r="H128" s="51">
        <v>10.5</v>
      </c>
      <c r="I128" s="4"/>
      <c r="J128" s="6" t="s">
        <v>681</v>
      </c>
      <c r="K128" s="51">
        <v>7</v>
      </c>
      <c r="L128" s="4"/>
      <c r="M128" s="13" t="s">
        <v>714</v>
      </c>
      <c r="N128" s="50">
        <v>8.5</v>
      </c>
      <c r="O128" s="22"/>
      <c r="R128" s="66">
        <v>4</v>
      </c>
      <c r="S128" s="75" t="s">
        <v>343</v>
      </c>
      <c r="T128" s="75" t="s">
        <v>344</v>
      </c>
      <c r="U128" s="77">
        <v>9.6999999999999993</v>
      </c>
      <c r="V128" s="141">
        <v>10.29</v>
      </c>
      <c r="W128"/>
      <c r="X128"/>
      <c r="Y128"/>
      <c r="Z128"/>
    </row>
    <row r="129" spans="1:26" ht="16.05" customHeight="1" thickBot="1">
      <c r="A129" s="8" t="s">
        <v>664</v>
      </c>
      <c r="B129" s="51">
        <v>8.5</v>
      </c>
      <c r="C129" s="4"/>
      <c r="D129" s="6" t="s">
        <v>698</v>
      </c>
      <c r="E129" s="51"/>
      <c r="F129" s="4"/>
      <c r="G129" s="9" t="s">
        <v>694</v>
      </c>
      <c r="H129" s="52">
        <v>9</v>
      </c>
      <c r="I129" s="4"/>
      <c r="J129" s="6" t="s">
        <v>682</v>
      </c>
      <c r="K129" s="51">
        <v>6.5</v>
      </c>
      <c r="L129" s="4"/>
      <c r="M129" s="6" t="s">
        <v>715</v>
      </c>
      <c r="N129" s="51">
        <v>10</v>
      </c>
      <c r="O129" s="22"/>
      <c r="R129" s="66">
        <v>5</v>
      </c>
      <c r="S129" s="57" t="s">
        <v>695</v>
      </c>
      <c r="T129" s="57" t="s">
        <v>696</v>
      </c>
      <c r="U129" s="76">
        <v>9.8800000000000008</v>
      </c>
      <c r="V129" s="141">
        <v>10.16</v>
      </c>
      <c r="W129"/>
      <c r="X129"/>
      <c r="Y129"/>
      <c r="Z129"/>
    </row>
    <row r="130" spans="1:26" ht="16.05" customHeight="1" thickBot="1">
      <c r="A130" s="8" t="s">
        <v>665</v>
      </c>
      <c r="B130" s="51">
        <v>8</v>
      </c>
      <c r="C130" s="4"/>
      <c r="D130" s="6" t="s">
        <v>699</v>
      </c>
      <c r="E130" s="51">
        <v>9</v>
      </c>
      <c r="F130" s="4"/>
      <c r="G130" s="21"/>
      <c r="H130" s="21"/>
      <c r="I130" s="4"/>
      <c r="J130" s="6" t="s">
        <v>683</v>
      </c>
      <c r="K130" s="51">
        <v>8</v>
      </c>
      <c r="L130" s="4"/>
      <c r="M130" s="6" t="s">
        <v>716</v>
      </c>
      <c r="N130" s="51">
        <v>10</v>
      </c>
      <c r="O130" s="22"/>
      <c r="R130" s="66">
        <v>6</v>
      </c>
      <c r="S130" s="75" t="s">
        <v>346</v>
      </c>
      <c r="T130" s="75" t="s">
        <v>280</v>
      </c>
      <c r="U130" s="77">
        <v>9.3800000000000008</v>
      </c>
      <c r="V130" s="221">
        <v>9.4600000000000009</v>
      </c>
      <c r="W130"/>
      <c r="X130"/>
      <c r="Y130"/>
      <c r="Z130"/>
    </row>
    <row r="131" spans="1:26" ht="16.05" customHeight="1" thickBot="1">
      <c r="A131" s="8" t="s">
        <v>666</v>
      </c>
      <c r="B131" s="51">
        <v>9</v>
      </c>
      <c r="C131" s="4"/>
      <c r="D131" s="6" t="s">
        <v>700</v>
      </c>
      <c r="E131" s="51">
        <v>10</v>
      </c>
      <c r="F131" s="22"/>
      <c r="G131" s="101" t="s">
        <v>893</v>
      </c>
      <c r="H131" s="3">
        <f>ROUND(SUM(H132:H147)/COUNT(H132:H147), 2)</f>
        <v>8.67</v>
      </c>
      <c r="I131" s="4"/>
      <c r="J131" s="6" t="s">
        <v>684</v>
      </c>
      <c r="K131" s="51">
        <v>6.5</v>
      </c>
      <c r="L131" s="4"/>
      <c r="M131" s="6" t="s">
        <v>717</v>
      </c>
      <c r="N131" s="51">
        <v>10.5</v>
      </c>
      <c r="O131" s="22"/>
      <c r="R131" s="66">
        <v>7</v>
      </c>
      <c r="S131" s="57" t="s">
        <v>347</v>
      </c>
      <c r="T131" s="57" t="s">
        <v>1228</v>
      </c>
      <c r="U131" s="76">
        <v>9.4</v>
      </c>
      <c r="V131" s="222">
        <v>9.42</v>
      </c>
      <c r="W131"/>
      <c r="X131"/>
      <c r="Y131"/>
      <c r="Z131"/>
    </row>
    <row r="132" spans="1:26" ht="16.05" customHeight="1" thickBot="1">
      <c r="A132" s="8" t="s">
        <v>667</v>
      </c>
      <c r="B132" s="51">
        <v>7.5</v>
      </c>
      <c r="C132" s="4"/>
      <c r="D132" s="6" t="s">
        <v>701</v>
      </c>
      <c r="E132" s="51">
        <v>8</v>
      </c>
      <c r="F132" s="4"/>
      <c r="G132" s="13" t="s">
        <v>723</v>
      </c>
      <c r="H132" s="50"/>
      <c r="I132" s="4"/>
      <c r="J132" s="6" t="s">
        <v>685</v>
      </c>
      <c r="K132" s="51">
        <v>7</v>
      </c>
      <c r="L132" s="4"/>
      <c r="M132" s="6" t="s">
        <v>718</v>
      </c>
      <c r="N132" s="51">
        <v>8.5</v>
      </c>
      <c r="O132" s="22"/>
      <c r="R132" s="66">
        <v>8</v>
      </c>
      <c r="S132" s="75" t="s">
        <v>351</v>
      </c>
      <c r="T132" s="75" t="s">
        <v>56</v>
      </c>
      <c r="U132" s="77">
        <v>9.25</v>
      </c>
      <c r="V132" s="223">
        <v>9.31</v>
      </c>
      <c r="W132"/>
      <c r="X132"/>
      <c r="Y132"/>
      <c r="Z132"/>
    </row>
    <row r="133" spans="1:26" ht="16.05" customHeight="1" thickBot="1">
      <c r="A133" s="85"/>
      <c r="B133" s="19"/>
      <c r="C133" s="4"/>
      <c r="D133" s="6" t="s">
        <v>702</v>
      </c>
      <c r="E133" s="51">
        <v>8.5</v>
      </c>
      <c r="F133" s="4"/>
      <c r="G133" s="6" t="s">
        <v>724</v>
      </c>
      <c r="H133" s="51">
        <v>8</v>
      </c>
      <c r="I133" s="4"/>
      <c r="J133" s="6" t="s">
        <v>686</v>
      </c>
      <c r="K133" s="51">
        <v>7</v>
      </c>
      <c r="L133" s="4"/>
      <c r="M133" s="6" t="s">
        <v>719</v>
      </c>
      <c r="N133" s="51">
        <v>7.5</v>
      </c>
      <c r="O133" s="22"/>
      <c r="R133" s="66">
        <v>9</v>
      </c>
      <c r="S133" s="57" t="s">
        <v>352</v>
      </c>
      <c r="T133" s="57" t="s">
        <v>190</v>
      </c>
      <c r="U133" s="76">
        <v>9.2100000000000009</v>
      </c>
      <c r="V133" s="224">
        <v>9.27</v>
      </c>
      <c r="W133"/>
      <c r="X133"/>
      <c r="Y133"/>
      <c r="Z133"/>
    </row>
    <row r="134" spans="1:26" ht="16.05" customHeight="1" thickBot="1">
      <c r="A134" s="129" t="s">
        <v>921</v>
      </c>
      <c r="B134" s="3">
        <f>ROUND(SUM(B135:B143)/COUNT(B135:B143), 2)</f>
        <v>8.67</v>
      </c>
      <c r="C134" s="4"/>
      <c r="D134" s="6" t="s">
        <v>703</v>
      </c>
      <c r="E134" s="51">
        <v>10</v>
      </c>
      <c r="F134" s="4"/>
      <c r="G134" s="6" t="s">
        <v>725</v>
      </c>
      <c r="H134" s="51">
        <v>8</v>
      </c>
      <c r="I134" s="4"/>
      <c r="J134" s="9" t="s">
        <v>687</v>
      </c>
      <c r="K134" s="52">
        <v>7</v>
      </c>
      <c r="L134" s="4"/>
      <c r="M134" s="6" t="s">
        <v>720</v>
      </c>
      <c r="N134" s="51">
        <v>9</v>
      </c>
      <c r="O134" s="22"/>
      <c r="R134" s="66">
        <v>10</v>
      </c>
      <c r="S134" s="75" t="s">
        <v>350</v>
      </c>
      <c r="T134" s="75" t="s">
        <v>132</v>
      </c>
      <c r="U134" s="77">
        <v>9.2100000000000009</v>
      </c>
      <c r="V134" s="146">
        <v>9.23</v>
      </c>
      <c r="W134"/>
      <c r="X134"/>
      <c r="Y134"/>
      <c r="Z134"/>
    </row>
    <row r="135" spans="1:26" ht="16.05" customHeight="1" thickBot="1">
      <c r="A135" s="13" t="s">
        <v>740</v>
      </c>
      <c r="B135" s="50">
        <v>9</v>
      </c>
      <c r="C135" s="4"/>
      <c r="D135" s="6" t="s">
        <v>704</v>
      </c>
      <c r="E135" s="51">
        <v>8</v>
      </c>
      <c r="F135" s="4"/>
      <c r="G135" s="6" t="s">
        <v>726</v>
      </c>
      <c r="H135" s="51">
        <v>10</v>
      </c>
      <c r="I135" s="4"/>
      <c r="J135" s="21"/>
      <c r="K135" s="21"/>
      <c r="L135" s="4"/>
      <c r="M135" s="9" t="s">
        <v>721</v>
      </c>
      <c r="N135" s="52">
        <v>9</v>
      </c>
      <c r="O135" s="22"/>
      <c r="R135" s="66">
        <v>11</v>
      </c>
      <c r="S135" s="57" t="s">
        <v>499</v>
      </c>
      <c r="T135" s="57" t="s">
        <v>517</v>
      </c>
      <c r="U135" s="76">
        <v>9.17</v>
      </c>
      <c r="V135" s="166">
        <v>9.19</v>
      </c>
      <c r="W135"/>
      <c r="X135"/>
      <c r="Y135"/>
      <c r="Z135"/>
    </row>
    <row r="136" spans="1:26" ht="16.05" customHeight="1" thickBot="1">
      <c r="A136" s="6" t="s">
        <v>741</v>
      </c>
      <c r="B136" s="51">
        <v>9</v>
      </c>
      <c r="C136" s="4"/>
      <c r="D136" s="6" t="s">
        <v>705</v>
      </c>
      <c r="E136" s="51">
        <v>8</v>
      </c>
      <c r="F136" s="4"/>
      <c r="G136" s="6" t="s">
        <v>727</v>
      </c>
      <c r="H136" s="51">
        <v>9</v>
      </c>
      <c r="I136" s="22"/>
      <c r="J136" s="90" t="s">
        <v>751</v>
      </c>
      <c r="K136" s="14">
        <f>ROUND(SUM(K137:K147)/COUNT(K137:K147), 2)</f>
        <v>8.77</v>
      </c>
      <c r="L136" s="4"/>
      <c r="M136" s="21"/>
      <c r="N136" s="21"/>
      <c r="O136" s="22"/>
      <c r="R136" s="66">
        <v>12</v>
      </c>
      <c r="S136" s="75" t="s">
        <v>463</v>
      </c>
      <c r="T136" s="75" t="s">
        <v>36</v>
      </c>
      <c r="U136" s="77">
        <v>9.15</v>
      </c>
      <c r="V136" s="225">
        <v>9.18</v>
      </c>
      <c r="W136"/>
      <c r="X136"/>
      <c r="Y136"/>
      <c r="Z136"/>
    </row>
    <row r="137" spans="1:26" ht="16.05" customHeight="1" thickBot="1">
      <c r="A137" s="6" t="s">
        <v>742</v>
      </c>
      <c r="B137" s="51">
        <v>8.5</v>
      </c>
      <c r="C137" s="4"/>
      <c r="D137" s="6" t="s">
        <v>706</v>
      </c>
      <c r="E137" s="51">
        <v>7</v>
      </c>
      <c r="F137" s="4"/>
      <c r="G137" s="6" t="s">
        <v>728</v>
      </c>
      <c r="H137" s="51">
        <v>8.5</v>
      </c>
      <c r="I137" s="22"/>
      <c r="J137" s="13" t="s">
        <v>306</v>
      </c>
      <c r="K137" s="50">
        <v>10</v>
      </c>
      <c r="L137" s="22"/>
      <c r="M137" s="100" t="s">
        <v>892</v>
      </c>
      <c r="N137" s="14">
        <f>ROUND(SUM(N138:N142)/COUNT(N138:N142), 2)</f>
        <v>9.4</v>
      </c>
      <c r="O137" s="22"/>
      <c r="R137" s="66">
        <v>13</v>
      </c>
      <c r="S137" s="57" t="s">
        <v>353</v>
      </c>
      <c r="T137" s="57" t="s">
        <v>159</v>
      </c>
      <c r="U137" s="76">
        <v>9.08</v>
      </c>
      <c r="V137" s="167">
        <v>9.1</v>
      </c>
      <c r="W137"/>
      <c r="X137"/>
      <c r="Y137"/>
      <c r="Z137"/>
    </row>
    <row r="138" spans="1:26" ht="16.05" customHeight="1">
      <c r="A138" s="6" t="s">
        <v>743</v>
      </c>
      <c r="B138" s="51">
        <v>9</v>
      </c>
      <c r="C138" s="4"/>
      <c r="D138" s="6" t="s">
        <v>707</v>
      </c>
      <c r="E138" s="51">
        <v>6.5</v>
      </c>
      <c r="F138" s="4"/>
      <c r="G138" s="6" t="s">
        <v>729</v>
      </c>
      <c r="H138" s="51">
        <v>10.5</v>
      </c>
      <c r="I138" s="22"/>
      <c r="J138" s="6" t="s">
        <v>752</v>
      </c>
      <c r="K138" s="51">
        <v>10</v>
      </c>
      <c r="L138" s="22"/>
      <c r="M138" s="13" t="s">
        <v>764</v>
      </c>
      <c r="N138" s="50">
        <v>8.5</v>
      </c>
      <c r="O138" s="22"/>
      <c r="R138" s="66">
        <v>14</v>
      </c>
      <c r="S138" s="75" t="s">
        <v>934</v>
      </c>
      <c r="T138" s="75" t="s">
        <v>925</v>
      </c>
      <c r="U138" s="77">
        <v>9.06</v>
      </c>
      <c r="V138" s="58">
        <v>9.0500000000000007</v>
      </c>
      <c r="W138"/>
      <c r="X138"/>
      <c r="Y138"/>
      <c r="Z138"/>
    </row>
    <row r="139" spans="1:26" ht="16.05" customHeight="1">
      <c r="A139" s="6" t="s">
        <v>744</v>
      </c>
      <c r="B139" s="51">
        <v>10</v>
      </c>
      <c r="C139" s="4"/>
      <c r="D139" s="6" t="s">
        <v>708</v>
      </c>
      <c r="E139" s="51">
        <v>7</v>
      </c>
      <c r="F139" s="4"/>
      <c r="G139" s="6" t="s">
        <v>730</v>
      </c>
      <c r="H139" s="51">
        <v>8</v>
      </c>
      <c r="I139" s="22"/>
      <c r="J139" s="6" t="s">
        <v>753</v>
      </c>
      <c r="K139" s="51">
        <v>8.5</v>
      </c>
      <c r="L139" s="22"/>
      <c r="M139" s="6" t="s">
        <v>765</v>
      </c>
      <c r="N139" s="51">
        <v>10.5</v>
      </c>
      <c r="O139" s="22"/>
      <c r="R139" s="66">
        <v>15</v>
      </c>
      <c r="S139" s="57" t="s">
        <v>354</v>
      </c>
      <c r="T139" s="57" t="s">
        <v>270</v>
      </c>
      <c r="U139" s="76">
        <v>9</v>
      </c>
      <c r="V139" s="228">
        <v>9.0299999999999994</v>
      </c>
      <c r="W139"/>
      <c r="X139"/>
      <c r="Y139"/>
      <c r="Z139"/>
    </row>
    <row r="140" spans="1:26" ht="16.05" customHeight="1">
      <c r="A140" s="6" t="s">
        <v>745</v>
      </c>
      <c r="B140" s="51">
        <v>8</v>
      </c>
      <c r="C140" s="4"/>
      <c r="D140" s="6" t="s">
        <v>709</v>
      </c>
      <c r="E140" s="51">
        <v>7.5</v>
      </c>
      <c r="F140" s="4"/>
      <c r="G140" s="6" t="s">
        <v>731</v>
      </c>
      <c r="H140" s="51">
        <v>8</v>
      </c>
      <c r="I140" s="22"/>
      <c r="J140" s="6" t="s">
        <v>754</v>
      </c>
      <c r="K140" s="51">
        <v>10</v>
      </c>
      <c r="L140" s="22"/>
      <c r="M140" s="6" t="s">
        <v>766</v>
      </c>
      <c r="N140" s="51">
        <v>10</v>
      </c>
      <c r="O140" s="22"/>
      <c r="R140" s="66">
        <v>16</v>
      </c>
      <c r="S140" s="75" t="s">
        <v>1622</v>
      </c>
      <c r="T140" s="75" t="s">
        <v>1623</v>
      </c>
      <c r="U140" s="77">
        <v>8.67</v>
      </c>
      <c r="V140" s="87">
        <v>8.94</v>
      </c>
      <c r="W140"/>
      <c r="X140"/>
      <c r="Y140"/>
      <c r="Z140"/>
    </row>
    <row r="141" spans="1:26" ht="16.05" customHeight="1">
      <c r="A141" s="6" t="s">
        <v>746</v>
      </c>
      <c r="B141" s="51">
        <v>8.5</v>
      </c>
      <c r="C141" s="4"/>
      <c r="D141" s="6" t="s">
        <v>710</v>
      </c>
      <c r="E141" s="51">
        <v>7</v>
      </c>
      <c r="F141" s="4"/>
      <c r="G141" s="6" t="s">
        <v>732</v>
      </c>
      <c r="H141" s="51">
        <v>10.5</v>
      </c>
      <c r="I141" s="22"/>
      <c r="J141" s="6" t="s">
        <v>755</v>
      </c>
      <c r="K141" s="51">
        <v>9</v>
      </c>
      <c r="L141" s="22"/>
      <c r="M141" s="6" t="s">
        <v>767</v>
      </c>
      <c r="N141" s="51">
        <v>9.5</v>
      </c>
      <c r="O141" s="22"/>
      <c r="R141" s="66">
        <v>17</v>
      </c>
      <c r="S141" s="57" t="s">
        <v>739</v>
      </c>
      <c r="T141" s="57" t="s">
        <v>1490</v>
      </c>
      <c r="U141" s="76">
        <v>8.8800000000000008</v>
      </c>
      <c r="V141" s="232">
        <v>8.86</v>
      </c>
      <c r="W141"/>
      <c r="X141"/>
      <c r="Y141"/>
      <c r="Z141"/>
    </row>
    <row r="142" spans="1:26" ht="16.05" customHeight="1" thickBot="1">
      <c r="A142" s="6" t="s">
        <v>747</v>
      </c>
      <c r="B142" s="51">
        <v>8</v>
      </c>
      <c r="C142" s="4"/>
      <c r="D142" s="6" t="s">
        <v>711</v>
      </c>
      <c r="E142" s="51">
        <v>9</v>
      </c>
      <c r="F142" s="4"/>
      <c r="G142" s="6" t="s">
        <v>733</v>
      </c>
      <c r="H142" s="51">
        <v>8</v>
      </c>
      <c r="I142" s="22"/>
      <c r="J142" s="6" t="s">
        <v>756</v>
      </c>
      <c r="K142" s="51">
        <v>8</v>
      </c>
      <c r="L142" s="22"/>
      <c r="M142" s="9" t="s">
        <v>768</v>
      </c>
      <c r="N142" s="52">
        <v>8.5</v>
      </c>
      <c r="O142" s="22"/>
      <c r="R142" s="66">
        <v>18</v>
      </c>
      <c r="S142" s="75" t="s">
        <v>1224</v>
      </c>
      <c r="T142" s="75" t="s">
        <v>1621</v>
      </c>
      <c r="U142" s="77">
        <v>8.7200000000000006</v>
      </c>
      <c r="V142" s="234">
        <v>8.82</v>
      </c>
      <c r="W142"/>
      <c r="X142"/>
      <c r="Y142"/>
      <c r="Z142"/>
    </row>
    <row r="143" spans="1:26" ht="16.05" customHeight="1" thickBot="1">
      <c r="A143" s="9" t="s">
        <v>748</v>
      </c>
      <c r="B143" s="52">
        <v>8</v>
      </c>
      <c r="C143" s="4"/>
      <c r="D143" s="9" t="s">
        <v>712</v>
      </c>
      <c r="E143" s="52"/>
      <c r="F143" s="4"/>
      <c r="G143" s="6" t="s">
        <v>734</v>
      </c>
      <c r="H143" s="51">
        <v>7</v>
      </c>
      <c r="I143" s="22"/>
      <c r="J143" s="6" t="s">
        <v>757</v>
      </c>
      <c r="K143" s="51">
        <v>7.5</v>
      </c>
      <c r="L143" s="4"/>
      <c r="M143" s="21"/>
      <c r="N143" s="21"/>
      <c r="O143" s="22"/>
      <c r="R143" s="66">
        <v>19</v>
      </c>
      <c r="S143" s="57" t="s">
        <v>1670</v>
      </c>
      <c r="T143" s="57" t="s">
        <v>1671</v>
      </c>
      <c r="U143" s="76">
        <v>8.9</v>
      </c>
      <c r="V143" s="234">
        <v>8.82</v>
      </c>
      <c r="W143"/>
      <c r="X143"/>
      <c r="Y143"/>
      <c r="Z143"/>
    </row>
    <row r="144" spans="1:26" ht="16.05" customHeight="1" thickBot="1">
      <c r="A144" s="21"/>
      <c r="B144" s="21"/>
      <c r="C144" s="4"/>
      <c r="D144" s="21"/>
      <c r="E144" s="21"/>
      <c r="F144" s="4"/>
      <c r="G144" s="6" t="s">
        <v>735</v>
      </c>
      <c r="H144" s="51">
        <v>10</v>
      </c>
      <c r="I144" s="22"/>
      <c r="J144" s="6" t="s">
        <v>758</v>
      </c>
      <c r="K144" s="51">
        <v>8.5</v>
      </c>
      <c r="L144" s="22"/>
      <c r="M144" s="93" t="s">
        <v>811</v>
      </c>
      <c r="N144" s="14">
        <f>ROUND(SUM(N145:N150)/COUNT(N145:N150), 2)</f>
        <v>8.67</v>
      </c>
      <c r="O144" s="22"/>
      <c r="R144" s="66">
        <v>20</v>
      </c>
      <c r="S144" s="75" t="s">
        <v>1558</v>
      </c>
      <c r="T144" s="75" t="s">
        <v>1559</v>
      </c>
      <c r="U144" s="77">
        <v>8.93</v>
      </c>
      <c r="V144" s="234">
        <v>8.82</v>
      </c>
      <c r="W144"/>
      <c r="X144"/>
      <c r="Y144"/>
      <c r="Z144"/>
    </row>
    <row r="145" spans="1:26" ht="16.05" customHeight="1" thickBot="1">
      <c r="A145" s="99" t="s">
        <v>891</v>
      </c>
      <c r="B145" s="14">
        <f>ROUND(SUM(B146:B160)/COUNT(B146:B160), 2)</f>
        <v>8.33</v>
      </c>
      <c r="C145" s="22"/>
      <c r="D145" s="94" t="s">
        <v>841</v>
      </c>
      <c r="E145" s="14">
        <f>ROUND(SUM(E146:E158)/COUNT(E146:E158), 2)</f>
        <v>8.82</v>
      </c>
      <c r="F145" s="4"/>
      <c r="G145" s="6" t="s">
        <v>736</v>
      </c>
      <c r="H145" s="51">
        <v>8.5</v>
      </c>
      <c r="I145" s="22"/>
      <c r="J145" s="6" t="s">
        <v>759</v>
      </c>
      <c r="K145" s="51">
        <v>8</v>
      </c>
      <c r="L145" s="4"/>
      <c r="M145" s="13" t="s">
        <v>769</v>
      </c>
      <c r="N145" s="50">
        <v>10</v>
      </c>
      <c r="O145" s="22"/>
      <c r="V145"/>
      <c r="W145"/>
      <c r="X145"/>
      <c r="Y145"/>
      <c r="Z145"/>
    </row>
    <row r="146" spans="1:26" ht="16.05" customHeight="1">
      <c r="A146" s="13" t="s">
        <v>812</v>
      </c>
      <c r="B146" s="50">
        <v>8</v>
      </c>
      <c r="C146" s="22"/>
      <c r="D146" s="13" t="s">
        <v>829</v>
      </c>
      <c r="E146" s="50">
        <v>9</v>
      </c>
      <c r="F146" s="4"/>
      <c r="G146" s="6" t="s">
        <v>737</v>
      </c>
      <c r="H146" s="51">
        <v>8</v>
      </c>
      <c r="I146" s="22"/>
      <c r="J146" s="6" t="s">
        <v>760</v>
      </c>
      <c r="K146" s="51">
        <v>8</v>
      </c>
      <c r="L146" s="4"/>
      <c r="M146" s="91" t="s">
        <v>770</v>
      </c>
      <c r="N146" s="51">
        <v>8</v>
      </c>
      <c r="O146" s="22"/>
      <c r="V146"/>
      <c r="W146"/>
      <c r="X146"/>
      <c r="Y146"/>
      <c r="Z146"/>
    </row>
    <row r="147" spans="1:26" ht="16.05" customHeight="1" thickBot="1">
      <c r="A147" s="6" t="s">
        <v>813</v>
      </c>
      <c r="B147" s="51">
        <v>9</v>
      </c>
      <c r="C147" s="22"/>
      <c r="D147" s="6" t="s">
        <v>830</v>
      </c>
      <c r="E147" s="51">
        <v>8.5</v>
      </c>
      <c r="F147" s="4"/>
      <c r="G147" s="9" t="s">
        <v>738</v>
      </c>
      <c r="H147" s="52">
        <v>8</v>
      </c>
      <c r="I147" s="22"/>
      <c r="J147" s="9" t="s">
        <v>761</v>
      </c>
      <c r="K147" s="52">
        <v>9</v>
      </c>
      <c r="L147" s="4"/>
      <c r="M147" s="6" t="s">
        <v>771</v>
      </c>
      <c r="N147" s="51">
        <v>9</v>
      </c>
      <c r="O147" s="22"/>
      <c r="V147"/>
      <c r="W147"/>
      <c r="X147"/>
      <c r="Y147"/>
      <c r="Z147"/>
    </row>
    <row r="148" spans="1:26" ht="16.05" customHeight="1" thickBot="1">
      <c r="A148" s="6" t="s">
        <v>814</v>
      </c>
      <c r="B148" s="51">
        <v>10</v>
      </c>
      <c r="C148" s="22"/>
      <c r="D148" s="6" t="s">
        <v>831</v>
      </c>
      <c r="E148" s="51">
        <v>10</v>
      </c>
      <c r="F148" s="4"/>
      <c r="G148" s="21"/>
      <c r="H148" s="21"/>
      <c r="I148" s="4"/>
      <c r="J148" s="21"/>
      <c r="K148" s="21"/>
      <c r="L148" s="4"/>
      <c r="M148" s="91" t="s">
        <v>772</v>
      </c>
      <c r="N148" s="51">
        <v>8</v>
      </c>
      <c r="O148" s="22"/>
      <c r="V148"/>
      <c r="W148"/>
      <c r="X148"/>
      <c r="Y148"/>
      <c r="Z148"/>
    </row>
    <row r="149" spans="1:26" ht="16.05" customHeight="1" thickBot="1">
      <c r="A149" s="6" t="s">
        <v>815</v>
      </c>
      <c r="B149" s="51">
        <v>8</v>
      </c>
      <c r="C149" s="22"/>
      <c r="D149" s="6" t="s">
        <v>832</v>
      </c>
      <c r="E149" s="51"/>
      <c r="F149" s="22"/>
      <c r="G149" s="98" t="s">
        <v>890</v>
      </c>
      <c r="H149" s="14">
        <f>ROUND(SUM(H150:H163)/COUNT(H150:H163), 2)</f>
        <v>8.7100000000000009</v>
      </c>
      <c r="I149" s="22"/>
      <c r="J149" s="95" t="s">
        <v>866</v>
      </c>
      <c r="K149" s="14">
        <f>ROUND(SUM(K150:K163)/COUNT(K150:K163), 2)</f>
        <v>8.5</v>
      </c>
      <c r="L149" s="4"/>
      <c r="M149" s="91" t="s">
        <v>773</v>
      </c>
      <c r="N149" s="51">
        <v>8</v>
      </c>
      <c r="O149" s="22"/>
      <c r="V149"/>
      <c r="W149"/>
      <c r="X149"/>
      <c r="Y149"/>
      <c r="Z149"/>
    </row>
    <row r="150" spans="1:26" ht="16.05" customHeight="1" thickBot="1">
      <c r="A150" s="6" t="s">
        <v>816</v>
      </c>
      <c r="B150" s="51">
        <v>7</v>
      </c>
      <c r="C150" s="22"/>
      <c r="D150" s="6" t="s">
        <v>833</v>
      </c>
      <c r="E150" s="51">
        <v>9</v>
      </c>
      <c r="F150" s="4"/>
      <c r="G150" s="13" t="s">
        <v>850</v>
      </c>
      <c r="H150" s="50">
        <v>10</v>
      </c>
      <c r="I150" s="22"/>
      <c r="J150" s="13" t="s">
        <v>867</v>
      </c>
      <c r="K150" s="50">
        <v>10</v>
      </c>
      <c r="L150" s="4"/>
      <c r="M150" s="92" t="s">
        <v>774</v>
      </c>
      <c r="N150" s="52">
        <v>9</v>
      </c>
      <c r="O150" s="22"/>
      <c r="V150"/>
      <c r="W150"/>
      <c r="X150"/>
      <c r="Y150"/>
      <c r="Z150"/>
    </row>
    <row r="151" spans="1:26" ht="16.05" customHeight="1" thickBot="1">
      <c r="A151" s="6" t="s">
        <v>817</v>
      </c>
      <c r="B151" s="51">
        <v>9.5</v>
      </c>
      <c r="C151" s="22"/>
      <c r="D151" s="6" t="s">
        <v>834</v>
      </c>
      <c r="E151" s="51">
        <v>7.5</v>
      </c>
      <c r="F151" s="4"/>
      <c r="G151" s="6" t="s">
        <v>851</v>
      </c>
      <c r="H151" s="51">
        <v>9</v>
      </c>
      <c r="I151" s="22"/>
      <c r="J151" s="6" t="s">
        <v>868</v>
      </c>
      <c r="K151" s="51">
        <v>9</v>
      </c>
      <c r="L151" s="4"/>
      <c r="M151" s="21"/>
      <c r="N151" s="21"/>
      <c r="O151" s="22"/>
      <c r="V151"/>
      <c r="W151"/>
      <c r="X151"/>
      <c r="Y151"/>
      <c r="Z151"/>
    </row>
    <row r="152" spans="1:26" ht="16.05" customHeight="1" thickBot="1">
      <c r="A152" s="6" t="s">
        <v>818</v>
      </c>
      <c r="B152" s="51">
        <v>8.5</v>
      </c>
      <c r="C152" s="22"/>
      <c r="D152" s="6" t="s">
        <v>835</v>
      </c>
      <c r="E152" s="51">
        <v>8</v>
      </c>
      <c r="F152" s="4"/>
      <c r="G152" s="6" t="s">
        <v>852</v>
      </c>
      <c r="H152" s="51">
        <v>8.5</v>
      </c>
      <c r="I152" s="22"/>
      <c r="J152" s="6" t="s">
        <v>869</v>
      </c>
      <c r="K152" s="51">
        <v>9</v>
      </c>
      <c r="L152" s="22"/>
      <c r="M152" s="97" t="s">
        <v>883</v>
      </c>
      <c r="N152" s="14">
        <f>ROUND(SUM(N153:N159)/COUNT(N153:N159), 2)</f>
        <v>8.7100000000000009</v>
      </c>
      <c r="O152" s="22"/>
      <c r="V152"/>
      <c r="W152"/>
      <c r="X152"/>
      <c r="Y152"/>
      <c r="Z152"/>
    </row>
    <row r="153" spans="1:26" ht="16.05" customHeight="1">
      <c r="A153" s="6" t="s">
        <v>819</v>
      </c>
      <c r="B153" s="51">
        <v>8</v>
      </c>
      <c r="C153" s="22"/>
      <c r="D153" s="6" t="s">
        <v>836</v>
      </c>
      <c r="E153" s="51">
        <v>10</v>
      </c>
      <c r="F153" s="4"/>
      <c r="G153" s="6" t="s">
        <v>853</v>
      </c>
      <c r="H153" s="51">
        <v>10.5</v>
      </c>
      <c r="I153" s="22"/>
      <c r="J153" s="6" t="s">
        <v>870</v>
      </c>
      <c r="K153" s="51">
        <v>8.5</v>
      </c>
      <c r="L153" s="22"/>
      <c r="M153" s="96" t="s">
        <v>884</v>
      </c>
      <c r="N153" s="50">
        <v>9</v>
      </c>
      <c r="O153" s="22"/>
      <c r="V153"/>
      <c r="W153"/>
      <c r="X153"/>
      <c r="Y153"/>
      <c r="Z153"/>
    </row>
    <row r="154" spans="1:26" ht="16.05" customHeight="1">
      <c r="A154" s="6" t="s">
        <v>820</v>
      </c>
      <c r="B154" s="51">
        <v>7.5</v>
      </c>
      <c r="C154" s="22"/>
      <c r="D154" s="6" t="s">
        <v>118</v>
      </c>
      <c r="E154" s="51">
        <v>10</v>
      </c>
      <c r="F154" s="4"/>
      <c r="G154" s="6" t="s">
        <v>854</v>
      </c>
      <c r="H154" s="51">
        <v>8</v>
      </c>
      <c r="I154" s="22"/>
      <c r="J154" s="6" t="s">
        <v>871</v>
      </c>
      <c r="K154" s="51">
        <v>8</v>
      </c>
      <c r="L154" s="22"/>
      <c r="M154" s="91" t="s">
        <v>885</v>
      </c>
      <c r="N154" s="51">
        <v>8</v>
      </c>
      <c r="O154" s="22"/>
      <c r="V154"/>
      <c r="W154"/>
      <c r="X154"/>
      <c r="Y154"/>
      <c r="Z154"/>
    </row>
    <row r="155" spans="1:26" ht="16.05" customHeight="1">
      <c r="A155" s="6" t="s">
        <v>821</v>
      </c>
      <c r="B155" s="51">
        <v>8</v>
      </c>
      <c r="C155" s="22"/>
      <c r="D155" s="6" t="s">
        <v>837</v>
      </c>
      <c r="E155" s="51">
        <v>8</v>
      </c>
      <c r="F155" s="4"/>
      <c r="G155" s="6" t="s">
        <v>54</v>
      </c>
      <c r="H155" s="51">
        <v>8</v>
      </c>
      <c r="I155" s="22"/>
      <c r="J155" s="6" t="s">
        <v>872</v>
      </c>
      <c r="K155" s="51">
        <v>8</v>
      </c>
      <c r="L155" s="22"/>
      <c r="M155" s="91" t="s">
        <v>886</v>
      </c>
      <c r="N155" s="51">
        <v>9.5</v>
      </c>
      <c r="O155" s="22"/>
      <c r="V155"/>
      <c r="W155"/>
      <c r="X155"/>
      <c r="Y155"/>
      <c r="Z155"/>
    </row>
    <row r="156" spans="1:26" ht="16.05" customHeight="1">
      <c r="A156" s="6" t="s">
        <v>822</v>
      </c>
      <c r="B156" s="51">
        <v>10</v>
      </c>
      <c r="C156" s="22"/>
      <c r="D156" s="6" t="s">
        <v>838</v>
      </c>
      <c r="E156" s="51">
        <v>9</v>
      </c>
      <c r="F156" s="4"/>
      <c r="G156" s="6" t="s">
        <v>855</v>
      </c>
      <c r="H156" s="51">
        <v>8</v>
      </c>
      <c r="I156" s="22"/>
      <c r="J156" s="6" t="s">
        <v>873</v>
      </c>
      <c r="K156" s="51">
        <v>7.5</v>
      </c>
      <c r="L156" s="22"/>
      <c r="M156" s="91" t="s">
        <v>887</v>
      </c>
      <c r="N156" s="51">
        <v>8.5</v>
      </c>
      <c r="O156" s="22"/>
      <c r="V156"/>
      <c r="W156"/>
      <c r="X156"/>
      <c r="Y156"/>
      <c r="Z156"/>
    </row>
    <row r="157" spans="1:26" ht="16.05" customHeight="1">
      <c r="A157" s="6" t="s">
        <v>823</v>
      </c>
      <c r="B157" s="51">
        <v>6</v>
      </c>
      <c r="C157" s="22"/>
      <c r="D157" s="6" t="s">
        <v>839</v>
      </c>
      <c r="E157" s="51">
        <v>8</v>
      </c>
      <c r="F157" s="4"/>
      <c r="G157" s="6" t="s">
        <v>856</v>
      </c>
      <c r="H157" s="51">
        <v>9</v>
      </c>
      <c r="I157" s="22"/>
      <c r="J157" s="6" t="s">
        <v>874</v>
      </c>
      <c r="K157" s="51">
        <v>7</v>
      </c>
      <c r="L157" s="22"/>
      <c r="M157" s="91" t="s">
        <v>922</v>
      </c>
      <c r="N157" s="51">
        <v>10.5</v>
      </c>
      <c r="O157" s="22"/>
      <c r="V157"/>
      <c r="W157"/>
      <c r="X157"/>
      <c r="Y157"/>
      <c r="Z157"/>
    </row>
    <row r="158" spans="1:26" ht="16.05" customHeight="1" thickBot="1">
      <c r="A158" s="6" t="s">
        <v>824</v>
      </c>
      <c r="B158" s="51">
        <v>7</v>
      </c>
      <c r="C158" s="22"/>
      <c r="D158" s="9" t="s">
        <v>840</v>
      </c>
      <c r="E158" s="52"/>
      <c r="F158" s="4"/>
      <c r="G158" s="6" t="s">
        <v>857</v>
      </c>
      <c r="H158" s="51">
        <v>9</v>
      </c>
      <c r="I158" s="22"/>
      <c r="J158" s="6" t="s">
        <v>875</v>
      </c>
      <c r="K158" s="51">
        <v>10.5</v>
      </c>
      <c r="L158" s="22"/>
      <c r="M158" s="91" t="s">
        <v>888</v>
      </c>
      <c r="N158" s="51">
        <v>8</v>
      </c>
      <c r="O158" s="22"/>
      <c r="V158"/>
      <c r="W158"/>
      <c r="X158"/>
      <c r="Y158"/>
      <c r="Z158"/>
    </row>
    <row r="159" spans="1:26" ht="16.05" customHeight="1" thickBot="1">
      <c r="A159" s="6" t="s">
        <v>825</v>
      </c>
      <c r="B159" s="51">
        <v>10</v>
      </c>
      <c r="C159" s="4"/>
      <c r="D159" s="21"/>
      <c r="E159" s="21"/>
      <c r="F159" s="4"/>
      <c r="G159" s="6" t="s">
        <v>858</v>
      </c>
      <c r="H159" s="51">
        <v>8.5</v>
      </c>
      <c r="I159" s="22"/>
      <c r="J159" s="6" t="s">
        <v>876</v>
      </c>
      <c r="K159" s="51"/>
      <c r="L159" s="22"/>
      <c r="M159" s="92" t="s">
        <v>889</v>
      </c>
      <c r="N159" s="52">
        <v>7.5</v>
      </c>
      <c r="O159" s="22"/>
      <c r="V159"/>
      <c r="W159"/>
      <c r="X159"/>
      <c r="Y159"/>
      <c r="Z159"/>
    </row>
    <row r="160" spans="1:26" ht="16.05" customHeight="1" thickBot="1">
      <c r="A160" s="9" t="s">
        <v>826</v>
      </c>
      <c r="B160" s="52">
        <v>8.5</v>
      </c>
      <c r="C160" s="22"/>
      <c r="D160" s="130" t="s">
        <v>924</v>
      </c>
      <c r="E160" s="14">
        <f>ROUND(SUM(E161:E169)/COUNT(E161:E169), 2)</f>
        <v>9.06</v>
      </c>
      <c r="F160" s="4"/>
      <c r="G160" s="6" t="s">
        <v>859</v>
      </c>
      <c r="H160" s="51">
        <v>8</v>
      </c>
      <c r="I160" s="22"/>
      <c r="J160" s="6" t="s">
        <v>877</v>
      </c>
      <c r="K160" s="51">
        <v>8.5</v>
      </c>
      <c r="L160" s="4"/>
      <c r="M160" s="21"/>
      <c r="N160" s="21"/>
      <c r="O160" s="22"/>
      <c r="V160"/>
      <c r="W160"/>
      <c r="X160"/>
      <c r="Y160"/>
      <c r="Z160"/>
    </row>
    <row r="161" spans="1:26" ht="16.05" customHeight="1" thickBot="1">
      <c r="A161" s="21"/>
      <c r="B161" s="21"/>
      <c r="C161" s="4"/>
      <c r="D161" s="13" t="s">
        <v>925</v>
      </c>
      <c r="E161" s="50">
        <v>10</v>
      </c>
      <c r="F161" s="4"/>
      <c r="G161" s="6" t="s">
        <v>860</v>
      </c>
      <c r="H161" s="51">
        <v>8.5</v>
      </c>
      <c r="I161" s="22"/>
      <c r="J161" s="6" t="s">
        <v>878</v>
      </c>
      <c r="K161" s="51">
        <v>8</v>
      </c>
      <c r="L161" s="22"/>
      <c r="M161" s="131" t="s">
        <v>937</v>
      </c>
      <c r="N161" s="14">
        <f>ROUND(SUM(N162:N180)/COUNT(N162:N180), 2)</f>
        <v>8.5500000000000007</v>
      </c>
      <c r="O161" s="22"/>
      <c r="V161"/>
      <c r="W161"/>
      <c r="X161"/>
      <c r="Y161"/>
      <c r="Z161"/>
    </row>
    <row r="162" spans="1:26" ht="16.05" customHeight="1" thickBot="1">
      <c r="A162" s="132" t="s">
        <v>959</v>
      </c>
      <c r="B162" s="14">
        <f>ROUND(SUM(B163:B170)/COUNT(B163:B170), 2)</f>
        <v>7.88</v>
      </c>
      <c r="C162" s="4"/>
      <c r="D162" s="6" t="s">
        <v>926</v>
      </c>
      <c r="E162" s="51">
        <v>10</v>
      </c>
      <c r="F162" s="4"/>
      <c r="G162" s="6" t="s">
        <v>861</v>
      </c>
      <c r="H162" s="51">
        <v>8</v>
      </c>
      <c r="I162" s="22"/>
      <c r="J162" s="6" t="s">
        <v>879</v>
      </c>
      <c r="K162" s="51">
        <v>7.5</v>
      </c>
      <c r="L162" s="4"/>
      <c r="M162" s="96" t="s">
        <v>938</v>
      </c>
      <c r="N162" s="50">
        <v>10</v>
      </c>
      <c r="O162" s="22"/>
      <c r="V162"/>
      <c r="W162"/>
      <c r="X162"/>
      <c r="Y162"/>
      <c r="Z162"/>
    </row>
    <row r="163" spans="1:26" ht="16.05" customHeight="1" thickBot="1">
      <c r="A163" s="13" t="s">
        <v>960</v>
      </c>
      <c r="B163" s="50">
        <v>9</v>
      </c>
      <c r="C163" s="4"/>
      <c r="D163" s="6" t="s">
        <v>927</v>
      </c>
      <c r="E163" s="51">
        <v>8.5</v>
      </c>
      <c r="F163" s="4"/>
      <c r="G163" s="9" t="s">
        <v>862</v>
      </c>
      <c r="H163" s="52">
        <v>9</v>
      </c>
      <c r="I163" s="22"/>
      <c r="J163" s="9" t="s">
        <v>880</v>
      </c>
      <c r="K163" s="52">
        <v>9</v>
      </c>
      <c r="L163" s="4"/>
      <c r="M163" s="91" t="s">
        <v>939</v>
      </c>
      <c r="N163" s="51">
        <v>9</v>
      </c>
      <c r="O163" s="22"/>
      <c r="V163"/>
      <c r="W163"/>
      <c r="X163"/>
      <c r="Y163"/>
      <c r="Z163"/>
    </row>
    <row r="164" spans="1:26" ht="16.05" customHeight="1" thickBot="1">
      <c r="A164" s="6" t="s">
        <v>961</v>
      </c>
      <c r="B164" s="51">
        <v>7</v>
      </c>
      <c r="C164" s="4"/>
      <c r="D164" s="6" t="s">
        <v>928</v>
      </c>
      <c r="E164" s="51">
        <v>8.5</v>
      </c>
      <c r="F164" s="4"/>
      <c r="G164" s="21"/>
      <c r="H164" s="21"/>
      <c r="I164" s="4"/>
      <c r="J164" s="21"/>
      <c r="K164" s="21"/>
      <c r="L164" s="4"/>
      <c r="M164" s="91" t="s">
        <v>940</v>
      </c>
      <c r="N164" s="51">
        <v>9</v>
      </c>
      <c r="O164" s="22"/>
      <c r="V164"/>
      <c r="W164"/>
      <c r="X164"/>
      <c r="Y164"/>
      <c r="Z164"/>
    </row>
    <row r="165" spans="1:26" ht="16.05" customHeight="1" thickBot="1">
      <c r="A165" s="6" t="s">
        <v>962</v>
      </c>
      <c r="B165" s="51">
        <v>7.5</v>
      </c>
      <c r="C165" s="4"/>
      <c r="D165" s="6" t="s">
        <v>929</v>
      </c>
      <c r="E165" s="51"/>
      <c r="F165" s="22"/>
      <c r="G165" s="133" t="s">
        <v>971</v>
      </c>
      <c r="H165" s="14">
        <f>ROUND(SUM(H166:H175)/COUNT(H166:H175), 2)</f>
        <v>8.67</v>
      </c>
      <c r="I165" s="22"/>
      <c r="J165" s="134" t="s">
        <v>984</v>
      </c>
      <c r="K165" s="14">
        <f>ROUND(SUM(K166:K173)/COUNT(K166:K173), 2)</f>
        <v>8.8800000000000008</v>
      </c>
      <c r="L165" s="4"/>
      <c r="M165" s="91" t="s">
        <v>941</v>
      </c>
      <c r="N165" s="51">
        <v>10</v>
      </c>
      <c r="O165" s="22"/>
      <c r="V165"/>
      <c r="W165"/>
      <c r="X165"/>
      <c r="Y165"/>
      <c r="Z165"/>
    </row>
    <row r="166" spans="1:26" ht="16.05" customHeight="1">
      <c r="A166" s="6" t="s">
        <v>963</v>
      </c>
      <c r="B166" s="51">
        <v>6.5</v>
      </c>
      <c r="C166" s="4"/>
      <c r="D166" s="6" t="s">
        <v>930</v>
      </c>
      <c r="E166" s="51">
        <v>10.5</v>
      </c>
      <c r="F166" s="4"/>
      <c r="G166" s="13" t="s">
        <v>972</v>
      </c>
      <c r="H166" s="50"/>
      <c r="I166" s="22"/>
      <c r="J166" s="13" t="s">
        <v>985</v>
      </c>
      <c r="K166" s="50">
        <v>10.5</v>
      </c>
      <c r="L166" s="4"/>
      <c r="M166" s="91" t="s">
        <v>942</v>
      </c>
      <c r="N166" s="51">
        <v>8.5</v>
      </c>
      <c r="O166" s="22"/>
      <c r="V166"/>
      <c r="W166"/>
      <c r="X166"/>
      <c r="Y166"/>
      <c r="Z166"/>
    </row>
    <row r="167" spans="1:26" ht="16.05" customHeight="1">
      <c r="A167" s="6" t="s">
        <v>964</v>
      </c>
      <c r="B167" s="51">
        <v>9</v>
      </c>
      <c r="C167" s="4"/>
      <c r="D167" s="6" t="s">
        <v>931</v>
      </c>
      <c r="E167" s="51">
        <v>8</v>
      </c>
      <c r="F167" s="4"/>
      <c r="G167" s="6" t="s">
        <v>973</v>
      </c>
      <c r="H167" s="51">
        <v>10</v>
      </c>
      <c r="I167" s="22"/>
      <c r="J167" s="6" t="s">
        <v>986</v>
      </c>
      <c r="K167" s="51">
        <v>9.5</v>
      </c>
      <c r="L167" s="4"/>
      <c r="M167" s="91" t="s">
        <v>943</v>
      </c>
      <c r="N167" s="51">
        <v>9.5</v>
      </c>
      <c r="O167" s="22"/>
      <c r="V167"/>
      <c r="W167"/>
      <c r="X167"/>
      <c r="Y167"/>
      <c r="Z167"/>
    </row>
    <row r="168" spans="1:26" ht="16.05" customHeight="1">
      <c r="A168" s="6" t="s">
        <v>965</v>
      </c>
      <c r="B168" s="51">
        <v>8.5</v>
      </c>
      <c r="C168" s="4"/>
      <c r="D168" s="6" t="s">
        <v>932</v>
      </c>
      <c r="E168" s="51">
        <v>8</v>
      </c>
      <c r="F168" s="4"/>
      <c r="G168" s="6" t="s">
        <v>974</v>
      </c>
      <c r="H168" s="51">
        <v>8.5</v>
      </c>
      <c r="I168" s="22"/>
      <c r="J168" s="6" t="s">
        <v>987</v>
      </c>
      <c r="K168" s="51">
        <v>8.5</v>
      </c>
      <c r="L168" s="4"/>
      <c r="M168" s="91" t="s">
        <v>944</v>
      </c>
      <c r="N168" s="51">
        <v>8</v>
      </c>
      <c r="O168" s="22"/>
      <c r="V168"/>
      <c r="W168"/>
      <c r="X168"/>
      <c r="Y168"/>
      <c r="Z168"/>
    </row>
    <row r="169" spans="1:26" ht="16.05" customHeight="1" thickBot="1">
      <c r="A169" s="6" t="s">
        <v>966</v>
      </c>
      <c r="B169" s="51">
        <v>7.5</v>
      </c>
      <c r="C169" s="4"/>
      <c r="D169" s="9" t="s">
        <v>933</v>
      </c>
      <c r="E169" s="52">
        <v>9</v>
      </c>
      <c r="F169" s="4"/>
      <c r="G169" s="91" t="s">
        <v>975</v>
      </c>
      <c r="H169" s="51">
        <v>8.5</v>
      </c>
      <c r="I169" s="22"/>
      <c r="J169" s="6" t="s">
        <v>988</v>
      </c>
      <c r="K169" s="51">
        <v>8</v>
      </c>
      <c r="L169" s="4"/>
      <c r="M169" s="91" t="s">
        <v>945</v>
      </c>
      <c r="N169" s="51">
        <v>9</v>
      </c>
      <c r="O169" s="22"/>
      <c r="V169"/>
      <c r="W169"/>
      <c r="X169"/>
      <c r="Y169"/>
      <c r="Z169"/>
    </row>
    <row r="170" spans="1:26" ht="16.05" customHeight="1" thickBot="1">
      <c r="A170" s="9" t="s">
        <v>967</v>
      </c>
      <c r="B170" s="52">
        <v>8</v>
      </c>
      <c r="C170" s="4"/>
      <c r="D170" s="21"/>
      <c r="E170" s="21"/>
      <c r="F170" s="4"/>
      <c r="G170" s="91" t="s">
        <v>976</v>
      </c>
      <c r="H170" s="51">
        <v>9.5</v>
      </c>
      <c r="I170" s="22"/>
      <c r="J170" s="6" t="s">
        <v>989</v>
      </c>
      <c r="K170" s="51">
        <v>8.5</v>
      </c>
      <c r="L170" s="4"/>
      <c r="M170" s="91" t="s">
        <v>946</v>
      </c>
      <c r="N170" s="51">
        <v>8</v>
      </c>
      <c r="O170" s="22"/>
      <c r="V170"/>
      <c r="W170"/>
      <c r="X170"/>
      <c r="Y170"/>
      <c r="Z170"/>
    </row>
    <row r="171" spans="1:26" ht="16.05" customHeight="1" thickBot="1">
      <c r="A171" s="21"/>
      <c r="B171" s="21"/>
      <c r="C171" s="22"/>
      <c r="D171" s="135" t="s">
        <v>994</v>
      </c>
      <c r="E171" s="14">
        <f>ROUND(SUM(E172:E183)/COUNT(E172:E183), 2)</f>
        <v>7.5</v>
      </c>
      <c r="F171" s="4"/>
      <c r="G171" s="91" t="s">
        <v>977</v>
      </c>
      <c r="H171" s="51">
        <v>8</v>
      </c>
      <c r="I171" s="22"/>
      <c r="J171" s="6" t="s">
        <v>990</v>
      </c>
      <c r="K171" s="51">
        <v>7.5</v>
      </c>
      <c r="L171" s="4"/>
      <c r="M171" s="91" t="s">
        <v>947</v>
      </c>
      <c r="N171" s="51">
        <v>8</v>
      </c>
      <c r="O171" s="22"/>
      <c r="V171"/>
      <c r="W171"/>
      <c r="X171"/>
      <c r="Y171"/>
      <c r="Z171"/>
    </row>
    <row r="172" spans="1:26" ht="16.05" customHeight="1" thickBot="1">
      <c r="A172" s="137" t="s">
        <v>1008</v>
      </c>
      <c r="B172" s="14">
        <f>ROUND(SUM(B173:B183)/COUNT(B173:B183), 2)</f>
        <v>8.73</v>
      </c>
      <c r="C172" s="22"/>
      <c r="D172" s="136" t="s">
        <v>995</v>
      </c>
      <c r="E172" s="50">
        <v>8</v>
      </c>
      <c r="F172" s="4"/>
      <c r="G172" s="91" t="s">
        <v>978</v>
      </c>
      <c r="H172" s="51">
        <v>8.5</v>
      </c>
      <c r="I172" s="22"/>
      <c r="J172" s="6" t="s">
        <v>991</v>
      </c>
      <c r="K172" s="51">
        <v>9</v>
      </c>
      <c r="L172" s="4"/>
      <c r="M172" s="91" t="s">
        <v>948</v>
      </c>
      <c r="N172" s="51">
        <v>7.5</v>
      </c>
      <c r="O172" s="22"/>
      <c r="V172"/>
      <c r="W172"/>
      <c r="X172"/>
      <c r="Y172"/>
      <c r="Z172"/>
    </row>
    <row r="173" spans="1:26" ht="16.05" customHeight="1" thickBot="1">
      <c r="A173" s="13" t="s">
        <v>1009</v>
      </c>
      <c r="B173" s="50">
        <v>9</v>
      </c>
      <c r="C173" s="4"/>
      <c r="D173" s="6" t="s">
        <v>996</v>
      </c>
      <c r="E173" s="51">
        <v>9</v>
      </c>
      <c r="F173" s="4"/>
      <c r="G173" s="91" t="s">
        <v>979</v>
      </c>
      <c r="H173" s="51">
        <v>9</v>
      </c>
      <c r="I173" s="22"/>
      <c r="J173" s="9" t="s">
        <v>992</v>
      </c>
      <c r="K173" s="52">
        <v>9.5</v>
      </c>
      <c r="L173" s="4"/>
      <c r="M173" s="91" t="s">
        <v>949</v>
      </c>
      <c r="N173" s="51">
        <v>8.5</v>
      </c>
      <c r="O173" s="22"/>
      <c r="V173"/>
      <c r="W173"/>
      <c r="X173"/>
      <c r="Y173"/>
      <c r="Z173"/>
    </row>
    <row r="174" spans="1:26" ht="16.05" customHeight="1" thickBot="1">
      <c r="A174" s="6" t="s">
        <v>1010</v>
      </c>
      <c r="B174" s="51">
        <v>10</v>
      </c>
      <c r="C174" s="4"/>
      <c r="D174" s="6" t="s">
        <v>997</v>
      </c>
      <c r="E174" s="51">
        <v>7.5</v>
      </c>
      <c r="F174" s="4"/>
      <c r="G174" s="91" t="s">
        <v>980</v>
      </c>
      <c r="H174" s="51">
        <v>8.5</v>
      </c>
      <c r="I174" s="4"/>
      <c r="J174" s="19"/>
      <c r="K174" s="19"/>
      <c r="L174" s="4"/>
      <c r="M174" s="91" t="s">
        <v>950</v>
      </c>
      <c r="N174" s="51">
        <v>8.5</v>
      </c>
      <c r="O174" s="22"/>
      <c r="V174"/>
      <c r="W174"/>
      <c r="X174"/>
      <c r="Y174"/>
      <c r="Z174"/>
    </row>
    <row r="175" spans="1:26" ht="16.05" customHeight="1" thickBot="1">
      <c r="A175" s="6" t="s">
        <v>1011</v>
      </c>
      <c r="B175" s="51">
        <v>9</v>
      </c>
      <c r="C175" s="4"/>
      <c r="D175" s="6" t="s">
        <v>998</v>
      </c>
      <c r="E175" s="51">
        <v>8.5</v>
      </c>
      <c r="F175" s="4"/>
      <c r="G175" s="92" t="s">
        <v>981</v>
      </c>
      <c r="H175" s="52">
        <v>7.5</v>
      </c>
      <c r="I175" s="22"/>
      <c r="J175" s="159" t="s">
        <v>1031</v>
      </c>
      <c r="K175" s="14">
        <f>ROUND(SUM(K176:K180)/COUNT(K176:K180), 2)</f>
        <v>9.3000000000000007</v>
      </c>
      <c r="L175" s="4"/>
      <c r="M175" s="91" t="s">
        <v>951</v>
      </c>
      <c r="N175" s="51">
        <v>9</v>
      </c>
      <c r="O175" s="22"/>
      <c r="V175"/>
      <c r="W175"/>
      <c r="X175"/>
      <c r="Y175"/>
      <c r="Z175"/>
    </row>
    <row r="176" spans="1:26" ht="16.05" customHeight="1" thickBot="1">
      <c r="A176" s="6" t="s">
        <v>1012</v>
      </c>
      <c r="B176" s="51">
        <v>9.5</v>
      </c>
      <c r="C176" s="4"/>
      <c r="D176" s="6" t="s">
        <v>999</v>
      </c>
      <c r="E176" s="51">
        <v>7.5</v>
      </c>
      <c r="F176" s="4"/>
      <c r="G176" s="21"/>
      <c r="H176" s="21"/>
      <c r="I176" s="4"/>
      <c r="J176" s="13" t="s">
        <v>1032</v>
      </c>
      <c r="K176" s="50">
        <v>9</v>
      </c>
      <c r="L176" s="4"/>
      <c r="M176" s="91" t="s">
        <v>952</v>
      </c>
      <c r="N176" s="51">
        <v>7.5</v>
      </c>
      <c r="O176" s="22"/>
      <c r="V176"/>
      <c r="W176"/>
      <c r="X176"/>
      <c r="Y176"/>
      <c r="Z176"/>
    </row>
    <row r="177" spans="1:26" ht="16.05" customHeight="1" thickBot="1">
      <c r="A177" s="6" t="s">
        <v>1013</v>
      </c>
      <c r="B177" s="51">
        <v>10.5</v>
      </c>
      <c r="C177" s="4"/>
      <c r="D177" s="6" t="s">
        <v>1000</v>
      </c>
      <c r="E177" s="51">
        <v>7.5</v>
      </c>
      <c r="F177" s="22"/>
      <c r="G177" s="183" t="s">
        <v>1304</v>
      </c>
      <c r="H177" s="14">
        <f>ROUND(SUM(H178:H189)/COUNT(H178:H189), 2)</f>
        <v>8.5500000000000007</v>
      </c>
      <c r="I177" s="4"/>
      <c r="J177" s="6" t="s">
        <v>1033</v>
      </c>
      <c r="K177" s="51">
        <v>10</v>
      </c>
      <c r="L177" s="4"/>
      <c r="M177" s="91" t="s">
        <v>953</v>
      </c>
      <c r="N177" s="51">
        <v>7</v>
      </c>
      <c r="O177" s="22"/>
      <c r="V177"/>
      <c r="W177"/>
      <c r="X177"/>
      <c r="Y177"/>
      <c r="Z177"/>
    </row>
    <row r="178" spans="1:26" ht="16.05" customHeight="1">
      <c r="A178" s="6" t="s">
        <v>1014</v>
      </c>
      <c r="B178" s="51">
        <v>8</v>
      </c>
      <c r="C178" s="4"/>
      <c r="D178" s="6" t="s">
        <v>1001</v>
      </c>
      <c r="E178" s="51">
        <v>6.5</v>
      </c>
      <c r="F178" s="4"/>
      <c r="G178" s="96" t="s">
        <v>1037</v>
      </c>
      <c r="H178" s="50"/>
      <c r="I178" s="4"/>
      <c r="J178" s="6" t="s">
        <v>1034</v>
      </c>
      <c r="K178" s="51">
        <v>9</v>
      </c>
      <c r="L178" s="4"/>
      <c r="M178" s="91" t="s">
        <v>954</v>
      </c>
      <c r="N178" s="51">
        <v>7.5</v>
      </c>
      <c r="O178" s="22"/>
      <c r="V178"/>
      <c r="W178"/>
      <c r="X178"/>
      <c r="Y178"/>
      <c r="Z178"/>
    </row>
    <row r="179" spans="1:26" ht="16.05" customHeight="1">
      <c r="A179" s="6" t="s">
        <v>1015</v>
      </c>
      <c r="B179" s="51">
        <v>7.5</v>
      </c>
      <c r="C179" s="4"/>
      <c r="D179" s="6" t="s">
        <v>1002</v>
      </c>
      <c r="E179" s="51">
        <v>7.5</v>
      </c>
      <c r="F179" s="4"/>
      <c r="G179" s="91" t="s">
        <v>1038</v>
      </c>
      <c r="H179" s="51">
        <v>8.5</v>
      </c>
      <c r="I179" s="4"/>
      <c r="J179" s="6" t="s">
        <v>1035</v>
      </c>
      <c r="K179" s="51">
        <v>8</v>
      </c>
      <c r="L179" s="4"/>
      <c r="M179" s="91" t="s">
        <v>955</v>
      </c>
      <c r="N179" s="51">
        <v>7.5</v>
      </c>
      <c r="O179" s="22"/>
      <c r="V179"/>
      <c r="W179"/>
      <c r="X179"/>
      <c r="Y179"/>
      <c r="Z179"/>
    </row>
    <row r="180" spans="1:26" ht="16.05" customHeight="1" thickBot="1">
      <c r="A180" s="6" t="s">
        <v>1016</v>
      </c>
      <c r="B180" s="51">
        <v>9</v>
      </c>
      <c r="C180" s="4"/>
      <c r="D180" s="6" t="s">
        <v>1003</v>
      </c>
      <c r="E180" s="51">
        <v>7</v>
      </c>
      <c r="F180" s="4"/>
      <c r="G180" s="91" t="s">
        <v>1039</v>
      </c>
      <c r="H180" s="51">
        <v>9</v>
      </c>
      <c r="I180" s="4"/>
      <c r="J180" s="9" t="s">
        <v>1036</v>
      </c>
      <c r="K180" s="52">
        <v>10.5</v>
      </c>
      <c r="L180" s="4"/>
      <c r="M180" s="92" t="s">
        <v>956</v>
      </c>
      <c r="N180" s="52">
        <v>10.5</v>
      </c>
      <c r="O180" s="22"/>
      <c r="V180"/>
      <c r="W180"/>
      <c r="X180"/>
      <c r="Y180"/>
      <c r="Z180"/>
    </row>
    <row r="181" spans="1:26" ht="16.05" customHeight="1" thickBot="1">
      <c r="A181" s="6" t="s">
        <v>1017</v>
      </c>
      <c r="B181" s="51">
        <v>8</v>
      </c>
      <c r="C181" s="4"/>
      <c r="D181" s="6" t="s">
        <v>1004</v>
      </c>
      <c r="E181" s="51">
        <v>6.5</v>
      </c>
      <c r="F181" s="4"/>
      <c r="G181" s="91" t="s">
        <v>1040</v>
      </c>
      <c r="H181" s="51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.05" customHeight="1" thickBot="1">
      <c r="A182" s="6" t="s">
        <v>1018</v>
      </c>
      <c r="B182" s="51">
        <v>8</v>
      </c>
      <c r="C182" s="4"/>
      <c r="D182" s="6" t="s">
        <v>1005</v>
      </c>
      <c r="E182" s="51">
        <v>6.5</v>
      </c>
      <c r="F182" s="4"/>
      <c r="G182" s="91" t="s">
        <v>1041</v>
      </c>
      <c r="H182" s="51">
        <v>8.5</v>
      </c>
      <c r="I182" s="22"/>
      <c r="J182" s="160" t="s">
        <v>1056</v>
      </c>
      <c r="K182" s="14">
        <f>ROUND(SUM(K183:K187)/COUNT(K183:K187), 2)</f>
        <v>10</v>
      </c>
      <c r="L182" s="4"/>
      <c r="M182" s="140" t="s">
        <v>1021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1019</v>
      </c>
      <c r="B183" s="52">
        <v>7.5</v>
      </c>
      <c r="C183" s="4"/>
      <c r="D183" s="9" t="s">
        <v>1006</v>
      </c>
      <c r="E183" s="52">
        <v>8</v>
      </c>
      <c r="F183" s="4"/>
      <c r="G183" s="91" t="s">
        <v>1042</v>
      </c>
      <c r="H183" s="51">
        <v>8</v>
      </c>
      <c r="I183" s="22"/>
      <c r="J183" s="13" t="s">
        <v>1051</v>
      </c>
      <c r="K183" s="50">
        <v>10.5</v>
      </c>
      <c r="L183" s="4"/>
      <c r="M183" s="138" t="s">
        <v>1020</v>
      </c>
      <c r="N183" s="139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21"/>
      <c r="E184" s="21"/>
      <c r="F184" s="4"/>
      <c r="G184" s="91" t="s">
        <v>1043</v>
      </c>
      <c r="H184" s="51">
        <v>7.5</v>
      </c>
      <c r="I184" s="22"/>
      <c r="J184" s="6" t="s">
        <v>1052</v>
      </c>
      <c r="K184" s="51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65" t="s">
        <v>1168</v>
      </c>
      <c r="B185" s="14">
        <f>ROUND(SUM(B186:B194)/COUNT(B186:B194), 2)</f>
        <v>9</v>
      </c>
      <c r="C185" s="22"/>
      <c r="D185" s="168" t="s">
        <v>1182</v>
      </c>
      <c r="E185" s="14">
        <f>ROUND(SUM(E186:E198)/COUNT(E186:E198), 2)</f>
        <v>8.4600000000000009</v>
      </c>
      <c r="F185" s="4"/>
      <c r="G185" s="91" t="s">
        <v>1044</v>
      </c>
      <c r="H185" s="51">
        <v>8</v>
      </c>
      <c r="I185" s="22"/>
      <c r="J185" s="6" t="s">
        <v>1053</v>
      </c>
      <c r="K185" s="51">
        <v>10</v>
      </c>
      <c r="L185" s="22"/>
      <c r="M185" s="209" t="s">
        <v>1594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>
      <c r="A186" s="13" t="s">
        <v>1169</v>
      </c>
      <c r="B186" s="50">
        <v>9.5</v>
      </c>
      <c r="C186" s="4"/>
      <c r="D186" s="13" t="s">
        <v>1183</v>
      </c>
      <c r="E186" s="50">
        <v>9</v>
      </c>
      <c r="F186" s="4"/>
      <c r="G186" s="91" t="s">
        <v>1045</v>
      </c>
      <c r="H186" s="51">
        <v>9.5</v>
      </c>
      <c r="I186" s="22"/>
      <c r="J186" s="6" t="s">
        <v>1054</v>
      </c>
      <c r="K186" s="51">
        <v>10.5</v>
      </c>
      <c r="L186" s="4"/>
      <c r="M186" s="96" t="s">
        <v>1200</v>
      </c>
      <c r="N186" s="50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1170</v>
      </c>
      <c r="B187" s="51">
        <v>9</v>
      </c>
      <c r="C187" s="4"/>
      <c r="D187" s="6" t="s">
        <v>1184</v>
      </c>
      <c r="E187" s="51">
        <v>8</v>
      </c>
      <c r="F187" s="4"/>
      <c r="G187" s="91" t="s">
        <v>1046</v>
      </c>
      <c r="H187" s="51">
        <v>10</v>
      </c>
      <c r="I187" s="22"/>
      <c r="J187" s="9" t="s">
        <v>1055</v>
      </c>
      <c r="K187" s="52">
        <v>10</v>
      </c>
      <c r="L187" s="4"/>
      <c r="M187" s="91" t="s">
        <v>1201</v>
      </c>
      <c r="N187" s="51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1171</v>
      </c>
      <c r="B188" s="51">
        <v>10</v>
      </c>
      <c r="C188" s="4"/>
      <c r="D188" s="6" t="s">
        <v>1185</v>
      </c>
      <c r="E188" s="51">
        <v>10</v>
      </c>
      <c r="F188" s="4"/>
      <c r="G188" s="91" t="s">
        <v>1047</v>
      </c>
      <c r="H188" s="51">
        <v>8.5</v>
      </c>
      <c r="I188" s="4"/>
      <c r="J188" s="21"/>
      <c r="K188" s="21"/>
      <c r="L188" s="4"/>
      <c r="M188" s="91" t="s">
        <v>1202</v>
      </c>
      <c r="N188" s="51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1172</v>
      </c>
      <c r="B189" s="51">
        <v>10.5</v>
      </c>
      <c r="C189" s="4"/>
      <c r="D189" s="6" t="s">
        <v>1186</v>
      </c>
      <c r="E189" s="51">
        <v>7.5</v>
      </c>
      <c r="F189" s="4"/>
      <c r="G189" s="92" t="s">
        <v>1048</v>
      </c>
      <c r="H189" s="52">
        <v>8.5</v>
      </c>
      <c r="I189" s="22"/>
      <c r="J189" s="173" t="s">
        <v>1232</v>
      </c>
      <c r="K189" s="14">
        <f>ROUND(SUM(K190:K197)/COUNT(K190:K197), 2)</f>
        <v>7.71</v>
      </c>
      <c r="L189" s="4"/>
      <c r="M189" s="91" t="s">
        <v>1203</v>
      </c>
      <c r="N189" s="51"/>
      <c r="O189" s="22"/>
      <c r="V189"/>
      <c r="W189"/>
      <c r="X189"/>
      <c r="Y189"/>
      <c r="Z189"/>
    </row>
    <row r="190" spans="1:26" ht="16.05" customHeight="1" thickBot="1">
      <c r="A190" s="6" t="s">
        <v>1173</v>
      </c>
      <c r="B190" s="51">
        <v>8</v>
      </c>
      <c r="C190" s="4"/>
      <c r="D190" s="6" t="s">
        <v>1187</v>
      </c>
      <c r="E190" s="51">
        <v>7</v>
      </c>
      <c r="F190" s="4"/>
      <c r="G190" s="21"/>
      <c r="H190" s="21"/>
      <c r="I190" s="4"/>
      <c r="J190" s="13" t="s">
        <v>1233</v>
      </c>
      <c r="K190" s="50"/>
      <c r="L190" s="4"/>
      <c r="M190" s="91" t="s">
        <v>1204</v>
      </c>
      <c r="N190" s="51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1174</v>
      </c>
      <c r="B191" s="51">
        <v>8.5</v>
      </c>
      <c r="C191" s="4"/>
      <c r="D191" s="6" t="s">
        <v>1188</v>
      </c>
      <c r="E191" s="51">
        <v>9.5</v>
      </c>
      <c r="F191" s="22"/>
      <c r="G191" s="178" t="s">
        <v>1245</v>
      </c>
      <c r="H191" s="14">
        <f>ROUND(SUM(H192:H200)/COUNT(H192:H200), 2)</f>
        <v>8.83</v>
      </c>
      <c r="I191" s="4"/>
      <c r="J191" s="6" t="s">
        <v>1234</v>
      </c>
      <c r="K191" s="51">
        <v>7</v>
      </c>
      <c r="L191" s="4"/>
      <c r="M191" s="91" t="s">
        <v>1205</v>
      </c>
      <c r="N191" s="51">
        <v>10</v>
      </c>
      <c r="O191" s="22"/>
      <c r="V191"/>
      <c r="W191"/>
      <c r="X191"/>
      <c r="Y191"/>
      <c r="Z191"/>
    </row>
    <row r="192" spans="1:26" ht="16.05" customHeight="1">
      <c r="A192" s="6" t="s">
        <v>1175</v>
      </c>
      <c r="B192" s="51">
        <v>8</v>
      </c>
      <c r="C192" s="4"/>
      <c r="D192" s="6" t="s">
        <v>1189</v>
      </c>
      <c r="E192" s="51">
        <v>8</v>
      </c>
      <c r="F192" s="4"/>
      <c r="G192" s="96" t="s">
        <v>1246</v>
      </c>
      <c r="H192" s="50">
        <v>9</v>
      </c>
      <c r="I192" s="4"/>
      <c r="J192" s="6" t="s">
        <v>1235</v>
      </c>
      <c r="K192" s="51">
        <v>7.5</v>
      </c>
      <c r="L192" s="4"/>
      <c r="M192" s="91" t="s">
        <v>1206</v>
      </c>
      <c r="N192" s="51">
        <v>9</v>
      </c>
      <c r="O192" s="22"/>
      <c r="V192"/>
      <c r="W192"/>
      <c r="X192"/>
      <c r="Y192"/>
      <c r="Z192"/>
    </row>
    <row r="193" spans="1:26" ht="16.05" customHeight="1">
      <c r="A193" s="6" t="s">
        <v>1176</v>
      </c>
      <c r="B193" s="51">
        <v>9.5</v>
      </c>
      <c r="C193" s="4"/>
      <c r="D193" s="6" t="s">
        <v>1190</v>
      </c>
      <c r="E193" s="51">
        <v>7.5</v>
      </c>
      <c r="F193" s="4"/>
      <c r="G193" s="91" t="s">
        <v>1247</v>
      </c>
      <c r="H193" s="51">
        <v>8.5</v>
      </c>
      <c r="I193" s="4"/>
      <c r="J193" s="6" t="s">
        <v>1236</v>
      </c>
      <c r="K193" s="51">
        <v>8</v>
      </c>
      <c r="L193" s="4"/>
      <c r="M193" s="91" t="s">
        <v>1207</v>
      </c>
      <c r="N193" s="51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1177</v>
      </c>
      <c r="B194" s="52">
        <v>8</v>
      </c>
      <c r="C194" s="4"/>
      <c r="D194" s="6" t="s">
        <v>1191</v>
      </c>
      <c r="E194" s="51">
        <v>10</v>
      </c>
      <c r="F194" s="4"/>
      <c r="G194" s="91" t="s">
        <v>1248</v>
      </c>
      <c r="H194" s="51">
        <v>8.5</v>
      </c>
      <c r="I194" s="4"/>
      <c r="J194" s="6" t="s">
        <v>1237</v>
      </c>
      <c r="K194" s="51">
        <v>7.5</v>
      </c>
      <c r="L194" s="4"/>
      <c r="M194" s="91" t="s">
        <v>1208</v>
      </c>
      <c r="N194" s="51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1192</v>
      </c>
      <c r="E195" s="51">
        <v>8</v>
      </c>
      <c r="F195" s="4"/>
      <c r="G195" s="91" t="s">
        <v>1249</v>
      </c>
      <c r="H195" s="51">
        <v>10</v>
      </c>
      <c r="I195" s="4"/>
      <c r="J195" s="6" t="s">
        <v>1238</v>
      </c>
      <c r="K195" s="51">
        <v>8.5</v>
      </c>
      <c r="L195" s="4"/>
      <c r="M195" s="91" t="s">
        <v>1209</v>
      </c>
      <c r="N195" s="51">
        <v>8</v>
      </c>
      <c r="O195" s="22"/>
      <c r="V195"/>
      <c r="W195"/>
      <c r="X195"/>
      <c r="Y195"/>
      <c r="Z195"/>
    </row>
    <row r="196" spans="1:26" ht="16.05" customHeight="1" thickBot="1">
      <c r="A196" s="184" t="s">
        <v>1270</v>
      </c>
      <c r="B196" s="14">
        <f>ROUND(SUM(B197:B211)/COUNT(B197:B211), 2)</f>
        <v>8.57</v>
      </c>
      <c r="C196" s="4"/>
      <c r="D196" s="6" t="s">
        <v>1193</v>
      </c>
      <c r="E196" s="51">
        <v>7</v>
      </c>
      <c r="F196" s="4"/>
      <c r="G196" s="91" t="s">
        <v>1250</v>
      </c>
      <c r="H196" s="51">
        <v>8</v>
      </c>
      <c r="I196" s="4"/>
      <c r="J196" s="6" t="s">
        <v>1239</v>
      </c>
      <c r="K196" s="51">
        <v>8</v>
      </c>
      <c r="L196" s="4"/>
      <c r="M196" s="91" t="s">
        <v>1210</v>
      </c>
      <c r="N196" s="51">
        <v>10.5</v>
      </c>
      <c r="O196" s="22"/>
      <c r="V196"/>
      <c r="W196"/>
      <c r="X196"/>
      <c r="Y196"/>
      <c r="Z196"/>
    </row>
    <row r="197" spans="1:26" ht="16.05" customHeight="1" thickBot="1">
      <c r="A197" s="176">
        <v>360</v>
      </c>
      <c r="B197" s="50">
        <v>10</v>
      </c>
      <c r="C197" s="4"/>
      <c r="D197" s="6" t="s">
        <v>1194</v>
      </c>
      <c r="E197" s="51"/>
      <c r="F197" s="4"/>
      <c r="G197" s="91" t="s">
        <v>1251</v>
      </c>
      <c r="H197" s="51">
        <v>10.5</v>
      </c>
      <c r="I197" s="4"/>
      <c r="J197" s="9" t="s">
        <v>1240</v>
      </c>
      <c r="K197" s="52">
        <v>7.5</v>
      </c>
      <c r="L197" s="4"/>
      <c r="M197" s="91" t="s">
        <v>1211</v>
      </c>
      <c r="N197" s="51">
        <v>8.5</v>
      </c>
      <c r="O197" s="22"/>
      <c r="V197"/>
      <c r="W197"/>
      <c r="X197"/>
      <c r="Y197"/>
      <c r="Z197"/>
    </row>
    <row r="198" spans="1:26" ht="16.05" customHeight="1" thickBot="1">
      <c r="A198" s="91" t="s">
        <v>1257</v>
      </c>
      <c r="B198" s="51">
        <v>8.5</v>
      </c>
      <c r="C198" s="4"/>
      <c r="D198" s="9" t="s">
        <v>1195</v>
      </c>
      <c r="E198" s="52">
        <v>10</v>
      </c>
      <c r="F198" s="4"/>
      <c r="G198" s="91" t="s">
        <v>1252</v>
      </c>
      <c r="H198" s="51">
        <v>8</v>
      </c>
      <c r="I198" s="4"/>
      <c r="J198" s="21"/>
      <c r="K198" s="21"/>
      <c r="L198" s="4"/>
      <c r="M198" s="91" t="s">
        <v>1212</v>
      </c>
      <c r="N198" s="51">
        <v>9</v>
      </c>
      <c r="O198" s="22"/>
      <c r="V198"/>
      <c r="W198"/>
      <c r="X198"/>
      <c r="Y198"/>
      <c r="Z198"/>
    </row>
    <row r="199" spans="1:26" ht="16.05" customHeight="1" thickBot="1">
      <c r="A199" s="91" t="s">
        <v>1258</v>
      </c>
      <c r="B199" s="51">
        <v>8.5</v>
      </c>
      <c r="C199" s="4"/>
      <c r="D199" s="21"/>
      <c r="E199" s="21"/>
      <c r="F199" s="4"/>
      <c r="G199" s="91" t="s">
        <v>1253</v>
      </c>
      <c r="H199" s="51">
        <v>8.5</v>
      </c>
      <c r="I199" s="22"/>
      <c r="J199" s="179" t="s">
        <v>1277</v>
      </c>
      <c r="K199" s="14">
        <f>ROUND(SUM(K200:K206)/COUNT(K200:K206), 2)</f>
        <v>8.75</v>
      </c>
      <c r="L199" s="4"/>
      <c r="M199" s="91" t="s">
        <v>1213</v>
      </c>
      <c r="N199" s="51">
        <v>8</v>
      </c>
      <c r="O199" s="22"/>
      <c r="V199"/>
      <c r="W199"/>
      <c r="X199"/>
      <c r="Y199"/>
      <c r="Z199"/>
    </row>
    <row r="200" spans="1:26" ht="16.05" customHeight="1" thickBot="1">
      <c r="A200" s="91" t="s">
        <v>1259</v>
      </c>
      <c r="B200" s="51">
        <v>7.5</v>
      </c>
      <c r="C200" s="22"/>
      <c r="D200" s="182" t="s">
        <v>1303</v>
      </c>
      <c r="E200" s="14">
        <f>ROUND(SUM(E201:E210)/COUNT(E201:E210), 2)</f>
        <v>9.36</v>
      </c>
      <c r="F200" s="4"/>
      <c r="G200" s="92" t="s">
        <v>1254</v>
      </c>
      <c r="H200" s="52">
        <v>8.5</v>
      </c>
      <c r="I200" s="4"/>
      <c r="J200" s="13" t="s">
        <v>1278</v>
      </c>
      <c r="K200" s="50">
        <v>10</v>
      </c>
      <c r="L200" s="4"/>
      <c r="M200" s="91" t="s">
        <v>1214</v>
      </c>
      <c r="N200" s="51">
        <v>9</v>
      </c>
      <c r="O200" s="22"/>
      <c r="V200"/>
      <c r="W200"/>
      <c r="X200"/>
      <c r="Y200"/>
      <c r="Z200"/>
    </row>
    <row r="201" spans="1:26" ht="16.05" customHeight="1" thickBot="1">
      <c r="A201" s="91" t="s">
        <v>1260</v>
      </c>
      <c r="B201" s="51">
        <v>8</v>
      </c>
      <c r="C201" s="22"/>
      <c r="D201" s="13" t="s">
        <v>1293</v>
      </c>
      <c r="E201" s="50">
        <v>9</v>
      </c>
      <c r="F201" s="4"/>
      <c r="G201" s="21"/>
      <c r="H201" s="21"/>
      <c r="I201" s="4"/>
      <c r="J201" s="6" t="s">
        <v>1279</v>
      </c>
      <c r="K201" s="51">
        <v>8</v>
      </c>
      <c r="L201" s="4"/>
      <c r="M201" s="91" t="s">
        <v>1215</v>
      </c>
      <c r="N201" s="51">
        <v>6</v>
      </c>
      <c r="O201" s="22"/>
      <c r="V201"/>
      <c r="W201"/>
      <c r="X201"/>
      <c r="Y201"/>
      <c r="Z201"/>
    </row>
    <row r="202" spans="1:26" ht="16.05" customHeight="1" thickBot="1">
      <c r="A202" s="91" t="s">
        <v>1261</v>
      </c>
      <c r="B202" s="51">
        <v>10</v>
      </c>
      <c r="C202" s="22"/>
      <c r="D202" s="6" t="s">
        <v>1294</v>
      </c>
      <c r="E202" s="51">
        <v>10.5</v>
      </c>
      <c r="F202" s="22"/>
      <c r="G202" s="185" t="s">
        <v>1308</v>
      </c>
      <c r="H202" s="14">
        <f>ROUND(SUM(H203:H213)/COUNT(H203:H213), 2)</f>
        <v>8.4499999999999993</v>
      </c>
      <c r="I202" s="4"/>
      <c r="J202" s="6" t="s">
        <v>1280</v>
      </c>
      <c r="K202" s="51">
        <v>9.5</v>
      </c>
      <c r="L202" s="4"/>
      <c r="M202" s="91" t="s">
        <v>1216</v>
      </c>
      <c r="N202" s="51">
        <v>7</v>
      </c>
      <c r="O202" s="22"/>
      <c r="V202"/>
      <c r="W202"/>
      <c r="X202"/>
      <c r="Y202"/>
      <c r="Z202"/>
    </row>
    <row r="203" spans="1:26" ht="16.05" customHeight="1">
      <c r="A203" s="91" t="s">
        <v>1262</v>
      </c>
      <c r="B203" s="51">
        <v>8</v>
      </c>
      <c r="C203" s="22"/>
      <c r="D203" s="6" t="s">
        <v>1295</v>
      </c>
      <c r="E203" s="51"/>
      <c r="F203" s="4"/>
      <c r="G203" s="96" t="s">
        <v>1309</v>
      </c>
      <c r="H203" s="50">
        <v>8.5</v>
      </c>
      <c r="I203" s="4"/>
      <c r="J203" s="6" t="s">
        <v>1281</v>
      </c>
      <c r="K203" s="51">
        <v>8</v>
      </c>
      <c r="L203" s="4"/>
      <c r="M203" s="91" t="s">
        <v>1217</v>
      </c>
      <c r="N203" s="51">
        <v>10</v>
      </c>
      <c r="O203" s="22"/>
      <c r="V203"/>
      <c r="W203"/>
      <c r="X203"/>
      <c r="Y203"/>
      <c r="Z203"/>
    </row>
    <row r="204" spans="1:26" ht="16.05" customHeight="1">
      <c r="A204" s="91" t="s">
        <v>1263</v>
      </c>
      <c r="B204" s="51">
        <v>8.5</v>
      </c>
      <c r="C204" s="22"/>
      <c r="D204" s="6" t="s">
        <v>1296</v>
      </c>
      <c r="E204" s="51">
        <v>10</v>
      </c>
      <c r="F204" s="4"/>
      <c r="G204" s="91" t="s">
        <v>1310</v>
      </c>
      <c r="H204" s="51">
        <v>8.5</v>
      </c>
      <c r="I204" s="4"/>
      <c r="J204" s="6" t="s">
        <v>1282</v>
      </c>
      <c r="K204" s="51">
        <v>9</v>
      </c>
      <c r="L204" s="4"/>
      <c r="M204" s="91" t="s">
        <v>1218</v>
      </c>
      <c r="N204" s="51">
        <v>9</v>
      </c>
      <c r="O204" s="22"/>
      <c r="V204"/>
      <c r="W204"/>
      <c r="X204"/>
      <c r="Y204"/>
      <c r="Z204"/>
    </row>
    <row r="205" spans="1:26" ht="16.05" customHeight="1">
      <c r="A205" s="91" t="s">
        <v>1264</v>
      </c>
      <c r="B205" s="51">
        <v>7.5</v>
      </c>
      <c r="C205" s="22"/>
      <c r="D205" s="6" t="s">
        <v>1297</v>
      </c>
      <c r="E205" s="51"/>
      <c r="F205" s="4"/>
      <c r="G205" s="91" t="s">
        <v>1311</v>
      </c>
      <c r="H205" s="51">
        <v>9</v>
      </c>
      <c r="I205" s="4"/>
      <c r="J205" s="6" t="s">
        <v>1283</v>
      </c>
      <c r="K205" s="51"/>
      <c r="L205" s="4"/>
      <c r="M205" s="91" t="s">
        <v>1219</v>
      </c>
      <c r="N205" s="51">
        <v>8.5</v>
      </c>
      <c r="O205" s="22"/>
      <c r="V205"/>
      <c r="W205"/>
      <c r="X205"/>
      <c r="Y205"/>
      <c r="Z205"/>
    </row>
    <row r="206" spans="1:26" ht="16.05" customHeight="1" thickBot="1">
      <c r="A206" s="91" t="s">
        <v>1265</v>
      </c>
      <c r="B206" s="51">
        <v>8.5</v>
      </c>
      <c r="C206" s="22"/>
      <c r="D206" s="6" t="s">
        <v>1298</v>
      </c>
      <c r="E206" s="51">
        <v>10</v>
      </c>
      <c r="F206" s="4"/>
      <c r="G206" s="91" t="s">
        <v>1312</v>
      </c>
      <c r="H206" s="51">
        <v>10</v>
      </c>
      <c r="I206" s="4"/>
      <c r="J206" s="9" t="s">
        <v>1284</v>
      </c>
      <c r="K206" s="52">
        <v>8</v>
      </c>
      <c r="L206" s="4"/>
      <c r="M206" s="91" t="s">
        <v>1220</v>
      </c>
      <c r="N206" s="51">
        <v>8.5</v>
      </c>
      <c r="O206" s="22"/>
      <c r="V206"/>
      <c r="W206"/>
      <c r="X206"/>
      <c r="Y206"/>
      <c r="Z206"/>
    </row>
    <row r="207" spans="1:26" ht="16.05" customHeight="1" thickBot="1">
      <c r="A207" s="91" t="s">
        <v>1266</v>
      </c>
      <c r="B207" s="51">
        <v>10.5</v>
      </c>
      <c r="C207" s="22"/>
      <c r="D207" s="6" t="s">
        <v>1299</v>
      </c>
      <c r="E207" s="51">
        <v>7.5</v>
      </c>
      <c r="F207" s="4"/>
      <c r="G207" s="91" t="s">
        <v>1313</v>
      </c>
      <c r="H207" s="51">
        <v>9</v>
      </c>
      <c r="I207" s="4"/>
      <c r="J207" s="21"/>
      <c r="K207" s="21"/>
      <c r="L207" s="4"/>
      <c r="M207" s="91" t="s">
        <v>1221</v>
      </c>
      <c r="N207" s="51">
        <v>8.5</v>
      </c>
      <c r="O207" s="22"/>
      <c r="V207"/>
      <c r="W207"/>
      <c r="X207"/>
      <c r="Y207"/>
      <c r="Z207"/>
    </row>
    <row r="208" spans="1:26" ht="16.05" customHeight="1" thickBot="1">
      <c r="A208" s="91" t="s">
        <v>1267</v>
      </c>
      <c r="B208" s="51">
        <v>9</v>
      </c>
      <c r="C208" s="22"/>
      <c r="D208" s="6" t="s">
        <v>1300</v>
      </c>
      <c r="E208" s="51">
        <v>8</v>
      </c>
      <c r="F208" s="4"/>
      <c r="G208" s="91" t="s">
        <v>1314</v>
      </c>
      <c r="H208" s="51">
        <v>8.5</v>
      </c>
      <c r="I208" s="22"/>
      <c r="J208" s="193" t="s">
        <v>1398</v>
      </c>
      <c r="K208" s="14">
        <f>ROUND(SUM(K209:K217)/COUNT(K209:K217), 2)</f>
        <v>8.67</v>
      </c>
      <c r="L208" s="4"/>
      <c r="M208" s="91" t="s">
        <v>1222</v>
      </c>
      <c r="N208" s="51">
        <v>8</v>
      </c>
      <c r="O208" s="22"/>
      <c r="V208"/>
      <c r="W208"/>
      <c r="X208"/>
      <c r="Y208"/>
      <c r="Z208"/>
    </row>
    <row r="209" spans="1:26" ht="16.05" customHeight="1" thickBot="1">
      <c r="A209" s="91" t="s">
        <v>1268</v>
      </c>
      <c r="B209" s="51">
        <v>8.5</v>
      </c>
      <c r="C209" s="22"/>
      <c r="D209" s="6" t="s">
        <v>1301</v>
      </c>
      <c r="E209" s="51">
        <v>10.5</v>
      </c>
      <c r="F209" s="4"/>
      <c r="G209" s="91" t="s">
        <v>1315</v>
      </c>
      <c r="H209" s="51">
        <v>9</v>
      </c>
      <c r="I209" s="4"/>
      <c r="J209" s="13" t="s">
        <v>1322</v>
      </c>
      <c r="K209" s="50">
        <v>9</v>
      </c>
      <c r="L209" s="4"/>
      <c r="M209" s="92" t="s">
        <v>1223</v>
      </c>
      <c r="N209" s="52">
        <v>8.5</v>
      </c>
      <c r="O209" s="22"/>
      <c r="V209"/>
      <c r="W209"/>
      <c r="X209"/>
      <c r="Y209"/>
      <c r="Z209"/>
    </row>
    <row r="210" spans="1:26" ht="16.05" customHeight="1" thickBot="1">
      <c r="A210" s="91" t="s">
        <v>1269</v>
      </c>
      <c r="B210" s="51">
        <v>6.5</v>
      </c>
      <c r="C210" s="22"/>
      <c r="D210" s="9" t="s">
        <v>1302</v>
      </c>
      <c r="E210" s="52"/>
      <c r="F210" s="4"/>
      <c r="G210" s="91" t="s">
        <v>1316</v>
      </c>
      <c r="H210" s="51">
        <v>8</v>
      </c>
      <c r="I210" s="4"/>
      <c r="J210" s="6" t="s">
        <v>1323</v>
      </c>
      <c r="K210" s="51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177">
        <v>365</v>
      </c>
      <c r="B211" s="52">
        <v>9</v>
      </c>
      <c r="C211" s="4"/>
      <c r="D211" s="21"/>
      <c r="E211" s="21"/>
      <c r="F211" s="4"/>
      <c r="G211" s="91" t="s">
        <v>1317</v>
      </c>
      <c r="H211" s="51">
        <v>7.5</v>
      </c>
      <c r="I211" s="4"/>
      <c r="J211" s="6" t="s">
        <v>1324</v>
      </c>
      <c r="K211" s="51">
        <v>10.5</v>
      </c>
      <c r="L211" s="22"/>
      <c r="M211" s="188" t="s">
        <v>1356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190" t="s">
        <v>1360</v>
      </c>
      <c r="E212" s="14">
        <f>ROUND(SUM(E213:E226)/COUNT(E213:E226), 2)</f>
        <v>8.77</v>
      </c>
      <c r="F212" s="4"/>
      <c r="G212" s="91" t="s">
        <v>1318</v>
      </c>
      <c r="H212" s="51">
        <v>8</v>
      </c>
      <c r="I212" s="4"/>
      <c r="J212" s="6" t="s">
        <v>1325</v>
      </c>
      <c r="K212" s="51">
        <v>7.5</v>
      </c>
      <c r="L212" s="4"/>
      <c r="M212" s="96" t="s">
        <v>1341</v>
      </c>
      <c r="N212" s="50">
        <v>8</v>
      </c>
      <c r="O212" s="22"/>
      <c r="V212"/>
      <c r="W212"/>
      <c r="X212"/>
      <c r="Y212"/>
      <c r="Z212"/>
    </row>
    <row r="213" spans="1:26" ht="16.05" customHeight="1" thickBot="1">
      <c r="A213" s="191" t="s">
        <v>1375</v>
      </c>
      <c r="B213" s="14">
        <f>ROUND(SUM(B214:B224)/COUNT(B214:B224), 2)</f>
        <v>8.86</v>
      </c>
      <c r="C213" s="4"/>
      <c r="D213" s="13" t="s">
        <v>1361</v>
      </c>
      <c r="E213" s="50">
        <v>9</v>
      </c>
      <c r="F213" s="4"/>
      <c r="G213" s="92" t="s">
        <v>1319</v>
      </c>
      <c r="H213" s="52">
        <v>7</v>
      </c>
      <c r="I213" s="4"/>
      <c r="J213" s="6" t="s">
        <v>1326</v>
      </c>
      <c r="K213" s="51">
        <v>9</v>
      </c>
      <c r="L213" s="4"/>
      <c r="M213" s="91" t="s">
        <v>1342</v>
      </c>
      <c r="N213" s="51">
        <v>7.5</v>
      </c>
      <c r="O213" s="22"/>
      <c r="V213"/>
      <c r="W213"/>
      <c r="X213"/>
      <c r="Y213"/>
      <c r="Z213"/>
    </row>
    <row r="214" spans="1:26" ht="16.05" customHeight="1" thickBot="1">
      <c r="A214" s="96" t="s">
        <v>1376</v>
      </c>
      <c r="B214" s="50">
        <v>8.5</v>
      </c>
      <c r="C214" s="4"/>
      <c r="D214" s="6" t="s">
        <v>1362</v>
      </c>
      <c r="E214" s="51">
        <v>10</v>
      </c>
      <c r="F214" s="4"/>
      <c r="G214" s="21"/>
      <c r="H214" s="21"/>
      <c r="I214" s="4"/>
      <c r="J214" s="6" t="s">
        <v>1327</v>
      </c>
      <c r="K214" s="51">
        <v>7</v>
      </c>
      <c r="L214" s="4"/>
      <c r="M214" s="91" t="s">
        <v>1343</v>
      </c>
      <c r="N214" s="51">
        <v>9</v>
      </c>
      <c r="O214" s="22"/>
      <c r="V214"/>
      <c r="W214"/>
      <c r="X214"/>
      <c r="Y214"/>
      <c r="Z214"/>
    </row>
    <row r="215" spans="1:26" ht="16.05" customHeight="1" thickBot="1">
      <c r="A215" s="91" t="s">
        <v>1377</v>
      </c>
      <c r="B215" s="51">
        <v>10</v>
      </c>
      <c r="C215" s="4"/>
      <c r="D215" s="6" t="s">
        <v>1363</v>
      </c>
      <c r="E215" s="51">
        <v>9.5</v>
      </c>
      <c r="F215" s="22"/>
      <c r="G215" s="200" t="s">
        <v>1399</v>
      </c>
      <c r="H215" s="14">
        <f>ROUND(SUM(H216:H227)/COUNT(H216:H227), 2)</f>
        <v>8.4600000000000009</v>
      </c>
      <c r="I215" s="4"/>
      <c r="J215" s="6" t="s">
        <v>1328</v>
      </c>
      <c r="K215" s="51">
        <v>8</v>
      </c>
      <c r="L215" s="4"/>
      <c r="M215" s="91" t="s">
        <v>1344</v>
      </c>
      <c r="N215" s="51"/>
      <c r="O215" s="22"/>
      <c r="V215"/>
      <c r="W215"/>
      <c r="X215"/>
      <c r="Y215"/>
      <c r="Z215"/>
    </row>
    <row r="216" spans="1:26" ht="16.05" customHeight="1">
      <c r="A216" s="91" t="s">
        <v>1378</v>
      </c>
      <c r="B216" s="51">
        <v>9.5</v>
      </c>
      <c r="C216" s="4"/>
      <c r="D216" s="6" t="s">
        <v>1364</v>
      </c>
      <c r="E216" s="51">
        <v>10</v>
      </c>
      <c r="F216" s="4"/>
      <c r="G216" s="96" t="s">
        <v>1400</v>
      </c>
      <c r="H216" s="50">
        <v>10</v>
      </c>
      <c r="I216" s="4"/>
      <c r="J216" s="6" t="s">
        <v>1329</v>
      </c>
      <c r="K216" s="51">
        <v>9</v>
      </c>
      <c r="L216" s="4"/>
      <c r="M216" s="91" t="s">
        <v>1345</v>
      </c>
      <c r="N216" s="51">
        <v>9</v>
      </c>
      <c r="O216" s="22"/>
      <c r="V216"/>
      <c r="W216"/>
      <c r="X216"/>
      <c r="Y216"/>
      <c r="Z216"/>
    </row>
    <row r="217" spans="1:26" ht="16.05" customHeight="1" thickBot="1">
      <c r="A217" s="91" t="s">
        <v>1379</v>
      </c>
      <c r="B217" s="51">
        <v>9</v>
      </c>
      <c r="C217" s="4"/>
      <c r="D217" s="6" t="s">
        <v>1365</v>
      </c>
      <c r="E217" s="51">
        <v>8.5</v>
      </c>
      <c r="F217" s="4"/>
      <c r="G217" s="91" t="s">
        <v>1401</v>
      </c>
      <c r="H217" s="51">
        <v>9</v>
      </c>
      <c r="I217" s="4"/>
      <c r="J217" s="9" t="s">
        <v>1330</v>
      </c>
      <c r="K217" s="52">
        <v>10</v>
      </c>
      <c r="L217" s="4"/>
      <c r="M217" s="91" t="s">
        <v>1346</v>
      </c>
      <c r="N217" s="51">
        <v>7.5</v>
      </c>
      <c r="O217" s="22"/>
      <c r="V217"/>
      <c r="W217"/>
      <c r="X217"/>
      <c r="Y217"/>
      <c r="Z217"/>
    </row>
    <row r="218" spans="1:26" ht="16.05" customHeight="1" thickBot="1">
      <c r="A218" s="91" t="s">
        <v>1380</v>
      </c>
      <c r="B218" s="51">
        <v>9</v>
      </c>
      <c r="C218" s="4"/>
      <c r="D218" s="6" t="s">
        <v>1366</v>
      </c>
      <c r="E218" s="51"/>
      <c r="F218" s="4"/>
      <c r="G218" s="91" t="s">
        <v>1402</v>
      </c>
      <c r="H218" s="51">
        <v>8.5</v>
      </c>
      <c r="I218" s="4"/>
      <c r="J218" s="21"/>
      <c r="K218" s="21"/>
      <c r="L218" s="4"/>
      <c r="M218" s="91" t="s">
        <v>1347</v>
      </c>
      <c r="N218" s="51">
        <v>9</v>
      </c>
      <c r="O218" s="22"/>
      <c r="V218"/>
      <c r="W218"/>
      <c r="X218"/>
      <c r="Y218"/>
      <c r="Z218"/>
    </row>
    <row r="219" spans="1:26" ht="16.05" customHeight="1" thickBot="1">
      <c r="A219" s="91" t="s">
        <v>1381</v>
      </c>
      <c r="B219" s="51">
        <v>8.5</v>
      </c>
      <c r="C219" s="4"/>
      <c r="D219" s="6" t="s">
        <v>1367</v>
      </c>
      <c r="E219" s="51">
        <v>8</v>
      </c>
      <c r="F219" s="4"/>
      <c r="G219" s="91" t="s">
        <v>1403</v>
      </c>
      <c r="H219" s="51">
        <v>10.5</v>
      </c>
      <c r="I219" s="22"/>
      <c r="J219" s="195" t="s">
        <v>1414</v>
      </c>
      <c r="K219" s="14">
        <f>ROUND(SUM(K220:K235)/COUNT(K220:K235), 2)</f>
        <v>8.82</v>
      </c>
      <c r="L219" s="4"/>
      <c r="M219" s="91" t="s">
        <v>1348</v>
      </c>
      <c r="N219" s="51">
        <v>9</v>
      </c>
      <c r="O219" s="22"/>
      <c r="V219"/>
      <c r="W219"/>
      <c r="X219"/>
      <c r="Y219"/>
      <c r="Z219"/>
    </row>
    <row r="220" spans="1:26" ht="16.05" customHeight="1">
      <c r="A220" s="91" t="s">
        <v>1382</v>
      </c>
      <c r="B220" s="51">
        <v>8</v>
      </c>
      <c r="C220" s="4"/>
      <c r="D220" s="6" t="s">
        <v>1368</v>
      </c>
      <c r="E220" s="51">
        <v>9.5</v>
      </c>
      <c r="F220" s="4"/>
      <c r="G220" s="91" t="s">
        <v>1404</v>
      </c>
      <c r="H220" s="51">
        <v>8.5</v>
      </c>
      <c r="I220" s="4"/>
      <c r="J220" s="13" t="s">
        <v>1415</v>
      </c>
      <c r="K220" s="50">
        <v>10</v>
      </c>
      <c r="L220" s="4"/>
      <c r="M220" s="91" t="s">
        <v>1349</v>
      </c>
      <c r="N220" s="51">
        <v>7.5</v>
      </c>
      <c r="O220" s="22"/>
      <c r="V220"/>
      <c r="W220"/>
      <c r="X220"/>
      <c r="Y220"/>
      <c r="Z220"/>
    </row>
    <row r="221" spans="1:26" ht="16.05" customHeight="1">
      <c r="A221" s="91" t="s">
        <v>1383</v>
      </c>
      <c r="B221" s="51">
        <v>9</v>
      </c>
      <c r="C221" s="4"/>
      <c r="D221" s="6" t="s">
        <v>1369</v>
      </c>
      <c r="E221" s="51">
        <v>8</v>
      </c>
      <c r="F221" s="4"/>
      <c r="G221" s="91" t="s">
        <v>1405</v>
      </c>
      <c r="H221" s="51">
        <v>9</v>
      </c>
      <c r="I221" s="4"/>
      <c r="J221" s="6" t="s">
        <v>1416</v>
      </c>
      <c r="K221" s="51"/>
      <c r="L221" s="4"/>
      <c r="M221" s="91" t="s">
        <v>1350</v>
      </c>
      <c r="N221" s="51">
        <v>8</v>
      </c>
      <c r="O221" s="22"/>
      <c r="V221"/>
      <c r="W221"/>
      <c r="X221"/>
      <c r="Y221"/>
      <c r="Z221"/>
    </row>
    <row r="222" spans="1:26" ht="16.05" customHeight="1">
      <c r="A222" s="91" t="s">
        <v>1384</v>
      </c>
      <c r="B222" s="51">
        <v>8.5</v>
      </c>
      <c r="C222" s="4"/>
      <c r="D222" s="6" t="s">
        <v>1370</v>
      </c>
      <c r="E222" s="51">
        <v>8</v>
      </c>
      <c r="F222" s="4"/>
      <c r="G222" s="91" t="s">
        <v>1406</v>
      </c>
      <c r="H222" s="51">
        <v>7.5</v>
      </c>
      <c r="I222" s="4"/>
      <c r="J222" s="6" t="s">
        <v>1417</v>
      </c>
      <c r="K222" s="51">
        <v>10.5</v>
      </c>
      <c r="L222" s="4"/>
      <c r="M222" s="91" t="s">
        <v>1351</v>
      </c>
      <c r="N222" s="51">
        <v>9</v>
      </c>
      <c r="O222" s="22"/>
      <c r="V222"/>
      <c r="W222"/>
      <c r="X222"/>
      <c r="Y222"/>
      <c r="Z222"/>
    </row>
    <row r="223" spans="1:26" ht="16.05" customHeight="1">
      <c r="A223" s="91" t="s">
        <v>1385</v>
      </c>
      <c r="B223" s="51">
        <v>9</v>
      </c>
      <c r="C223" s="4"/>
      <c r="D223" s="6" t="s">
        <v>1371</v>
      </c>
      <c r="E223" s="51">
        <v>8</v>
      </c>
      <c r="F223" s="4"/>
      <c r="G223" s="91" t="s">
        <v>1407</v>
      </c>
      <c r="H223" s="51">
        <v>10.5</v>
      </c>
      <c r="I223" s="4"/>
      <c r="J223" s="6" t="s">
        <v>1418</v>
      </c>
      <c r="K223" s="51">
        <v>8.5</v>
      </c>
      <c r="L223" s="4"/>
      <c r="M223" s="91" t="s">
        <v>1352</v>
      </c>
      <c r="N223" s="51">
        <v>8</v>
      </c>
      <c r="O223" s="22"/>
      <c r="V223"/>
      <c r="W223"/>
      <c r="X223"/>
      <c r="Y223"/>
      <c r="Z223"/>
    </row>
    <row r="224" spans="1:26" ht="16.05" customHeight="1" thickBot="1">
      <c r="A224" s="92" t="s">
        <v>1386</v>
      </c>
      <c r="B224" s="52">
        <v>8.5</v>
      </c>
      <c r="C224" s="4"/>
      <c r="D224" s="6" t="s">
        <v>1372</v>
      </c>
      <c r="E224" s="51">
        <v>8</v>
      </c>
      <c r="F224" s="4"/>
      <c r="G224" s="91" t="s">
        <v>1408</v>
      </c>
      <c r="H224" s="51">
        <v>7</v>
      </c>
      <c r="I224" s="4"/>
      <c r="J224" s="6" t="s">
        <v>1419</v>
      </c>
      <c r="K224" s="51">
        <v>9</v>
      </c>
      <c r="L224" s="4"/>
      <c r="M224" s="91" t="s">
        <v>1353</v>
      </c>
      <c r="N224" s="51">
        <v>7</v>
      </c>
      <c r="O224" s="22"/>
      <c r="V224"/>
      <c r="W224"/>
      <c r="X224"/>
      <c r="Y224"/>
      <c r="Z224"/>
    </row>
    <row r="225" spans="1:26" ht="16.05" customHeight="1" thickBot="1">
      <c r="A225" s="85"/>
      <c r="B225" s="19"/>
      <c r="C225" s="22"/>
      <c r="D225" s="5" t="s">
        <v>1373</v>
      </c>
      <c r="E225" s="51">
        <v>8.5</v>
      </c>
      <c r="F225" s="4"/>
      <c r="G225" s="91" t="s">
        <v>1409</v>
      </c>
      <c r="H225" s="51">
        <v>7.5</v>
      </c>
      <c r="I225" s="4"/>
      <c r="J225" s="6" t="s">
        <v>1420</v>
      </c>
      <c r="K225" s="51">
        <v>8</v>
      </c>
      <c r="L225" s="4"/>
      <c r="M225" s="91" t="s">
        <v>1354</v>
      </c>
      <c r="N225" s="51">
        <v>7.5</v>
      </c>
      <c r="O225" s="22"/>
      <c r="V225"/>
      <c r="W225"/>
      <c r="X225"/>
      <c r="Y225"/>
      <c r="Z225"/>
    </row>
    <row r="226" spans="1:26" ht="16.05" customHeight="1" thickBot="1">
      <c r="A226" s="201" t="s">
        <v>1436</v>
      </c>
      <c r="B226" s="14">
        <f>ROUND(SUM(B227:B233)/COUNT(B227:B233), 2)</f>
        <v>8.86</v>
      </c>
      <c r="C226" s="4"/>
      <c r="D226" s="9" t="s">
        <v>1374</v>
      </c>
      <c r="E226" s="52">
        <v>9</v>
      </c>
      <c r="F226" s="4"/>
      <c r="G226" s="91" t="s">
        <v>1410</v>
      </c>
      <c r="H226" s="51">
        <v>6.5</v>
      </c>
      <c r="I226" s="4"/>
      <c r="J226" s="6" t="s">
        <v>1421</v>
      </c>
      <c r="K226" s="51">
        <v>9.5</v>
      </c>
      <c r="L226" s="4"/>
      <c r="M226" s="92" t="s">
        <v>1355</v>
      </c>
      <c r="N226" s="52">
        <v>7.5</v>
      </c>
      <c r="O226" s="22"/>
      <c r="V226"/>
      <c r="W226"/>
      <c r="X226"/>
      <c r="Y226"/>
      <c r="Z226"/>
    </row>
    <row r="227" spans="1:26" ht="16.05" customHeight="1" thickBot="1">
      <c r="A227" s="96" t="s">
        <v>1437</v>
      </c>
      <c r="B227" s="50">
        <v>10</v>
      </c>
      <c r="C227" s="4"/>
      <c r="D227" s="21"/>
      <c r="E227" s="21"/>
      <c r="F227" s="4"/>
      <c r="G227" s="92" t="s">
        <v>1411</v>
      </c>
      <c r="H227" s="52">
        <v>7</v>
      </c>
      <c r="I227" s="4"/>
      <c r="J227" s="6" t="s">
        <v>1422</v>
      </c>
      <c r="K227" s="51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91" t="s">
        <v>1438</v>
      </c>
      <c r="B228" s="51">
        <v>9.5</v>
      </c>
      <c r="C228" s="22"/>
      <c r="D228" s="196" t="s">
        <v>1447</v>
      </c>
      <c r="E228" s="14">
        <f>ROUND(SUM(E229:E234)/COUNT(E229:E234), 2)</f>
        <v>8.83</v>
      </c>
      <c r="F228" s="4"/>
      <c r="G228" s="21"/>
      <c r="H228" s="21"/>
      <c r="I228" s="4"/>
      <c r="J228" s="6" t="s">
        <v>1423</v>
      </c>
      <c r="K228" s="51">
        <v>8</v>
      </c>
      <c r="L228" s="22"/>
      <c r="M228" s="199" t="s">
        <v>1474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91" t="s">
        <v>1439</v>
      </c>
      <c r="B229" s="51">
        <v>9</v>
      </c>
      <c r="C229" s="4"/>
      <c r="D229" s="13" t="s">
        <v>1448</v>
      </c>
      <c r="E229" s="50">
        <v>8.5</v>
      </c>
      <c r="F229" s="22"/>
      <c r="G229" s="198" t="s">
        <v>1475</v>
      </c>
      <c r="H229" s="14">
        <f>ROUND(SUM(H230:H244)/COUNT(H230:H244), 2)</f>
        <v>8.8800000000000008</v>
      </c>
      <c r="I229" s="4"/>
      <c r="J229" s="6" t="s">
        <v>1424</v>
      </c>
      <c r="K229" s="51">
        <v>8</v>
      </c>
      <c r="L229" s="4"/>
      <c r="M229" s="96" t="s">
        <v>1462</v>
      </c>
      <c r="N229" s="50">
        <v>8</v>
      </c>
      <c r="O229" s="22"/>
      <c r="V229"/>
      <c r="W229"/>
      <c r="X229"/>
      <c r="Y229"/>
      <c r="Z229"/>
    </row>
    <row r="230" spans="1:26" ht="16.05" customHeight="1">
      <c r="A230" s="91" t="s">
        <v>1440</v>
      </c>
      <c r="B230" s="51">
        <v>8</v>
      </c>
      <c r="C230" s="4"/>
      <c r="D230" s="6" t="s">
        <v>1449</v>
      </c>
      <c r="E230" s="51">
        <v>8.5</v>
      </c>
      <c r="F230" s="4"/>
      <c r="G230" s="96" t="s">
        <v>1476</v>
      </c>
      <c r="H230" s="50"/>
      <c r="I230" s="4"/>
      <c r="J230" s="6" t="s">
        <v>1425</v>
      </c>
      <c r="K230" s="51">
        <v>10</v>
      </c>
      <c r="L230" s="4"/>
      <c r="M230" s="91" t="s">
        <v>1463</v>
      </c>
      <c r="N230" s="51">
        <v>8.5</v>
      </c>
      <c r="O230" s="22"/>
      <c r="V230"/>
      <c r="W230"/>
      <c r="X230"/>
      <c r="Y230"/>
      <c r="Z230"/>
    </row>
    <row r="231" spans="1:26" ht="16.05" customHeight="1">
      <c r="A231" s="91" t="s">
        <v>1441</v>
      </c>
      <c r="B231" s="51">
        <v>9</v>
      </c>
      <c r="C231" s="4"/>
      <c r="D231" s="6" t="s">
        <v>1450</v>
      </c>
      <c r="E231" s="51">
        <v>8</v>
      </c>
      <c r="F231" s="4"/>
      <c r="G231" s="91" t="s">
        <v>1477</v>
      </c>
      <c r="H231" s="51">
        <v>8.5</v>
      </c>
      <c r="I231" s="4"/>
      <c r="J231" s="6" t="s">
        <v>1426</v>
      </c>
      <c r="K231" s="51">
        <v>7.5</v>
      </c>
      <c r="L231" s="4"/>
      <c r="M231" s="91" t="s">
        <v>1464</v>
      </c>
      <c r="N231" s="51">
        <v>9.5</v>
      </c>
      <c r="O231" s="22"/>
      <c r="V231"/>
      <c r="W231"/>
      <c r="X231"/>
      <c r="Y231"/>
      <c r="Z231"/>
    </row>
    <row r="232" spans="1:26" ht="16.05" customHeight="1">
      <c r="A232" s="91" t="s">
        <v>1442</v>
      </c>
      <c r="B232" s="51">
        <v>8.5</v>
      </c>
      <c r="C232" s="4"/>
      <c r="D232" s="6" t="s">
        <v>1451</v>
      </c>
      <c r="E232" s="51">
        <v>9</v>
      </c>
      <c r="F232" s="4"/>
      <c r="G232" s="91" t="s">
        <v>1478</v>
      </c>
      <c r="H232" s="51">
        <v>9.5</v>
      </c>
      <c r="I232" s="4"/>
      <c r="J232" s="6" t="s">
        <v>1427</v>
      </c>
      <c r="K232" s="51">
        <v>9.5</v>
      </c>
      <c r="L232" s="4"/>
      <c r="M232" s="91" t="s">
        <v>1465</v>
      </c>
      <c r="N232" s="51">
        <v>8.5</v>
      </c>
      <c r="O232" s="22"/>
      <c r="V232"/>
      <c r="W232"/>
      <c r="X232"/>
      <c r="Y232"/>
      <c r="Z232"/>
    </row>
    <row r="233" spans="1:26" ht="16.05" customHeight="1" thickBot="1">
      <c r="A233" s="92" t="s">
        <v>1443</v>
      </c>
      <c r="B233" s="52">
        <v>8</v>
      </c>
      <c r="C233" s="4"/>
      <c r="D233" s="6" t="s">
        <v>1452</v>
      </c>
      <c r="E233" s="51">
        <v>9</v>
      </c>
      <c r="F233" s="4"/>
      <c r="G233" s="91" t="s">
        <v>1479</v>
      </c>
      <c r="H233" s="51">
        <v>8.5</v>
      </c>
      <c r="I233" s="4"/>
      <c r="J233" s="6" t="s">
        <v>1428</v>
      </c>
      <c r="K233" s="51">
        <v>8</v>
      </c>
      <c r="L233" s="4"/>
      <c r="M233" s="91" t="s">
        <v>1466</v>
      </c>
      <c r="N233" s="51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9" t="s">
        <v>1453</v>
      </c>
      <c r="E234" s="52">
        <v>10</v>
      </c>
      <c r="F234" s="4"/>
      <c r="G234" s="91" t="s">
        <v>1480</v>
      </c>
      <c r="H234" s="51">
        <v>10</v>
      </c>
      <c r="I234" s="4"/>
      <c r="J234" s="6" t="s">
        <v>1429</v>
      </c>
      <c r="K234" s="51">
        <v>9</v>
      </c>
      <c r="L234" s="4"/>
      <c r="M234" s="91" t="s">
        <v>1467</v>
      </c>
      <c r="N234" s="51">
        <v>8</v>
      </c>
      <c r="O234" s="22"/>
      <c r="V234"/>
      <c r="W234"/>
      <c r="X234"/>
      <c r="Y234"/>
      <c r="Z234"/>
    </row>
    <row r="235" spans="1:26" ht="16.05" customHeight="1" thickBot="1">
      <c r="A235" s="204" t="s">
        <v>1493</v>
      </c>
      <c r="B235" s="14">
        <f>ROUND(SUM(B236:B244)/COUNT(B236:B244), 2)</f>
        <v>8.83</v>
      </c>
      <c r="C235" s="4"/>
      <c r="D235" s="21"/>
      <c r="E235" s="21"/>
      <c r="F235" s="4"/>
      <c r="G235" s="91" t="s">
        <v>1481</v>
      </c>
      <c r="H235" s="65">
        <v>10.5</v>
      </c>
      <c r="I235" s="4"/>
      <c r="J235" s="9" t="s">
        <v>1430</v>
      </c>
      <c r="K235" s="52">
        <v>8</v>
      </c>
      <c r="L235" s="4"/>
      <c r="M235" s="91" t="s">
        <v>1468</v>
      </c>
      <c r="N235" s="51">
        <v>8.5</v>
      </c>
      <c r="O235" s="22"/>
      <c r="V235"/>
      <c r="W235"/>
      <c r="X235"/>
      <c r="Y235"/>
      <c r="Z235"/>
    </row>
    <row r="236" spans="1:26" ht="16.05" customHeight="1" thickBot="1">
      <c r="A236" s="96" t="s">
        <v>1494</v>
      </c>
      <c r="B236" s="50">
        <v>9</v>
      </c>
      <c r="C236" s="4"/>
      <c r="D236" s="203" t="s">
        <v>1529</v>
      </c>
      <c r="E236" s="3">
        <f>ROUND(SUM(E237:E251)/COUNT(E237:E251), 2)</f>
        <v>8.8000000000000007</v>
      </c>
      <c r="F236" s="4"/>
      <c r="G236" s="91" t="s">
        <v>1482</v>
      </c>
      <c r="H236" s="51">
        <v>9</v>
      </c>
      <c r="I236" s="4"/>
      <c r="J236" s="21"/>
      <c r="K236" s="21"/>
      <c r="L236" s="4"/>
      <c r="M236" s="91" t="s">
        <v>1469</v>
      </c>
      <c r="N236" s="51">
        <v>7</v>
      </c>
      <c r="O236" s="22"/>
      <c r="V236"/>
      <c r="W236"/>
      <c r="X236"/>
      <c r="Y236"/>
      <c r="Z236"/>
    </row>
    <row r="237" spans="1:26" ht="16.05" customHeight="1" thickBot="1">
      <c r="A237" s="91" t="s">
        <v>1495</v>
      </c>
      <c r="B237" s="51">
        <v>10</v>
      </c>
      <c r="C237" s="4"/>
      <c r="D237" s="13" t="s">
        <v>1509</v>
      </c>
      <c r="E237" s="50">
        <v>8</v>
      </c>
      <c r="F237" s="4"/>
      <c r="G237" s="91" t="s">
        <v>1483</v>
      </c>
      <c r="H237" s="51">
        <v>8.5</v>
      </c>
      <c r="I237" s="22"/>
      <c r="J237" s="205" t="s">
        <v>1533</v>
      </c>
      <c r="K237" s="14">
        <f>ROUND(SUM(K238:K250)/COUNT(K238:K250), 2)</f>
        <v>8.73</v>
      </c>
      <c r="L237" s="4"/>
      <c r="M237" s="91" t="s">
        <v>1470</v>
      </c>
      <c r="N237" s="51">
        <v>8</v>
      </c>
      <c r="O237" s="22"/>
      <c r="V237"/>
      <c r="W237"/>
      <c r="X237"/>
      <c r="Y237"/>
      <c r="Z237"/>
    </row>
    <row r="238" spans="1:26" ht="16.05" customHeight="1" thickBot="1">
      <c r="A238" s="91" t="s">
        <v>1496</v>
      </c>
      <c r="B238" s="51">
        <v>8.5</v>
      </c>
      <c r="C238" s="4"/>
      <c r="D238" s="6" t="s">
        <v>1510</v>
      </c>
      <c r="E238" s="51">
        <v>8.5</v>
      </c>
      <c r="F238" s="4"/>
      <c r="G238" s="91" t="s">
        <v>1484</v>
      </c>
      <c r="H238" s="51">
        <v>8.5</v>
      </c>
      <c r="I238" s="4"/>
      <c r="J238" s="13" t="s">
        <v>1546</v>
      </c>
      <c r="K238" s="50">
        <v>10.5</v>
      </c>
      <c r="L238" s="4"/>
      <c r="M238" s="92" t="s">
        <v>1471</v>
      </c>
      <c r="N238" s="52">
        <v>7.5</v>
      </c>
      <c r="O238" s="22"/>
      <c r="V238"/>
      <c r="W238"/>
      <c r="X238"/>
      <c r="Y238"/>
      <c r="Z238"/>
    </row>
    <row r="239" spans="1:26" ht="16.05" customHeight="1" thickBot="1">
      <c r="A239" s="91" t="s">
        <v>1497</v>
      </c>
      <c r="B239" s="51">
        <v>8.5</v>
      </c>
      <c r="C239" s="4"/>
      <c r="D239" s="6" t="s">
        <v>1511</v>
      </c>
      <c r="E239" s="51">
        <v>9.5</v>
      </c>
      <c r="F239" s="4"/>
      <c r="G239" s="91" t="s">
        <v>1485</v>
      </c>
      <c r="H239" s="51">
        <v>8</v>
      </c>
      <c r="I239" s="4"/>
      <c r="J239" s="6" t="s">
        <v>1534</v>
      </c>
      <c r="K239" s="51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.05" customHeight="1" thickBot="1">
      <c r="A240" s="91" t="s">
        <v>1498</v>
      </c>
      <c r="B240" s="51">
        <v>9.5</v>
      </c>
      <c r="C240" s="4"/>
      <c r="D240" s="6" t="s">
        <v>1512</v>
      </c>
      <c r="E240" s="51">
        <v>10</v>
      </c>
      <c r="F240" s="4"/>
      <c r="G240" s="91" t="s">
        <v>1486</v>
      </c>
      <c r="H240" s="51"/>
      <c r="I240" s="4"/>
      <c r="J240" s="6" t="s">
        <v>1535</v>
      </c>
      <c r="K240" s="51">
        <v>9</v>
      </c>
      <c r="L240" s="4"/>
      <c r="M240" s="206" t="s">
        <v>1550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.05" customHeight="1">
      <c r="A241" s="91" t="s">
        <v>1499</v>
      </c>
      <c r="B241" s="51">
        <v>8</v>
      </c>
      <c r="C241" s="4"/>
      <c r="D241" s="6" t="s">
        <v>1513</v>
      </c>
      <c r="E241" s="51">
        <v>8.5</v>
      </c>
      <c r="F241" s="4"/>
      <c r="G241" s="91" t="s">
        <v>1487</v>
      </c>
      <c r="H241" s="51">
        <v>9.5</v>
      </c>
      <c r="I241" s="4"/>
      <c r="J241" s="6" t="s">
        <v>1536</v>
      </c>
      <c r="K241" s="51">
        <v>9.5</v>
      </c>
      <c r="L241" s="4"/>
      <c r="M241" s="96" t="s">
        <v>1551</v>
      </c>
      <c r="N241" s="50">
        <v>9.5</v>
      </c>
      <c r="O241" s="4"/>
      <c r="V241"/>
      <c r="W241"/>
      <c r="X241"/>
      <c r="Y241"/>
      <c r="Z241"/>
    </row>
    <row r="242" spans="1:26" ht="16.05" customHeight="1">
      <c r="A242" s="91" t="s">
        <v>1500</v>
      </c>
      <c r="B242" s="51">
        <v>8.5</v>
      </c>
      <c r="C242" s="4"/>
      <c r="D242" s="6" t="s">
        <v>1514</v>
      </c>
      <c r="E242" s="51">
        <v>9.5</v>
      </c>
      <c r="F242" s="4"/>
      <c r="G242" s="91" t="s">
        <v>1488</v>
      </c>
      <c r="H242" s="51">
        <v>8</v>
      </c>
      <c r="I242" s="4"/>
      <c r="J242" s="6" t="s">
        <v>1537</v>
      </c>
      <c r="K242" s="51">
        <v>9</v>
      </c>
      <c r="L242" s="4"/>
      <c r="M242" s="91" t="s">
        <v>1552</v>
      </c>
      <c r="N242" s="51">
        <v>8</v>
      </c>
      <c r="O242" s="4"/>
      <c r="V242"/>
      <c r="W242"/>
      <c r="X242"/>
      <c r="Y242"/>
      <c r="Z242"/>
    </row>
    <row r="243" spans="1:26" ht="16.05" customHeight="1">
      <c r="A243" s="91" t="s">
        <v>1501</v>
      </c>
      <c r="B243" s="51">
        <v>9</v>
      </c>
      <c r="C243" s="4"/>
      <c r="D243" s="6" t="s">
        <v>1515</v>
      </c>
      <c r="E243" s="51">
        <v>9.5</v>
      </c>
      <c r="F243" s="4"/>
      <c r="G243" s="91" t="s">
        <v>1489</v>
      </c>
      <c r="H243" s="51">
        <v>8.5</v>
      </c>
      <c r="I243" s="4"/>
      <c r="J243" s="6" t="s">
        <v>1538</v>
      </c>
      <c r="K243" s="51">
        <v>8</v>
      </c>
      <c r="L243" s="4"/>
      <c r="M243" s="91" t="s">
        <v>1553</v>
      </c>
      <c r="N243" s="51">
        <v>10</v>
      </c>
      <c r="O243" s="4"/>
      <c r="V243"/>
      <c r="W243"/>
      <c r="X243"/>
      <c r="Y243"/>
      <c r="Z243"/>
    </row>
    <row r="244" spans="1:26" ht="16.05" customHeight="1" thickBot="1">
      <c r="A244" s="92" t="s">
        <v>1502</v>
      </c>
      <c r="B244" s="52">
        <v>8.5</v>
      </c>
      <c r="C244" s="4"/>
      <c r="D244" s="6" t="s">
        <v>1516</v>
      </c>
      <c r="E244" s="51">
        <v>8</v>
      </c>
      <c r="F244" s="4"/>
      <c r="G244" s="92" t="s">
        <v>1490</v>
      </c>
      <c r="H244" s="52">
        <v>8.5</v>
      </c>
      <c r="I244" s="4"/>
      <c r="J244" s="6" t="s">
        <v>1539</v>
      </c>
      <c r="K244" s="51">
        <v>9</v>
      </c>
      <c r="L244" s="4"/>
      <c r="M244" s="91" t="s">
        <v>1554</v>
      </c>
      <c r="N244" s="51">
        <v>8</v>
      </c>
      <c r="O244" s="4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1517</v>
      </c>
      <c r="E245" s="51">
        <v>8</v>
      </c>
      <c r="F245" s="4"/>
      <c r="G245" s="21"/>
      <c r="H245" s="21"/>
      <c r="I245" s="4"/>
      <c r="J245" s="6" t="s">
        <v>1540</v>
      </c>
      <c r="K245" s="51">
        <v>8.5</v>
      </c>
      <c r="L245" s="4"/>
      <c r="M245" s="91" t="s">
        <v>1555</v>
      </c>
      <c r="N245" s="51">
        <v>9</v>
      </c>
      <c r="O245" s="4"/>
      <c r="V245"/>
      <c r="W245"/>
      <c r="X245"/>
      <c r="Y245"/>
      <c r="Z245"/>
    </row>
    <row r="246" spans="1:26" ht="16.05" customHeight="1" thickBot="1">
      <c r="A246" s="208" t="s">
        <v>1591</v>
      </c>
      <c r="B246" s="14">
        <f>ROUND(SUM(B247:B258)/COUNT(B247:B258), 2)</f>
        <v>8.82</v>
      </c>
      <c r="C246" s="4"/>
      <c r="D246" s="6" t="s">
        <v>1518</v>
      </c>
      <c r="E246" s="51">
        <v>8.5</v>
      </c>
      <c r="F246" s="4"/>
      <c r="G246" s="207" t="s">
        <v>1572</v>
      </c>
      <c r="H246" s="3">
        <f>ROUND(SUM(H247:H256)/COUNT(H247:H256), 2)</f>
        <v>8.75</v>
      </c>
      <c r="I246" s="4"/>
      <c r="J246" s="6" t="s">
        <v>1541</v>
      </c>
      <c r="K246" s="51">
        <v>8</v>
      </c>
      <c r="L246" s="4"/>
      <c r="M246" s="91" t="s">
        <v>1556</v>
      </c>
      <c r="N246" s="51">
        <v>8.5</v>
      </c>
      <c r="O246" s="4"/>
      <c r="V246"/>
      <c r="W246"/>
      <c r="X246"/>
      <c r="Y246"/>
      <c r="Z246"/>
    </row>
    <row r="247" spans="1:26" ht="16.05" customHeight="1" thickBot="1">
      <c r="A247" s="96" t="s">
        <v>1579</v>
      </c>
      <c r="B247" s="50">
        <v>9.5</v>
      </c>
      <c r="C247" s="4"/>
      <c r="D247" s="6" t="s">
        <v>1519</v>
      </c>
      <c r="E247" s="51">
        <v>10</v>
      </c>
      <c r="F247" s="4"/>
      <c r="G247" s="91" t="s">
        <v>1563</v>
      </c>
      <c r="H247" s="51">
        <v>10</v>
      </c>
      <c r="I247" s="4"/>
      <c r="J247" s="6" t="s">
        <v>1542</v>
      </c>
      <c r="K247" s="51">
        <v>8</v>
      </c>
      <c r="L247" s="4"/>
      <c r="M247" s="92" t="s">
        <v>1557</v>
      </c>
      <c r="N247" s="52">
        <v>9.5</v>
      </c>
      <c r="O247" s="4"/>
      <c r="V247"/>
      <c r="W247"/>
      <c r="X247"/>
      <c r="Y247"/>
      <c r="Z247"/>
    </row>
    <row r="248" spans="1:26" ht="16.05" customHeight="1" thickBot="1">
      <c r="A248" s="91" t="s">
        <v>1580</v>
      </c>
      <c r="B248" s="51">
        <v>8.5</v>
      </c>
      <c r="C248" s="4"/>
      <c r="D248" s="6" t="s">
        <v>1520</v>
      </c>
      <c r="E248" s="51">
        <v>8.5</v>
      </c>
      <c r="F248" s="4"/>
      <c r="G248" s="91" t="s">
        <v>1564</v>
      </c>
      <c r="H248" s="51">
        <v>9</v>
      </c>
      <c r="I248" s="4"/>
      <c r="J248" s="6" t="s">
        <v>1543</v>
      </c>
      <c r="K248" s="51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.05" customHeight="1" thickBot="1">
      <c r="A249" s="91" t="s">
        <v>1581</v>
      </c>
      <c r="B249" s="51">
        <v>8.5</v>
      </c>
      <c r="C249" s="4"/>
      <c r="D249" s="6" t="s">
        <v>1521</v>
      </c>
      <c r="E249" s="51">
        <v>9</v>
      </c>
      <c r="F249" s="4"/>
      <c r="G249" s="91" t="s">
        <v>15</v>
      </c>
      <c r="H249" s="51">
        <v>10</v>
      </c>
      <c r="I249" s="4"/>
      <c r="J249" s="6" t="s">
        <v>1544</v>
      </c>
      <c r="K249" s="51">
        <v>8.5</v>
      </c>
      <c r="L249" s="4"/>
      <c r="M249" s="210" t="s">
        <v>1596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.05" customHeight="1" thickBot="1">
      <c r="A250" s="91" t="s">
        <v>1582</v>
      </c>
      <c r="B250" s="51"/>
      <c r="C250" s="4"/>
      <c r="D250" s="6" t="s">
        <v>1522</v>
      </c>
      <c r="E250" s="51">
        <v>8.5</v>
      </c>
      <c r="F250" s="4"/>
      <c r="G250" s="91" t="s">
        <v>1565</v>
      </c>
      <c r="H250" s="51">
        <v>9</v>
      </c>
      <c r="I250" s="4"/>
      <c r="J250" s="9" t="s">
        <v>1545</v>
      </c>
      <c r="K250" s="52">
        <v>8</v>
      </c>
      <c r="L250" s="4"/>
      <c r="M250" s="96" t="s">
        <v>1595</v>
      </c>
      <c r="N250" s="50">
        <v>10</v>
      </c>
      <c r="O250" s="4"/>
      <c r="V250"/>
      <c r="W250"/>
      <c r="X250"/>
      <c r="Y250"/>
      <c r="Z250"/>
    </row>
    <row r="251" spans="1:26" ht="16.05" customHeight="1" thickBot="1">
      <c r="A251" s="91" t="s">
        <v>1583</v>
      </c>
      <c r="B251" s="51">
        <v>8</v>
      </c>
      <c r="C251" s="4"/>
      <c r="D251" s="9" t="s">
        <v>1523</v>
      </c>
      <c r="E251" s="52">
        <v>8</v>
      </c>
      <c r="F251" s="4"/>
      <c r="G251" s="91" t="s">
        <v>1566</v>
      </c>
      <c r="H251" s="51">
        <v>8.5</v>
      </c>
      <c r="I251" s="4"/>
      <c r="J251" s="4"/>
      <c r="K251" s="4"/>
      <c r="L251" s="4"/>
      <c r="M251" s="91" t="s">
        <v>1597</v>
      </c>
      <c r="N251" s="51">
        <v>9</v>
      </c>
      <c r="O251" s="4"/>
      <c r="V251"/>
      <c r="W251"/>
      <c r="X251"/>
      <c r="Y251"/>
      <c r="Z251"/>
    </row>
    <row r="252" spans="1:26" ht="16.05" customHeight="1" thickBot="1">
      <c r="A252" s="91" t="s">
        <v>1584</v>
      </c>
      <c r="B252" s="51">
        <v>10</v>
      </c>
      <c r="C252" s="4"/>
      <c r="D252" s="4"/>
      <c r="E252" s="4"/>
      <c r="F252" s="4"/>
      <c r="G252" s="91" t="s">
        <v>1567</v>
      </c>
      <c r="H252" s="51">
        <v>8</v>
      </c>
      <c r="I252" s="4"/>
      <c r="J252" s="211" t="s">
        <v>1638</v>
      </c>
      <c r="K252" s="3">
        <f>ROUND(SUM(K253:K262)/COUNT(K253:K262), 2)</f>
        <v>8</v>
      </c>
      <c r="L252" s="4"/>
      <c r="M252" s="91" t="s">
        <v>1598</v>
      </c>
      <c r="N252" s="51">
        <v>8.5</v>
      </c>
      <c r="O252" s="4"/>
      <c r="V252"/>
      <c r="W252"/>
      <c r="X252"/>
      <c r="Y252"/>
      <c r="Z252"/>
    </row>
    <row r="253" spans="1:26" ht="16.05" customHeight="1" thickBot="1">
      <c r="A253" s="91" t="s">
        <v>1585</v>
      </c>
      <c r="B253" s="51">
        <v>10.5</v>
      </c>
      <c r="C253" s="4"/>
      <c r="D253" s="213" t="s">
        <v>1646</v>
      </c>
      <c r="E253" s="3">
        <f>ROUND(SUM(E254:E263)/COUNT(E254:E263), 2)</f>
        <v>8.44</v>
      </c>
      <c r="F253" s="4"/>
      <c r="G253" s="91" t="s">
        <v>1568</v>
      </c>
      <c r="H253" s="51">
        <v>9</v>
      </c>
      <c r="I253" s="4"/>
      <c r="J253" s="13" t="s">
        <v>1628</v>
      </c>
      <c r="K253" s="50">
        <v>8.5</v>
      </c>
      <c r="L253" s="4"/>
      <c r="M253" s="91" t="s">
        <v>1599</v>
      </c>
      <c r="N253" s="51">
        <v>8</v>
      </c>
      <c r="O253" s="4"/>
      <c r="V253"/>
      <c r="W253"/>
      <c r="X253"/>
      <c r="Y253"/>
      <c r="Z253"/>
    </row>
    <row r="254" spans="1:26" ht="16.05" customHeight="1">
      <c r="A254" s="91" t="s">
        <v>1586</v>
      </c>
      <c r="B254" s="51">
        <v>9</v>
      </c>
      <c r="C254" s="4"/>
      <c r="D254" s="13" t="s">
        <v>1647</v>
      </c>
      <c r="E254" s="50">
        <v>8.5</v>
      </c>
      <c r="F254" s="4"/>
      <c r="G254" s="91" t="s">
        <v>1569</v>
      </c>
      <c r="H254" s="51">
        <v>8</v>
      </c>
      <c r="I254" s="4"/>
      <c r="J254" s="6" t="s">
        <v>1629</v>
      </c>
      <c r="K254" s="51">
        <v>7.5</v>
      </c>
      <c r="L254" s="4"/>
      <c r="M254" s="91" t="s">
        <v>1600</v>
      </c>
      <c r="N254" s="51">
        <v>10.5</v>
      </c>
      <c r="O254" s="4"/>
      <c r="V254"/>
      <c r="W254"/>
      <c r="X254"/>
      <c r="Y254"/>
      <c r="Z254"/>
    </row>
    <row r="255" spans="1:26" ht="16.05" customHeight="1">
      <c r="A255" s="91" t="s">
        <v>1587</v>
      </c>
      <c r="B255" s="51">
        <v>8</v>
      </c>
      <c r="C255" s="4"/>
      <c r="D255" s="6" t="s">
        <v>1648</v>
      </c>
      <c r="E255" s="51">
        <v>10</v>
      </c>
      <c r="F255" s="4"/>
      <c r="G255" s="91" t="s">
        <v>1570</v>
      </c>
      <c r="H255" s="51">
        <v>8</v>
      </c>
      <c r="I255" s="4"/>
      <c r="J255" s="6" t="s">
        <v>1630</v>
      </c>
      <c r="K255" s="51">
        <v>9.5</v>
      </c>
      <c r="L255" s="4"/>
      <c r="M255" s="91" t="s">
        <v>1601</v>
      </c>
      <c r="N255" s="51">
        <v>9.5</v>
      </c>
      <c r="O255" s="4"/>
      <c r="V255"/>
      <c r="W255"/>
      <c r="X255"/>
      <c r="Y255"/>
      <c r="Z255"/>
    </row>
    <row r="256" spans="1:26" ht="16.05" customHeight="1" thickBot="1">
      <c r="A256" s="91" t="s">
        <v>1588</v>
      </c>
      <c r="B256" s="51">
        <v>8</v>
      </c>
      <c r="C256" s="4"/>
      <c r="D256" s="6" t="s">
        <v>1649</v>
      </c>
      <c r="E256" s="51">
        <v>9.5</v>
      </c>
      <c r="F256" s="4"/>
      <c r="G256" s="92" t="s">
        <v>1571</v>
      </c>
      <c r="H256" s="52">
        <v>8</v>
      </c>
      <c r="I256" s="4"/>
      <c r="J256" s="6" t="s">
        <v>1631</v>
      </c>
      <c r="K256" s="51">
        <v>7.5</v>
      </c>
      <c r="L256" s="4"/>
      <c r="M256" s="91" t="s">
        <v>9</v>
      </c>
      <c r="N256" s="51">
        <v>8</v>
      </c>
      <c r="O256" s="4"/>
      <c r="V256"/>
      <c r="W256"/>
      <c r="X256"/>
      <c r="Y256"/>
      <c r="Z256"/>
    </row>
    <row r="257" spans="1:26" ht="16.05" customHeight="1" thickBot="1">
      <c r="A257" s="91" t="s">
        <v>1589</v>
      </c>
      <c r="B257" s="51">
        <v>8.5</v>
      </c>
      <c r="C257" s="4"/>
      <c r="D257" s="6" t="s">
        <v>1650</v>
      </c>
      <c r="E257" s="51">
        <v>10</v>
      </c>
      <c r="F257" s="4"/>
      <c r="G257" s="4"/>
      <c r="H257" s="4"/>
      <c r="I257" s="4"/>
      <c r="J257" s="6" t="s">
        <v>1632</v>
      </c>
      <c r="K257" s="51">
        <v>9</v>
      </c>
      <c r="L257" s="4"/>
      <c r="M257" s="91" t="s">
        <v>1602</v>
      </c>
      <c r="N257" s="51">
        <v>10.5</v>
      </c>
      <c r="O257" s="4"/>
      <c r="V257"/>
      <c r="W257"/>
      <c r="X257"/>
      <c r="Y257"/>
      <c r="Z257"/>
    </row>
    <row r="258" spans="1:26" ht="16.05" customHeight="1" thickBot="1">
      <c r="A258" s="92" t="s">
        <v>1590</v>
      </c>
      <c r="B258" s="52">
        <v>8.5</v>
      </c>
      <c r="C258" s="4"/>
      <c r="D258" s="6" t="s">
        <v>1651</v>
      </c>
      <c r="E258" s="51"/>
      <c r="F258" s="4"/>
      <c r="G258" s="266" t="s">
        <v>1664</v>
      </c>
      <c r="H258" s="14">
        <f>ROUND(SUM(H259:H263)/COUNT(H259:H263), 2)</f>
        <v>8.9</v>
      </c>
      <c r="I258" s="4"/>
      <c r="J258" s="6" t="s">
        <v>1633</v>
      </c>
      <c r="K258" s="51">
        <v>6.5</v>
      </c>
      <c r="L258" s="4"/>
      <c r="M258" s="91" t="s">
        <v>1603</v>
      </c>
      <c r="N258" s="51">
        <v>10.5</v>
      </c>
      <c r="O258" s="4"/>
      <c r="V258"/>
      <c r="W258"/>
      <c r="X258"/>
      <c r="Y258"/>
      <c r="Z258"/>
    </row>
    <row r="259" spans="1:26" ht="16.05" customHeight="1" thickBot="1">
      <c r="A259" s="4"/>
      <c r="B259" s="4"/>
      <c r="C259" s="4"/>
      <c r="D259" s="6" t="s">
        <v>1652</v>
      </c>
      <c r="E259" s="51">
        <v>8</v>
      </c>
      <c r="F259" s="4"/>
      <c r="G259" s="96" t="s">
        <v>1665</v>
      </c>
      <c r="H259" s="50">
        <v>9</v>
      </c>
      <c r="I259" s="4"/>
      <c r="J259" s="6" t="s">
        <v>1634</v>
      </c>
      <c r="K259" s="51"/>
      <c r="L259" s="4"/>
      <c r="M259" s="91" t="s">
        <v>1604</v>
      </c>
      <c r="N259" s="51">
        <v>9</v>
      </c>
      <c r="O259" s="4"/>
      <c r="V259"/>
      <c r="W259"/>
      <c r="X259"/>
      <c r="Y259"/>
      <c r="Z259"/>
    </row>
    <row r="260" spans="1:26" ht="16.05" customHeight="1" thickBot="1">
      <c r="A260" s="267" t="s">
        <v>1673</v>
      </c>
      <c r="B260" s="3">
        <f>ROUND(SUM(B261:B270)/COUNT(B261:B270), 2)</f>
        <v>8.75</v>
      </c>
      <c r="C260" s="4"/>
      <c r="D260" s="6" t="s">
        <v>1653</v>
      </c>
      <c r="E260" s="51">
        <v>9</v>
      </c>
      <c r="F260" s="4"/>
      <c r="G260" s="91" t="s">
        <v>1666</v>
      </c>
      <c r="H260" s="51">
        <v>8.5</v>
      </c>
      <c r="I260" s="4"/>
      <c r="J260" s="6" t="s">
        <v>1635</v>
      </c>
      <c r="K260" s="51">
        <v>7.5</v>
      </c>
      <c r="L260" s="4"/>
      <c r="M260" s="91" t="s">
        <v>1605</v>
      </c>
      <c r="N260" s="51">
        <v>8.5</v>
      </c>
      <c r="O260" s="4"/>
      <c r="V260"/>
      <c r="W260"/>
      <c r="X260"/>
      <c r="Y260"/>
      <c r="Z260"/>
    </row>
    <row r="261" spans="1:26" ht="16.05" customHeight="1">
      <c r="A261" s="91" t="s">
        <v>1674</v>
      </c>
      <c r="B261" s="51">
        <v>8</v>
      </c>
      <c r="C261" s="4"/>
      <c r="D261" s="6" t="s">
        <v>1654</v>
      </c>
      <c r="E261" s="51">
        <v>8</v>
      </c>
      <c r="F261" s="4"/>
      <c r="G261" s="91" t="s">
        <v>1667</v>
      </c>
      <c r="H261" s="51">
        <v>9</v>
      </c>
      <c r="I261" s="4"/>
      <c r="J261" s="6" t="s">
        <v>1636</v>
      </c>
      <c r="K261" s="51">
        <v>8.5</v>
      </c>
      <c r="L261" s="4"/>
      <c r="M261" s="91" t="s">
        <v>1606</v>
      </c>
      <c r="N261" s="51">
        <v>8</v>
      </c>
      <c r="O261" s="4"/>
      <c r="V261"/>
      <c r="W261"/>
      <c r="X261"/>
      <c r="Y261"/>
      <c r="Z261"/>
    </row>
    <row r="262" spans="1:26" ht="16.05" customHeight="1" thickBot="1">
      <c r="A262" s="91" t="s">
        <v>1675</v>
      </c>
      <c r="B262" s="51">
        <v>9.5</v>
      </c>
      <c r="C262" s="4"/>
      <c r="D262" s="6" t="s">
        <v>1655</v>
      </c>
      <c r="E262" s="51">
        <v>7</v>
      </c>
      <c r="F262" s="4"/>
      <c r="G262" s="91" t="s">
        <v>1668</v>
      </c>
      <c r="H262" s="51">
        <v>8</v>
      </c>
      <c r="I262" s="4"/>
      <c r="J262" s="9" t="s">
        <v>1637</v>
      </c>
      <c r="K262" s="52">
        <v>7.5</v>
      </c>
      <c r="L262" s="4"/>
      <c r="M262" s="91" t="s">
        <v>1607</v>
      </c>
      <c r="N262" s="51">
        <v>8</v>
      </c>
      <c r="O262" s="4"/>
      <c r="V262"/>
      <c r="W262"/>
      <c r="X262"/>
      <c r="Y262"/>
      <c r="Z262"/>
    </row>
    <row r="263" spans="1:26" ht="16.05" customHeight="1" thickBot="1">
      <c r="A263" s="91" t="s">
        <v>1676</v>
      </c>
      <c r="B263" s="51">
        <v>10</v>
      </c>
      <c r="C263" s="4"/>
      <c r="D263" s="9" t="s">
        <v>1656</v>
      </c>
      <c r="E263" s="52">
        <v>6</v>
      </c>
      <c r="F263" s="4"/>
      <c r="G263" s="92" t="s">
        <v>1669</v>
      </c>
      <c r="H263" s="52">
        <v>10</v>
      </c>
      <c r="I263" s="4"/>
      <c r="J263" s="4"/>
      <c r="K263" s="4"/>
      <c r="L263" s="4"/>
      <c r="M263" s="91" t="s">
        <v>1608</v>
      </c>
      <c r="N263" s="51">
        <v>7.5</v>
      </c>
      <c r="O263" s="4"/>
      <c r="V263"/>
      <c r="W263"/>
      <c r="X263"/>
      <c r="Y263"/>
      <c r="Z263"/>
    </row>
    <row r="264" spans="1:26" ht="16.05" customHeight="1" thickBot="1">
      <c r="A264" s="91" t="s">
        <v>1677</v>
      </c>
      <c r="B264" s="51">
        <v>9.5</v>
      </c>
      <c r="C264" s="4"/>
      <c r="D264" s="4"/>
      <c r="E264" s="4"/>
      <c r="F264" s="4"/>
      <c r="G264" s="4"/>
      <c r="H264" s="4"/>
      <c r="I264" s="4"/>
      <c r="J264" s="272" t="s">
        <v>1700</v>
      </c>
      <c r="K264" s="3">
        <f>ROUND(SUM(K265:K274)/COUNT(K265:K274), 2)</f>
        <v>8.94</v>
      </c>
      <c r="L264" s="4"/>
      <c r="M264" s="91" t="s">
        <v>1609</v>
      </c>
      <c r="N264" s="51">
        <v>8</v>
      </c>
      <c r="O264" s="4"/>
      <c r="V264"/>
      <c r="W264"/>
      <c r="X264"/>
      <c r="Y264"/>
      <c r="Z264"/>
    </row>
    <row r="265" spans="1:26" ht="16.05" customHeight="1">
      <c r="A265" s="91" t="s">
        <v>1678</v>
      </c>
      <c r="B265" s="51">
        <v>8</v>
      </c>
      <c r="C265" s="4"/>
      <c r="I265" s="4"/>
      <c r="J265" s="269" t="s">
        <v>1701</v>
      </c>
      <c r="K265" s="50">
        <v>8</v>
      </c>
      <c r="L265" s="4"/>
      <c r="M265" s="91" t="s">
        <v>1610</v>
      </c>
      <c r="N265" s="51">
        <v>9</v>
      </c>
      <c r="O265" s="4"/>
      <c r="V265"/>
      <c r="W265"/>
      <c r="X265"/>
      <c r="Y265"/>
      <c r="Z265"/>
    </row>
    <row r="266" spans="1:26" ht="16.05" customHeight="1">
      <c r="A266" s="91" t="s">
        <v>1679</v>
      </c>
      <c r="B266" s="51">
        <v>8.5</v>
      </c>
      <c r="C266" s="4"/>
      <c r="I266" s="4"/>
      <c r="J266" s="270" t="s">
        <v>1702</v>
      </c>
      <c r="K266" s="51">
        <v>8.5</v>
      </c>
      <c r="L266" s="4"/>
      <c r="M266" s="91" t="s">
        <v>1611</v>
      </c>
      <c r="N266" s="51">
        <v>8</v>
      </c>
      <c r="O266" s="4"/>
      <c r="V266"/>
      <c r="W266"/>
      <c r="X266"/>
      <c r="Y266"/>
      <c r="Z266"/>
    </row>
    <row r="267" spans="1:26" ht="16.05" customHeight="1">
      <c r="A267" s="91" t="s">
        <v>1680</v>
      </c>
      <c r="B267" s="51">
        <v>8.5</v>
      </c>
      <c r="C267" s="4"/>
      <c r="I267" s="4"/>
      <c r="J267" s="270" t="s">
        <v>1703</v>
      </c>
      <c r="K267" s="51">
        <v>8.5</v>
      </c>
      <c r="L267" s="4"/>
      <c r="M267" s="91" t="s">
        <v>1612</v>
      </c>
      <c r="N267" s="51">
        <v>7.5</v>
      </c>
      <c r="O267" s="4"/>
      <c r="V267"/>
      <c r="W267"/>
      <c r="X267"/>
      <c r="Y267"/>
      <c r="Z267"/>
    </row>
    <row r="268" spans="1:26" ht="16.05" customHeight="1">
      <c r="A268" s="91" t="s">
        <v>1681</v>
      </c>
      <c r="B268" s="51">
        <v>8</v>
      </c>
      <c r="C268" s="4"/>
      <c r="I268" s="4"/>
      <c r="J268" s="270" t="s">
        <v>1704</v>
      </c>
      <c r="K268" s="51">
        <v>9</v>
      </c>
      <c r="L268" s="4"/>
      <c r="M268" s="91" t="s">
        <v>1613</v>
      </c>
      <c r="N268" s="51">
        <v>8</v>
      </c>
      <c r="O268" s="4"/>
      <c r="V268"/>
      <c r="W268"/>
      <c r="X268"/>
      <c r="Y268"/>
      <c r="Z268"/>
    </row>
    <row r="269" spans="1:26" ht="16.05" customHeight="1">
      <c r="A269" s="91" t="s">
        <v>1682</v>
      </c>
      <c r="B269" s="51">
        <v>7.5</v>
      </c>
      <c r="C269" s="4"/>
      <c r="I269" s="4"/>
      <c r="J269" s="270" t="s">
        <v>1705</v>
      </c>
      <c r="K269" s="51">
        <v>10</v>
      </c>
      <c r="L269" s="4"/>
      <c r="M269" s="91" t="s">
        <v>1614</v>
      </c>
      <c r="N269" s="51">
        <v>7.5</v>
      </c>
      <c r="O269" s="4"/>
      <c r="V269"/>
      <c r="W269"/>
      <c r="X269"/>
      <c r="Y269"/>
      <c r="Z269"/>
    </row>
    <row r="270" spans="1:26" ht="16.05" customHeight="1" thickBot="1">
      <c r="A270" s="92" t="s">
        <v>1683</v>
      </c>
      <c r="B270" s="52">
        <v>10</v>
      </c>
      <c r="C270" s="4"/>
      <c r="I270" s="4"/>
      <c r="J270" s="270" t="s">
        <v>1706</v>
      </c>
      <c r="K270" s="51">
        <v>10.5</v>
      </c>
      <c r="L270" s="4"/>
      <c r="M270" s="91" t="s">
        <v>1615</v>
      </c>
      <c r="N270" s="51">
        <v>7.5</v>
      </c>
      <c r="O270" s="4"/>
      <c r="V270"/>
      <c r="W270"/>
      <c r="X270"/>
      <c r="Y270"/>
      <c r="Z270"/>
    </row>
    <row r="271" spans="1:26" ht="16.05" customHeight="1">
      <c r="A271" s="4"/>
      <c r="B271" s="4"/>
      <c r="C271" s="4"/>
      <c r="I271" s="4"/>
      <c r="J271" s="270" t="s">
        <v>1707</v>
      </c>
      <c r="K271" s="51"/>
      <c r="L271" s="4"/>
      <c r="M271" s="91" t="s">
        <v>1616</v>
      </c>
      <c r="N271" s="51">
        <v>7.5</v>
      </c>
      <c r="O271" s="4"/>
      <c r="V271"/>
      <c r="W271"/>
      <c r="X271"/>
      <c r="Y271"/>
      <c r="Z271"/>
    </row>
    <row r="272" spans="1:26" ht="16.05" customHeight="1">
      <c r="I272" s="4"/>
      <c r="J272" s="270" t="s">
        <v>1708</v>
      </c>
      <c r="K272" s="51">
        <v>9</v>
      </c>
      <c r="L272" s="4"/>
      <c r="M272" s="91" t="s">
        <v>1617</v>
      </c>
      <c r="N272" s="51">
        <v>9</v>
      </c>
      <c r="O272" s="4"/>
      <c r="V272"/>
      <c r="W272"/>
      <c r="X272"/>
      <c r="Y272"/>
      <c r="Z272"/>
    </row>
    <row r="273" spans="9:26" ht="16.05" customHeight="1">
      <c r="I273" s="4"/>
      <c r="J273" s="270" t="s">
        <v>1709</v>
      </c>
      <c r="K273" s="51">
        <v>8.5</v>
      </c>
      <c r="L273" s="4"/>
      <c r="M273" s="91" t="s">
        <v>1618</v>
      </c>
      <c r="N273" s="51">
        <v>10</v>
      </c>
      <c r="O273" s="4"/>
      <c r="V273"/>
      <c r="W273"/>
      <c r="X273"/>
      <c r="Y273"/>
      <c r="Z273"/>
    </row>
    <row r="274" spans="9:26" ht="16.05" customHeight="1" thickBot="1">
      <c r="I274" s="4"/>
      <c r="J274" s="271" t="s">
        <v>1710</v>
      </c>
      <c r="K274" s="52">
        <v>8.5</v>
      </c>
      <c r="L274" s="4"/>
      <c r="M274" s="91" t="s">
        <v>1619</v>
      </c>
      <c r="N274" s="51">
        <v>9</v>
      </c>
      <c r="O274" s="4"/>
      <c r="V274"/>
      <c r="W274"/>
      <c r="X274"/>
      <c r="Y274"/>
      <c r="Z274"/>
    </row>
    <row r="275" spans="9:26" ht="16.05" customHeight="1" thickBot="1">
      <c r="I275" s="4"/>
      <c r="J275" s="4"/>
      <c r="K275" s="4"/>
      <c r="L275" s="4"/>
      <c r="M275" s="92" t="s">
        <v>1620</v>
      </c>
      <c r="N275" s="52">
        <v>9</v>
      </c>
      <c r="O275" s="4"/>
      <c r="V275"/>
      <c r="W275"/>
      <c r="X275"/>
      <c r="Y275"/>
      <c r="Z275"/>
    </row>
    <row r="276" spans="9:26" ht="16.05" customHeight="1">
      <c r="L276" s="4"/>
      <c r="M276" s="4"/>
      <c r="N276" s="4"/>
      <c r="O276" s="4"/>
      <c r="V276"/>
      <c r="W276"/>
      <c r="X276"/>
      <c r="Y276"/>
      <c r="Z276"/>
    </row>
    <row r="277" spans="9:26" ht="16.05" customHeight="1">
      <c r="V277"/>
      <c r="W277"/>
      <c r="X277"/>
      <c r="Y277"/>
      <c r="Z277"/>
    </row>
    <row r="278" spans="9:26" ht="16.05" customHeight="1">
      <c r="V278"/>
      <c r="W278"/>
      <c r="X278"/>
      <c r="Y278"/>
      <c r="Z278"/>
    </row>
    <row r="279" spans="9:26" ht="16.05" customHeight="1">
      <c r="V279"/>
      <c r="W279"/>
      <c r="X279"/>
      <c r="Y279"/>
      <c r="Z279"/>
    </row>
    <row r="280" spans="9:26" ht="16.05" customHeight="1">
      <c r="V280"/>
      <c r="W280"/>
      <c r="X280"/>
      <c r="Y280"/>
      <c r="Z280"/>
    </row>
    <row r="281" spans="9:26" ht="16.05" customHeight="1">
      <c r="V281"/>
      <c r="W281"/>
      <c r="X281"/>
      <c r="Y281"/>
      <c r="Z281"/>
    </row>
    <row r="282" spans="9:26" ht="16.05" customHeight="1">
      <c r="V282"/>
      <c r="W282"/>
      <c r="X282"/>
      <c r="Y282"/>
      <c r="Z282"/>
    </row>
    <row r="283" spans="9:26" ht="16.05" customHeight="1">
      <c r="V283"/>
      <c r="W283"/>
      <c r="X283"/>
      <c r="Y283"/>
      <c r="Z283"/>
    </row>
    <row r="284" spans="9:26" ht="16.05" customHeight="1">
      <c r="V284"/>
      <c r="W284"/>
      <c r="X284"/>
      <c r="Y284"/>
      <c r="Z284"/>
    </row>
    <row r="285" spans="9:26" ht="16.05" customHeight="1">
      <c r="V285"/>
      <c r="W285"/>
      <c r="X285"/>
      <c r="Y285"/>
      <c r="Z285"/>
    </row>
    <row r="286" spans="9:26" ht="16.05" customHeight="1">
      <c r="V286"/>
      <c r="W286"/>
      <c r="X286"/>
      <c r="Y286"/>
      <c r="Z286"/>
    </row>
    <row r="287" spans="9:26" ht="16.05" customHeight="1">
      <c r="V287"/>
      <c r="W287"/>
      <c r="X287"/>
      <c r="Y287"/>
      <c r="Z287"/>
    </row>
    <row r="288" spans="9:26" ht="16.05" customHeight="1">
      <c r="V288"/>
      <c r="W288"/>
      <c r="X288"/>
      <c r="Y288"/>
      <c r="Z288"/>
    </row>
    <row r="289" customFormat="1" ht="16.05" customHeight="1"/>
    <row r="290" customFormat="1" ht="16.05" customHeight="1"/>
    <row r="291" customFormat="1" ht="16.05" customHeight="1"/>
    <row r="292" customFormat="1" ht="16.05" customHeight="1"/>
    <row r="293" customFormat="1" ht="16.05" customHeight="1"/>
    <row r="294" customFormat="1" ht="16.05" customHeight="1"/>
    <row r="295" customFormat="1" ht="16.05" customHeight="1"/>
    <row r="296" customFormat="1" ht="16.05" customHeight="1"/>
    <row r="297" customFormat="1" ht="16.05" customHeight="1"/>
    <row r="298" customFormat="1" ht="16.05" customHeight="1"/>
    <row r="299" customFormat="1" ht="16.05" customHeight="1"/>
    <row r="300" customFormat="1" ht="16.05" customHeight="1"/>
    <row r="301" customFormat="1" ht="16.05" customHeight="1"/>
    <row r="302" customFormat="1" ht="16.05" customHeight="1"/>
    <row r="303" customFormat="1" ht="16.05" customHeight="1"/>
    <row r="304" customFormat="1" ht="16.05" customHeight="1"/>
    <row r="305" customFormat="1" ht="16.05" customHeight="1"/>
    <row r="306" customFormat="1" ht="16.05" customHeight="1"/>
    <row r="307" customFormat="1" ht="16.05" customHeight="1"/>
    <row r="308" customFormat="1" ht="16.05" customHeight="1"/>
    <row r="309" customFormat="1" ht="16.05" customHeight="1"/>
    <row r="310" customFormat="1" ht="16.05" customHeight="1"/>
    <row r="311" customFormat="1" ht="16.05" customHeight="1"/>
    <row r="312" customFormat="1" ht="16.05" customHeight="1"/>
    <row r="313" customFormat="1" ht="16.05" customHeight="1"/>
    <row r="314" customFormat="1" ht="16.05" customHeight="1"/>
    <row r="315" customFormat="1" ht="16.05" customHeight="1"/>
    <row r="316" customFormat="1" ht="16.05" customHeight="1"/>
    <row r="317" customFormat="1" ht="16.05" customHeight="1"/>
    <row r="318" customFormat="1" ht="16.05" customHeight="1"/>
    <row r="319" customFormat="1" ht="16.05" customHeight="1"/>
    <row r="320" customFormat="1" ht="16.05" customHeight="1"/>
    <row r="321" customFormat="1" ht="16.05" customHeight="1"/>
    <row r="322" customFormat="1" ht="16.05" customHeight="1"/>
    <row r="323" customFormat="1" ht="16.05" customHeight="1"/>
    <row r="324" customFormat="1" ht="16.05" customHeight="1"/>
    <row r="325" customFormat="1" ht="16.05" customHeight="1"/>
    <row r="326" customFormat="1" ht="16.05" customHeight="1"/>
    <row r="327" customFormat="1" ht="16.05" customHeight="1"/>
    <row r="328" customFormat="1" ht="16.05" customHeight="1"/>
    <row r="329" customFormat="1" ht="16.05" customHeight="1"/>
    <row r="330" customFormat="1" ht="16.05" customHeight="1"/>
    <row r="331" customFormat="1" ht="16.05" customHeight="1"/>
    <row r="332" customFormat="1" ht="16.05" customHeight="1"/>
    <row r="333" customFormat="1" ht="16.05" customHeight="1"/>
    <row r="334" customFormat="1" ht="16.05" customHeight="1"/>
    <row r="335" customFormat="1" ht="16.05" customHeight="1"/>
    <row r="336" customFormat="1" ht="16.05" customHeight="1"/>
    <row r="337" customFormat="1" ht="16.05" customHeight="1"/>
    <row r="338" customFormat="1" ht="16.05" customHeight="1"/>
    <row r="339" customFormat="1" ht="16.05" customHeight="1"/>
    <row r="340" customFormat="1" ht="16.05" customHeight="1"/>
    <row r="341" customFormat="1" ht="16.05" customHeight="1"/>
    <row r="342" customFormat="1" ht="16.05" customHeight="1"/>
    <row r="343" customFormat="1" ht="16.05" customHeight="1"/>
    <row r="344" customFormat="1" ht="16.05" customHeight="1"/>
    <row r="345" customFormat="1" ht="16.05" customHeight="1"/>
    <row r="346" customFormat="1" ht="16.05" customHeight="1"/>
    <row r="347" customFormat="1" ht="16.05" customHeight="1"/>
    <row r="348" customFormat="1" ht="16.05" customHeight="1"/>
    <row r="349" customFormat="1" ht="16.05" customHeight="1"/>
    <row r="350" customFormat="1" ht="16.05" customHeight="1"/>
    <row r="351" customFormat="1" ht="16.05" customHeight="1"/>
    <row r="352" customFormat="1" ht="16.05" customHeight="1"/>
    <row r="353" customFormat="1" ht="16.05" customHeight="1"/>
    <row r="354" customFormat="1" ht="16.05" customHeight="1"/>
    <row r="355" customFormat="1" ht="16.05" customHeight="1"/>
    <row r="356" customFormat="1" ht="16.05" customHeight="1"/>
    <row r="357" customFormat="1" ht="16.05" customHeight="1"/>
    <row r="358" customFormat="1" ht="16.05" customHeight="1"/>
    <row r="359" customFormat="1" ht="16.05" customHeight="1"/>
    <row r="360" customFormat="1" ht="16.05" customHeight="1"/>
    <row r="361" customFormat="1" ht="16.05" customHeight="1"/>
    <row r="362" customFormat="1" ht="16.05" customHeight="1"/>
    <row r="363" customFormat="1" ht="16.05" customHeight="1"/>
    <row r="364" customFormat="1" ht="16.05" customHeight="1"/>
    <row r="365" customFormat="1" ht="16.05" customHeight="1"/>
    <row r="366" customFormat="1" ht="16.05" customHeight="1"/>
    <row r="367" customFormat="1" ht="16.05" customHeight="1"/>
    <row r="368" customFormat="1" ht="16.05" customHeight="1"/>
    <row r="369" customFormat="1" ht="16.05" customHeight="1"/>
    <row r="370" customFormat="1" ht="16.05" customHeight="1"/>
    <row r="371" customFormat="1" ht="16.05" customHeight="1"/>
    <row r="372" customFormat="1" ht="16.05" customHeight="1"/>
    <row r="373" customFormat="1" ht="16.05" customHeight="1"/>
    <row r="374" customFormat="1" ht="16.05" customHeight="1"/>
    <row r="375" customFormat="1" ht="16.05" customHeight="1"/>
    <row r="376" customFormat="1" ht="16.05" customHeight="1"/>
    <row r="377" customFormat="1" ht="16.05" customHeight="1"/>
    <row r="378" customFormat="1" ht="16.05" customHeight="1"/>
    <row r="379" customFormat="1" ht="16.05" customHeight="1"/>
    <row r="380" customFormat="1" ht="16.05" customHeight="1"/>
    <row r="381" customFormat="1" ht="16.05" customHeight="1"/>
    <row r="382" customFormat="1" ht="16.05" customHeight="1"/>
    <row r="383" customFormat="1" ht="16.05" customHeight="1"/>
    <row r="384" customFormat="1" ht="16.05" customHeight="1"/>
    <row r="385" customFormat="1" ht="16.05" customHeight="1"/>
    <row r="386" customFormat="1" ht="16.05" customHeight="1"/>
    <row r="387" customFormat="1" ht="16.05" customHeight="1"/>
    <row r="388" customFormat="1" ht="16.05" customHeight="1"/>
    <row r="389" customFormat="1" ht="16.05" customHeight="1"/>
    <row r="390" customFormat="1" ht="16.05" customHeight="1"/>
    <row r="391" customFormat="1" ht="16.05" customHeight="1"/>
    <row r="392" customFormat="1" ht="16.05" customHeight="1"/>
    <row r="393" customFormat="1" ht="16.05" customHeight="1"/>
    <row r="394" customFormat="1" ht="16.05" customHeight="1"/>
    <row r="395" customFormat="1" ht="16.05" customHeight="1"/>
    <row r="396" customFormat="1" ht="16.05" customHeight="1"/>
    <row r="397" customFormat="1" ht="16.05" customHeight="1"/>
    <row r="398" customFormat="1" ht="16.05" customHeight="1"/>
    <row r="399" customFormat="1" ht="16.05" customHeight="1"/>
    <row r="400" customFormat="1" ht="16.05" customHeight="1"/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AD48:AE101">
    <sortCondition ref="AD48:AD101"/>
  </sortState>
  <mergeCells count="4">
    <mergeCell ref="R107:AB107"/>
    <mergeCell ref="R123:V123"/>
    <mergeCell ref="AE1:AF1"/>
    <mergeCell ref="R1:AB1"/>
  </mergeCells>
  <conditionalFormatting sqref="A2:B2 D2:E2 G2:H2 J2:K2 M2:N2 A16:B16 A26:B26 D14:E14 G17:H17 J14:K14 M14:N14 D29:E29 J25:K25 AQ28:AQ31">
    <cfRule type="colorScale" priority="13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4">
      <colorScale>
        <cfvo type="num" val="5"/>
        <cfvo type="num" val="10"/>
        <color rgb="FFFF494D"/>
        <color rgb="FF00FF66"/>
      </colorScale>
    </cfRule>
  </conditionalFormatting>
  <conditionalFormatting sqref="B3:B14">
    <cfRule type="containsBlanks" dxfId="705" priority="924" stopIfTrue="1">
      <formula>LEN(TRIM(B3))=0</formula>
    </cfRule>
    <cfRule type="cellIs" dxfId="704" priority="921" stopIfTrue="1" operator="between">
      <formula>8</formula>
      <formula>8.9</formula>
    </cfRule>
    <cfRule type="cellIs" dxfId="703" priority="922" operator="between">
      <formula>9</formula>
      <formula>9.9</formula>
    </cfRule>
    <cfRule type="cellIs" dxfId="702" priority="923" stopIfTrue="1" operator="between">
      <formula>10</formula>
      <formula>10</formula>
    </cfRule>
    <cfRule type="cellIs" dxfId="701" priority="920" operator="between">
      <formula>7</formula>
      <formula>7.9</formula>
    </cfRule>
    <cfRule type="cellIs" dxfId="700" priority="882" operator="between">
      <formula>10.1</formula>
      <formula>10.6</formula>
    </cfRule>
  </conditionalFormatting>
  <conditionalFormatting sqref="B17:B24">
    <cfRule type="cellIs" dxfId="699" priority="858" operator="between">
      <formula>10.1</formula>
      <formula>10.6</formula>
    </cfRule>
    <cfRule type="cellIs" dxfId="698" priority="859" operator="between">
      <formula>7</formula>
      <formula>7.9</formula>
    </cfRule>
    <cfRule type="cellIs" dxfId="697" priority="860" stopIfTrue="1" operator="between">
      <formula>8</formula>
      <formula>8.9</formula>
    </cfRule>
    <cfRule type="containsBlanks" dxfId="696" priority="863" stopIfTrue="1">
      <formula>LEN(TRIM(B17))=0</formula>
    </cfRule>
    <cfRule type="cellIs" dxfId="695" priority="862" stopIfTrue="1" operator="between">
      <formula>10</formula>
      <formula>10</formula>
    </cfRule>
    <cfRule type="cellIs" dxfId="694" priority="861" operator="between">
      <formula>9</formula>
      <formula>9.9</formula>
    </cfRule>
  </conditionalFormatting>
  <conditionalFormatting sqref="B27:B31">
    <cfRule type="cellIs" dxfId="693" priority="852" operator="between">
      <formula>10.1</formula>
      <formula>10.6</formula>
    </cfRule>
    <cfRule type="containsBlanks" dxfId="692" priority="857" stopIfTrue="1">
      <formula>LEN(TRIM(B27))=0</formula>
    </cfRule>
    <cfRule type="cellIs" dxfId="691" priority="856" stopIfTrue="1" operator="between">
      <formula>10</formula>
      <formula>10</formula>
    </cfRule>
    <cfRule type="cellIs" dxfId="690" priority="855" operator="between">
      <formula>9</formula>
      <formula>9.9</formula>
    </cfRule>
    <cfRule type="cellIs" dxfId="689" priority="854" stopIfTrue="1" operator="between">
      <formula>8</formula>
      <formula>8.9</formula>
    </cfRule>
    <cfRule type="cellIs" dxfId="688" priority="853" operator="between">
      <formula>7</formula>
      <formula>7.9</formula>
    </cfRule>
  </conditionalFormatting>
  <conditionalFormatting sqref="B33">
    <cfRule type="colorScale" priority="1255">
      <colorScale>
        <cfvo type="num" val="5"/>
        <cfvo type="num" val="10"/>
        <color rgb="FFFF494D"/>
        <color rgb="FF00FF66"/>
      </colorScale>
    </cfRule>
    <cfRule type="colorScale" priority="12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687" priority="848" stopIfTrue="1" operator="between">
      <formula>8</formula>
      <formula>8.9</formula>
    </cfRule>
    <cfRule type="cellIs" dxfId="686" priority="850" stopIfTrue="1" operator="between">
      <formula>10</formula>
      <formula>10</formula>
    </cfRule>
    <cfRule type="containsBlanks" dxfId="685" priority="851" stopIfTrue="1">
      <formula>LEN(TRIM(B34))=0</formula>
    </cfRule>
    <cfRule type="cellIs" dxfId="684" priority="849" operator="between">
      <formula>9</formula>
      <formula>9.9</formula>
    </cfRule>
    <cfRule type="cellIs" dxfId="683" priority="846" operator="between">
      <formula>10.1</formula>
      <formula>10.6</formula>
    </cfRule>
    <cfRule type="cellIs" dxfId="682" priority="847" operator="between">
      <formula>7</formula>
      <formula>7.9</formula>
    </cfRule>
  </conditionalFormatting>
  <conditionalFormatting sqref="B47">
    <cfRule type="colorScale" priority="9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1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681" priority="820" stopIfTrue="1" operator="between">
      <formula>10</formula>
      <formula>10</formula>
    </cfRule>
    <cfRule type="cellIs" dxfId="680" priority="819" operator="between">
      <formula>9</formula>
      <formula>9.9</formula>
    </cfRule>
    <cfRule type="cellIs" dxfId="679" priority="818" stopIfTrue="1" operator="between">
      <formula>8</formula>
      <formula>8.9</formula>
    </cfRule>
    <cfRule type="cellIs" dxfId="678" priority="817" operator="between">
      <formula>7</formula>
      <formula>7.9</formula>
    </cfRule>
    <cfRule type="containsBlanks" dxfId="677" priority="821" stopIfTrue="1">
      <formula>LEN(TRIM(B48))=0</formula>
    </cfRule>
    <cfRule type="cellIs" dxfId="676" priority="816" operator="between">
      <formula>10.1</formula>
      <formula>10.6</formula>
    </cfRule>
  </conditionalFormatting>
  <conditionalFormatting sqref="B59">
    <cfRule type="colorScale" priority="801">
      <colorScale>
        <cfvo type="num" val="5"/>
        <cfvo type="num" val="10"/>
        <color rgb="FFFF494D"/>
        <color rgb="FF00FF66"/>
      </colorScale>
    </cfRule>
    <cfRule type="colorScale" priority="8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675" priority="796" stopIfTrue="1" operator="between">
      <formula>8</formula>
      <formula>8.9</formula>
    </cfRule>
    <cfRule type="cellIs" dxfId="674" priority="797" operator="between">
      <formula>9</formula>
      <formula>9.9</formula>
    </cfRule>
    <cfRule type="cellIs" dxfId="673" priority="798" stopIfTrue="1" operator="between">
      <formula>10</formula>
      <formula>10</formula>
    </cfRule>
    <cfRule type="containsBlanks" dxfId="672" priority="799" stopIfTrue="1">
      <formula>LEN(TRIM(B60))=0</formula>
    </cfRule>
    <cfRule type="cellIs" dxfId="671" priority="794" operator="between">
      <formula>10.1</formula>
      <formula>10.6</formula>
    </cfRule>
    <cfRule type="cellIs" dxfId="670" priority="795" operator="between">
      <formula>7</formula>
      <formula>7.9</formula>
    </cfRule>
  </conditionalFormatting>
  <conditionalFormatting sqref="B70"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8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669" priority="710" stopIfTrue="1" operator="between">
      <formula>8</formula>
      <formula>8.9</formula>
    </cfRule>
    <cfRule type="cellIs" dxfId="668" priority="711" operator="between">
      <formula>9</formula>
      <formula>9.9</formula>
    </cfRule>
    <cfRule type="cellIs" dxfId="667" priority="708" operator="between">
      <formula>10.1</formula>
      <formula>10.6</formula>
    </cfRule>
    <cfRule type="cellIs" dxfId="666" priority="712" stopIfTrue="1" operator="between">
      <formula>10</formula>
      <formula>10</formula>
    </cfRule>
    <cfRule type="containsBlanks" dxfId="665" priority="713" stopIfTrue="1">
      <formula>LEN(TRIM(B71))=0</formula>
    </cfRule>
    <cfRule type="cellIs" dxfId="664" priority="709" operator="between">
      <formula>7</formula>
      <formula>7.9</formula>
    </cfRule>
  </conditionalFormatting>
  <conditionalFormatting sqref="B73">
    <cfRule type="cellIs" dxfId="663" priority="707" operator="between">
      <formula>6</formula>
      <formula>6.9</formula>
    </cfRule>
  </conditionalFormatting>
  <conditionalFormatting sqref="B79">
    <cfRule type="colorScale" priority="691">
      <colorScale>
        <cfvo type="num" val="5"/>
        <cfvo type="num" val="10"/>
        <color rgb="FFFF494D"/>
        <color rgb="FF00FF66"/>
      </colorScale>
    </cfRule>
    <cfRule type="colorScale" priority="6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ontainsBlanks" dxfId="662" priority="689" stopIfTrue="1">
      <formula>LEN(TRIM(B80))=0</formula>
    </cfRule>
    <cfRule type="cellIs" dxfId="661" priority="688" stopIfTrue="1" operator="between">
      <formula>10</formula>
      <formula>10</formula>
    </cfRule>
    <cfRule type="cellIs" dxfId="660" priority="686" stopIfTrue="1" operator="between">
      <formula>8</formula>
      <formula>8.9</formula>
    </cfRule>
    <cfRule type="cellIs" dxfId="659" priority="685" operator="between">
      <formula>7</formula>
      <formula>7.9</formula>
    </cfRule>
    <cfRule type="cellIs" dxfId="658" priority="684" operator="between">
      <formula>10.1</formula>
      <formula>10.6</formula>
    </cfRule>
    <cfRule type="cellIs" dxfId="657" priority="687" operator="between">
      <formula>9</formula>
      <formula>9.9</formula>
    </cfRule>
  </conditionalFormatting>
  <conditionalFormatting sqref="B93">
    <cfRule type="colorScale" priority="6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4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656" priority="637" operator="between">
      <formula>10.1</formula>
      <formula>10.6</formula>
    </cfRule>
    <cfRule type="cellIs" dxfId="655" priority="638" operator="between">
      <formula>7</formula>
      <formula>7.9</formula>
    </cfRule>
    <cfRule type="containsBlanks" dxfId="654" priority="642" stopIfTrue="1">
      <formula>LEN(TRIM(B94))=0</formula>
    </cfRule>
    <cfRule type="cellIs" dxfId="653" priority="640" operator="between">
      <formula>9</formula>
      <formula>9.9</formula>
    </cfRule>
    <cfRule type="cellIs" dxfId="652" priority="641" stopIfTrue="1" operator="between">
      <formula>10</formula>
      <formula>10</formula>
    </cfRule>
    <cfRule type="cellIs" dxfId="651" priority="639" stopIfTrue="1" operator="between">
      <formula>8</formula>
      <formula>8.9</formula>
    </cfRule>
  </conditionalFormatting>
  <conditionalFormatting sqref="B103">
    <cfRule type="colorScale" priority="5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5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650" priority="588" operator="between">
      <formula>10.1</formula>
      <formula>10.6</formula>
    </cfRule>
    <cfRule type="containsBlanks" dxfId="649" priority="593" stopIfTrue="1">
      <formula>LEN(TRIM(B104))=0</formula>
    </cfRule>
    <cfRule type="cellIs" dxfId="648" priority="592" stopIfTrue="1" operator="between">
      <formula>10</formula>
      <formula>10</formula>
    </cfRule>
    <cfRule type="cellIs" dxfId="647" priority="591" operator="between">
      <formula>9</formula>
      <formula>9.9</formula>
    </cfRule>
    <cfRule type="cellIs" dxfId="646" priority="590" stopIfTrue="1" operator="between">
      <formula>8</formula>
      <formula>8.9</formula>
    </cfRule>
    <cfRule type="cellIs" dxfId="645" priority="589" operator="between">
      <formula>7</formula>
      <formula>7.9</formula>
    </cfRule>
  </conditionalFormatting>
  <conditionalFormatting sqref="B114">
    <cfRule type="colorScale" priority="5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6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644" priority="547" stopIfTrue="1" operator="between">
      <formula>10</formula>
      <formula>10</formula>
    </cfRule>
    <cfRule type="cellIs" dxfId="643" priority="542" operator="between">
      <formula>6</formula>
      <formula>6.9</formula>
    </cfRule>
    <cfRule type="cellIs" dxfId="642" priority="543" operator="between">
      <formula>10.1</formula>
      <formula>10.6</formula>
    </cfRule>
    <cfRule type="cellIs" dxfId="641" priority="544" operator="between">
      <formula>7</formula>
      <formula>7.9</formula>
    </cfRule>
    <cfRule type="cellIs" dxfId="640" priority="545" stopIfTrue="1" operator="between">
      <formula>8</formula>
      <formula>8.9</formula>
    </cfRule>
    <cfRule type="containsBlanks" dxfId="639" priority="548" stopIfTrue="1">
      <formula>LEN(TRIM(B115))=0</formula>
    </cfRule>
    <cfRule type="cellIs" dxfId="638" priority="546" operator="between">
      <formula>9</formula>
      <formula>9.9</formula>
    </cfRule>
  </conditionalFormatting>
  <conditionalFormatting sqref="B134">
    <cfRule type="colorScale" priority="4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3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ontainsBlanks" dxfId="637" priority="471" stopIfTrue="1">
      <formula>LEN(TRIM(B135))=0</formula>
    </cfRule>
    <cfRule type="cellIs" dxfId="636" priority="470" stopIfTrue="1" operator="between">
      <formula>10</formula>
      <formula>10</formula>
    </cfRule>
    <cfRule type="cellIs" dxfId="635" priority="469" operator="between">
      <formula>9</formula>
      <formula>9.9</formula>
    </cfRule>
    <cfRule type="cellIs" dxfId="634" priority="468" stopIfTrue="1" operator="between">
      <formula>8</formula>
      <formula>8.9</formula>
    </cfRule>
    <cfRule type="cellIs" dxfId="633" priority="467" operator="between">
      <formula>7</formula>
      <formula>7.9</formula>
    </cfRule>
    <cfRule type="cellIs" dxfId="632" priority="466" operator="between">
      <formula>10.1</formula>
      <formula>10.6</formula>
    </cfRule>
    <cfRule type="cellIs" dxfId="631" priority="465" operator="between">
      <formula>6</formula>
      <formula>6.9</formula>
    </cfRule>
  </conditionalFormatting>
  <conditionalFormatting sqref="B145">
    <cfRule type="colorScale" priority="428">
      <colorScale>
        <cfvo type="num" val="5"/>
        <cfvo type="num" val="10"/>
        <color rgb="FFFF494D"/>
        <color rgb="FF00FF66"/>
      </colorScale>
    </cfRule>
    <cfRule type="colorScale" priority="4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630" priority="420" operator="between">
      <formula>6</formula>
      <formula>6.9</formula>
    </cfRule>
    <cfRule type="cellIs" dxfId="629" priority="421" operator="between">
      <formula>10.1</formula>
      <formula>10.6</formula>
    </cfRule>
    <cfRule type="cellIs" dxfId="628" priority="422" operator="between">
      <formula>7</formula>
      <formula>7.9</formula>
    </cfRule>
    <cfRule type="cellIs" dxfId="627" priority="423" stopIfTrue="1" operator="between">
      <formula>8</formula>
      <formula>8.9</formula>
    </cfRule>
    <cfRule type="cellIs" dxfId="626" priority="424" operator="between">
      <formula>9</formula>
      <formula>9.9</formula>
    </cfRule>
    <cfRule type="cellIs" dxfId="625" priority="425" stopIfTrue="1" operator="between">
      <formula>10</formula>
      <formula>10</formula>
    </cfRule>
    <cfRule type="containsBlanks" dxfId="624" priority="426" stopIfTrue="1">
      <formula>LEN(TRIM(B146))=0</formula>
    </cfRule>
  </conditionalFormatting>
  <conditionalFormatting sqref="B162">
    <cfRule type="colorScale" priority="3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8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623" priority="364" stopIfTrue="1" operator="between">
      <formula>10</formula>
      <formula>10</formula>
    </cfRule>
    <cfRule type="cellIs" dxfId="622" priority="362" stopIfTrue="1" operator="between">
      <formula>8</formula>
      <formula>8.9</formula>
    </cfRule>
    <cfRule type="cellIs" dxfId="621" priority="361" operator="between">
      <formula>7</formula>
      <formula>7.9</formula>
    </cfRule>
    <cfRule type="cellIs" dxfId="620" priority="359" operator="between">
      <formula>6</formula>
      <formula>6.9</formula>
    </cfRule>
    <cfRule type="cellIs" dxfId="619" priority="363" operator="between">
      <formula>9</formula>
      <formula>9.9</formula>
    </cfRule>
    <cfRule type="cellIs" dxfId="618" priority="360" operator="between">
      <formula>10.1</formula>
      <formula>10.6</formula>
    </cfRule>
    <cfRule type="containsBlanks" dxfId="617" priority="365" stopIfTrue="1">
      <formula>LEN(TRIM(B163))=0</formula>
    </cfRule>
  </conditionalFormatting>
  <conditionalFormatting sqref="B172">
    <cfRule type="colorScale" priority="3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9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616" priority="323" operator="between">
      <formula>7</formula>
      <formula>7.9</formula>
    </cfRule>
    <cfRule type="cellIs" dxfId="615" priority="322" operator="between">
      <formula>10.1</formula>
      <formula>10.6</formula>
    </cfRule>
    <cfRule type="cellIs" dxfId="614" priority="321" operator="between">
      <formula>6</formula>
      <formula>6.9</formula>
    </cfRule>
    <cfRule type="containsBlanks" dxfId="613" priority="327" stopIfTrue="1">
      <formula>LEN(TRIM(B173))=0</formula>
    </cfRule>
    <cfRule type="cellIs" dxfId="612" priority="324" stopIfTrue="1" operator="between">
      <formula>8</formula>
      <formula>8.9</formula>
    </cfRule>
    <cfRule type="cellIs" dxfId="611" priority="326" stopIfTrue="1" operator="between">
      <formula>10</formula>
      <formula>10</formula>
    </cfRule>
    <cfRule type="cellIs" dxfId="610" priority="325" operator="between">
      <formula>9</formula>
      <formula>9.9</formula>
    </cfRule>
  </conditionalFormatting>
  <conditionalFormatting sqref="B185">
    <cfRule type="colorScale" priority="291">
      <colorScale>
        <cfvo type="num" val="5"/>
        <cfvo type="num" val="10"/>
        <color rgb="FFFF494D"/>
        <color rgb="FF00FF66"/>
      </colorScale>
    </cfRule>
    <cfRule type="colorScale" priority="2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609" priority="285" operator="between">
      <formula>7</formula>
      <formula>7.9</formula>
    </cfRule>
    <cfRule type="cellIs" dxfId="608" priority="286" stopIfTrue="1" operator="between">
      <formula>8</formula>
      <formula>8.9</formula>
    </cfRule>
    <cfRule type="cellIs" dxfId="607" priority="284" operator="between">
      <formula>10.1</formula>
      <formula>10.6</formula>
    </cfRule>
    <cfRule type="cellIs" dxfId="606" priority="283" operator="between">
      <formula>6</formula>
      <formula>6.9</formula>
    </cfRule>
    <cfRule type="containsBlanks" dxfId="605" priority="289" stopIfTrue="1">
      <formula>LEN(TRIM(B186))=0</formula>
    </cfRule>
    <cfRule type="cellIs" dxfId="604" priority="288" stopIfTrue="1" operator="between">
      <formula>10</formula>
      <formula>10</formula>
    </cfRule>
    <cfRule type="cellIs" dxfId="603" priority="287" operator="between">
      <formula>9</formula>
      <formula>9.9</formula>
    </cfRule>
  </conditionalFormatting>
  <conditionalFormatting sqref="B196">
    <cfRule type="colorScale" priority="233">
      <colorScale>
        <cfvo type="num" val="5"/>
        <cfvo type="num" val="10"/>
        <color rgb="FFFF494D"/>
        <color rgb="FF00FF66"/>
      </colorScale>
    </cfRule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602" priority="236" operator="between">
      <formula>7</formula>
      <formula>7.9</formula>
    </cfRule>
    <cfRule type="cellIs" dxfId="601" priority="238" operator="between">
      <formula>9</formula>
      <formula>9.9</formula>
    </cfRule>
    <cfRule type="containsBlanks" dxfId="600" priority="240" stopIfTrue="1">
      <formula>LEN(TRIM(B197))=0</formula>
    </cfRule>
    <cfRule type="cellIs" dxfId="599" priority="239" stopIfTrue="1" operator="between">
      <formula>10</formula>
      <formula>10</formula>
    </cfRule>
    <cfRule type="cellIs" dxfId="598" priority="234" operator="between">
      <formula>6</formula>
      <formula>6.9</formula>
    </cfRule>
    <cfRule type="cellIs" dxfId="597" priority="235" operator="between">
      <formula>10.1</formula>
      <formula>10.6</formula>
    </cfRule>
    <cfRule type="cellIs" dxfId="596" priority="237" stopIfTrue="1" operator="between">
      <formula>8</formula>
      <formula>8.9</formula>
    </cfRule>
  </conditionalFormatting>
  <conditionalFormatting sqref="B213">
    <cfRule type="colorScale" priority="1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595" priority="163" stopIfTrue="1" operator="between">
      <formula>10</formula>
      <formula>10</formula>
    </cfRule>
    <cfRule type="cellIs" dxfId="594" priority="161" stopIfTrue="1" operator="between">
      <formula>8</formula>
      <formula>8.9</formula>
    </cfRule>
    <cfRule type="cellIs" dxfId="593" priority="162" operator="between">
      <formula>9</formula>
      <formula>9.9</formula>
    </cfRule>
    <cfRule type="cellIs" dxfId="592" priority="158" operator="between">
      <formula>6</formula>
      <formula>6.9</formula>
    </cfRule>
    <cfRule type="containsBlanks" dxfId="591" priority="164" stopIfTrue="1">
      <formula>LEN(TRIM(B214))=0</formula>
    </cfRule>
    <cfRule type="cellIs" dxfId="590" priority="160" operator="between">
      <formula>7</formula>
      <formula>7.9</formula>
    </cfRule>
    <cfRule type="cellIs" dxfId="589" priority="159" operator="between">
      <formula>10.1</formula>
      <formula>10.6</formula>
    </cfRule>
  </conditionalFormatting>
  <conditionalFormatting sqref="B226">
    <cfRule type="colorScale" priority="139">
      <colorScale>
        <cfvo type="num" val="5"/>
        <cfvo type="num" val="10"/>
        <color rgb="FFFF494D"/>
        <color rgb="FF00FF66"/>
      </colorScale>
    </cfRule>
    <cfRule type="colorScale" priority="1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ontainsBlanks" dxfId="588" priority="101" stopIfTrue="1">
      <formula>LEN(TRIM(B236))=0</formula>
    </cfRule>
    <cfRule type="cellIs" dxfId="587" priority="97" operator="between">
      <formula>7</formula>
      <formula>7.9</formula>
    </cfRule>
    <cfRule type="cellIs" dxfId="586" priority="98" stopIfTrue="1" operator="between">
      <formula>8</formula>
      <formula>8.9</formula>
    </cfRule>
    <cfRule type="cellIs" dxfId="585" priority="99" operator="between">
      <formula>9</formula>
      <formula>9.9</formula>
    </cfRule>
    <cfRule type="cellIs" dxfId="584" priority="100" stopIfTrue="1" operator="between">
      <formula>10</formula>
      <formula>10</formula>
    </cfRule>
    <cfRule type="cellIs" dxfId="583" priority="96" operator="between">
      <formula>10.1</formula>
      <formula>10.6</formula>
    </cfRule>
    <cfRule type="cellIs" dxfId="582" priority="95" operator="between">
      <formula>6</formula>
      <formula>6.9</formula>
    </cfRule>
  </conditionalFormatting>
  <conditionalFormatting sqref="B246">
    <cfRule type="colorScale" priority="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581" priority="55" stopIfTrue="1" operator="between">
      <formula>10</formula>
      <formula>10</formula>
    </cfRule>
    <cfRule type="cellIs" dxfId="580" priority="50" operator="between">
      <formula>6</formula>
      <formula>6.9</formula>
    </cfRule>
    <cfRule type="cellIs" dxfId="579" priority="51" operator="between">
      <formula>10.1</formula>
      <formula>10.6</formula>
    </cfRule>
    <cfRule type="cellIs" dxfId="578" priority="52" operator="between">
      <formula>7</formula>
      <formula>7.9</formula>
    </cfRule>
    <cfRule type="cellIs" dxfId="577" priority="53" stopIfTrue="1" operator="between">
      <formula>8</formula>
      <formula>8.9</formula>
    </cfRule>
    <cfRule type="cellIs" dxfId="576" priority="54" operator="between">
      <formula>9</formula>
      <formula>9.9</formula>
    </cfRule>
    <cfRule type="containsBlanks" dxfId="575" priority="56" stopIfTrue="1">
      <formula>LEN(TRIM(B247))=0</formula>
    </cfRule>
  </conditionalFormatting>
  <conditionalFormatting sqref="B260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574" priority="12" operator="between">
      <formula>6</formula>
      <formula>6.9</formula>
    </cfRule>
    <cfRule type="cellIs" dxfId="573" priority="13" operator="between">
      <formula>10.1</formula>
      <formula>10.6</formula>
    </cfRule>
    <cfRule type="cellIs" dxfId="572" priority="14" operator="between">
      <formula>7</formula>
      <formula>7.9</formula>
    </cfRule>
    <cfRule type="cellIs" dxfId="571" priority="15" stopIfTrue="1" operator="between">
      <formula>8</formula>
      <formula>8.9</formula>
    </cfRule>
    <cfRule type="cellIs" dxfId="570" priority="16" operator="between">
      <formula>9</formula>
      <formula>9.9</formula>
    </cfRule>
    <cfRule type="cellIs" dxfId="569" priority="17" stopIfTrue="1" operator="between">
      <formula>10</formula>
      <formula>10</formula>
    </cfRule>
    <cfRule type="containsBlanks" dxfId="568" priority="18" stopIfTrue="1">
      <formula>LEN(TRIM(B261))=0</formula>
    </cfRule>
  </conditionalFormatting>
  <conditionalFormatting sqref="E3:E12">
    <cfRule type="cellIs" dxfId="567" priority="877" operator="between">
      <formula>7</formula>
      <formula>7.9</formula>
    </cfRule>
    <cfRule type="cellIs" dxfId="566" priority="879" operator="between">
      <formula>9</formula>
      <formula>9.9</formula>
    </cfRule>
    <cfRule type="containsBlanks" dxfId="565" priority="881" stopIfTrue="1">
      <formula>LEN(TRIM(E3))=0</formula>
    </cfRule>
    <cfRule type="cellIs" dxfId="564" priority="880" stopIfTrue="1" operator="between">
      <formula>10</formula>
      <formula>10</formula>
    </cfRule>
    <cfRule type="cellIs" dxfId="563" priority="876" operator="between">
      <formula>10.1</formula>
      <formula>10.6</formula>
    </cfRule>
    <cfRule type="cellIs" dxfId="562" priority="878" stopIfTrue="1" operator="between">
      <formula>8</formula>
      <formula>8.9</formula>
    </cfRule>
  </conditionalFormatting>
  <conditionalFormatting sqref="E15:E27">
    <cfRule type="cellIs" dxfId="561" priority="187" stopIfTrue="1" operator="between">
      <formula>8</formula>
      <formula>8.9</formula>
    </cfRule>
    <cfRule type="containsBlanks" dxfId="560" priority="190" stopIfTrue="1">
      <formula>LEN(TRIM(E15))=0</formula>
    </cfRule>
    <cfRule type="cellIs" dxfId="559" priority="189" stopIfTrue="1" operator="between">
      <formula>10</formula>
      <formula>10</formula>
    </cfRule>
    <cfRule type="cellIs" dxfId="558" priority="186" operator="between">
      <formula>7</formula>
      <formula>7.9</formula>
    </cfRule>
    <cfRule type="cellIs" dxfId="557" priority="188" operator="between">
      <formula>9</formula>
      <formula>9.9</formula>
    </cfRule>
  </conditionalFormatting>
  <conditionalFormatting sqref="E16">
    <cfRule type="cellIs" dxfId="556" priority="185" operator="between">
      <formula>10.1</formula>
      <formula>10.6</formula>
    </cfRule>
  </conditionalFormatting>
  <conditionalFormatting sqref="E30:E36">
    <cfRule type="cellIs" dxfId="555" priority="840" operator="between">
      <formula>10.1</formula>
      <formula>10.6</formula>
    </cfRule>
    <cfRule type="cellIs" dxfId="554" priority="841" operator="between">
      <formula>7</formula>
      <formula>7.9</formula>
    </cfRule>
    <cfRule type="cellIs" dxfId="553" priority="842" stopIfTrue="1" operator="between">
      <formula>8</formula>
      <formula>8.9</formula>
    </cfRule>
    <cfRule type="cellIs" dxfId="552" priority="844" stopIfTrue="1" operator="between">
      <formula>10</formula>
      <formula>10</formula>
    </cfRule>
    <cfRule type="containsBlanks" dxfId="551" priority="845" stopIfTrue="1">
      <formula>LEN(TRIM(E30))=0</formula>
    </cfRule>
    <cfRule type="cellIs" dxfId="550" priority="843" operator="between">
      <formula>9</formula>
      <formula>9.9</formula>
    </cfRule>
  </conditionalFormatting>
  <conditionalFormatting sqref="E38">
    <cfRule type="colorScale" priority="1241">
      <colorScale>
        <cfvo type="num" val="5"/>
        <cfvo type="num" val="10"/>
        <color rgb="FFFF494D"/>
        <color rgb="FF00FF66"/>
      </colorScale>
    </cfRule>
    <cfRule type="colorScale" priority="12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9:E51">
    <cfRule type="cellIs" dxfId="549" priority="955" stopIfTrue="1" operator="between">
      <formula>10</formula>
      <formula>10</formula>
    </cfRule>
    <cfRule type="cellIs" dxfId="548" priority="954" operator="between">
      <formula>9</formula>
      <formula>9.9</formula>
    </cfRule>
    <cfRule type="cellIs" dxfId="547" priority="953" stopIfTrue="1" operator="between">
      <formula>8</formula>
      <formula>8.9</formula>
    </cfRule>
    <cfRule type="cellIs" dxfId="546" priority="952" operator="between">
      <formula>7</formula>
      <formula>7.9</formula>
    </cfRule>
  </conditionalFormatting>
  <conditionalFormatting sqref="E53">
    <cfRule type="colorScale" priority="8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4">
      <colorScale>
        <cfvo type="num" val="5"/>
        <cfvo type="num" val="10"/>
        <color rgb="FFFF494D"/>
        <color rgb="FF00FF66"/>
      </colorScale>
    </cfRule>
  </conditionalFormatting>
  <conditionalFormatting sqref="E54:E62">
    <cfRule type="cellIs" dxfId="545" priority="822" operator="between">
      <formula>10.1</formula>
      <formula>10.6</formula>
    </cfRule>
    <cfRule type="cellIs" dxfId="544" priority="823" operator="between">
      <formula>7</formula>
      <formula>7.9</formula>
    </cfRule>
    <cfRule type="cellIs" dxfId="543" priority="824" stopIfTrue="1" operator="between">
      <formula>8</formula>
      <formula>8.9</formula>
    </cfRule>
    <cfRule type="cellIs" dxfId="542" priority="825" operator="between">
      <formula>9</formula>
      <formula>9.9</formula>
    </cfRule>
    <cfRule type="containsBlanks" dxfId="541" priority="827" stopIfTrue="1">
      <formula>LEN(TRIM(E54))=0</formula>
    </cfRule>
    <cfRule type="cellIs" dxfId="540" priority="826" stopIfTrue="1" operator="between">
      <formula>10</formula>
      <formula>10</formula>
    </cfRule>
  </conditionalFormatting>
  <conditionalFormatting sqref="E64">
    <cfRule type="colorScale" priority="754">
      <colorScale>
        <cfvo type="num" val="5"/>
        <cfvo type="num" val="10"/>
        <color rgb="FFFF494D"/>
        <color rgb="FF00FF66"/>
      </colorScale>
    </cfRule>
    <cfRule type="colorScale" priority="7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5:E77">
    <cfRule type="containsBlanks" dxfId="539" priority="760" stopIfTrue="1">
      <formula>LEN(TRIM(E65))=0</formula>
    </cfRule>
    <cfRule type="cellIs" dxfId="538" priority="759" stopIfTrue="1" operator="between">
      <formula>10</formula>
      <formula>10</formula>
    </cfRule>
    <cfRule type="cellIs" dxfId="537" priority="758" operator="between">
      <formula>9</formula>
      <formula>9.9</formula>
    </cfRule>
    <cfRule type="cellIs" dxfId="536" priority="757" stopIfTrue="1" operator="between">
      <formula>8</formula>
      <formula>8.9</formula>
    </cfRule>
    <cfRule type="cellIs" dxfId="535" priority="756" operator="between">
      <formula>7</formula>
      <formula>7.9</formula>
    </cfRule>
    <cfRule type="cellIs" dxfId="534" priority="755" operator="between">
      <formula>10.1</formula>
      <formula>10.6</formula>
    </cfRule>
  </conditionalFormatting>
  <conditionalFormatting sqref="E79">
    <cfRule type="colorScale" priority="6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3">
      <colorScale>
        <cfvo type="num" val="5"/>
        <cfvo type="num" val="10"/>
        <color rgb="FFFF494D"/>
        <color rgb="FF00FF66"/>
      </colorScale>
    </cfRule>
  </conditionalFormatting>
  <conditionalFormatting sqref="E80:E98">
    <cfRule type="containsBlanks" dxfId="533" priority="681" stopIfTrue="1">
      <formula>LEN(TRIM(E80))=0</formula>
    </cfRule>
    <cfRule type="cellIs" dxfId="532" priority="680" stopIfTrue="1" operator="between">
      <formula>10</formula>
      <formula>10</formula>
    </cfRule>
    <cfRule type="cellIs" dxfId="531" priority="679" operator="between">
      <formula>9</formula>
      <formula>9.9</formula>
    </cfRule>
    <cfRule type="cellIs" dxfId="530" priority="678" stopIfTrue="1" operator="between">
      <formula>8</formula>
      <formula>8.9</formula>
    </cfRule>
    <cfRule type="cellIs" dxfId="529" priority="677" operator="between">
      <formula>7</formula>
      <formula>7.9</formula>
    </cfRule>
    <cfRule type="cellIs" dxfId="528" priority="676" operator="between">
      <formula>10.1</formula>
      <formula>10.6</formula>
    </cfRule>
  </conditionalFormatting>
  <conditionalFormatting sqref="E100">
    <cfRule type="colorScale" priority="597">
      <colorScale>
        <cfvo type="num" val="5"/>
        <cfvo type="num" val="10"/>
        <color rgb="FFFF494D"/>
        <color rgb="FF00FF66"/>
      </colorScale>
    </cfRule>
    <cfRule type="colorScale" priority="5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1:E114">
    <cfRule type="cellIs" dxfId="527" priority="598" operator="between">
      <formula>10.1</formula>
      <formula>10.6</formula>
    </cfRule>
    <cfRule type="cellIs" dxfId="526" priority="602" stopIfTrue="1" operator="between">
      <formula>10</formula>
      <formula>10</formula>
    </cfRule>
    <cfRule type="cellIs" dxfId="525" priority="601" operator="between">
      <formula>9</formula>
      <formula>9.9</formula>
    </cfRule>
    <cfRule type="cellIs" dxfId="524" priority="600" stopIfTrue="1" operator="between">
      <formula>8</formula>
      <formula>8.9</formula>
    </cfRule>
    <cfRule type="containsBlanks" dxfId="523" priority="603" stopIfTrue="1">
      <formula>LEN(TRIM(E101))=0</formula>
    </cfRule>
    <cfRule type="cellIs" dxfId="522" priority="599" operator="between">
      <formula>7</formula>
      <formula>7.9</formula>
    </cfRule>
  </conditionalFormatting>
  <conditionalFormatting sqref="E116">
    <cfRule type="colorScale" priority="5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9">
      <colorScale>
        <cfvo type="num" val="5"/>
        <cfvo type="num" val="10"/>
        <color rgb="FFFF494D"/>
        <color rgb="FF00FF66"/>
      </colorScale>
    </cfRule>
  </conditionalFormatting>
  <conditionalFormatting sqref="E117:E125">
    <cfRule type="cellIs" dxfId="521" priority="531" operator="between">
      <formula>6</formula>
      <formula>6.9</formula>
    </cfRule>
    <cfRule type="cellIs" dxfId="520" priority="532" operator="between">
      <formula>10.1</formula>
      <formula>10.6</formula>
    </cfRule>
    <cfRule type="cellIs" dxfId="519" priority="533" operator="between">
      <formula>7</formula>
      <formula>7.9</formula>
    </cfRule>
    <cfRule type="cellIs" dxfId="518" priority="534" stopIfTrue="1" operator="between">
      <formula>8</formula>
      <formula>8.9</formula>
    </cfRule>
    <cfRule type="cellIs" dxfId="517" priority="535" operator="between">
      <formula>9</formula>
      <formula>9.9</formula>
    </cfRule>
    <cfRule type="containsBlanks" dxfId="516" priority="537" stopIfTrue="1">
      <formula>LEN(TRIM(E117))=0</formula>
    </cfRule>
    <cfRule type="cellIs" dxfId="515" priority="536" stopIfTrue="1" operator="between">
      <formula>10</formula>
      <formula>10</formula>
    </cfRule>
  </conditionalFormatting>
  <conditionalFormatting sqref="E127">
    <cfRule type="colorScale" priority="506">
      <colorScale>
        <cfvo type="num" val="5"/>
        <cfvo type="num" val="10"/>
        <color rgb="FFFF494D"/>
        <color rgb="FF00FF66"/>
      </colorScale>
    </cfRule>
    <cfRule type="colorScale" priority="5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8:E143">
    <cfRule type="cellIs" dxfId="514" priority="500" operator="between">
      <formula>7</formula>
      <formula>7.9</formula>
    </cfRule>
    <cfRule type="cellIs" dxfId="513" priority="503" stopIfTrue="1" operator="between">
      <formula>10</formula>
      <formula>10</formula>
    </cfRule>
    <cfRule type="cellIs" dxfId="512" priority="498" operator="between">
      <formula>6</formula>
      <formula>6.9</formula>
    </cfRule>
    <cfRule type="containsBlanks" dxfId="511" priority="504" stopIfTrue="1">
      <formula>LEN(TRIM(E128))=0</formula>
    </cfRule>
    <cfRule type="cellIs" dxfId="510" priority="502" operator="between">
      <formula>9</formula>
      <formula>9.9</formula>
    </cfRule>
    <cfRule type="cellIs" dxfId="509" priority="499" operator="between">
      <formula>10.1</formula>
      <formula>10.6</formula>
    </cfRule>
    <cfRule type="cellIs" dxfId="508" priority="501" stopIfTrue="1" operator="between">
      <formula>8</formula>
      <formula>8.9</formula>
    </cfRule>
  </conditionalFormatting>
  <conditionalFormatting sqref="E145">
    <cfRule type="colorScale" priority="419">
      <colorScale>
        <cfvo type="num" val="5"/>
        <cfvo type="num" val="10"/>
        <color rgb="FFFF494D"/>
        <color rgb="FF00FF66"/>
      </colorScale>
    </cfRule>
    <cfRule type="colorScale" priority="4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6:E158">
    <cfRule type="cellIs" dxfId="507" priority="416" stopIfTrue="1" operator="between">
      <formula>10</formula>
      <formula>10</formula>
    </cfRule>
    <cfRule type="cellIs" dxfId="506" priority="411" operator="between">
      <formula>6</formula>
      <formula>6.9</formula>
    </cfRule>
    <cfRule type="cellIs" dxfId="505" priority="412" operator="between">
      <formula>10.1</formula>
      <formula>10.6</formula>
    </cfRule>
    <cfRule type="cellIs" dxfId="504" priority="413" operator="between">
      <formula>7</formula>
      <formula>7.9</formula>
    </cfRule>
    <cfRule type="containsBlanks" dxfId="503" priority="417" stopIfTrue="1">
      <formula>LEN(TRIM(E146))=0</formula>
    </cfRule>
    <cfRule type="cellIs" dxfId="502" priority="414" stopIfTrue="1" operator="between">
      <formula>8</formula>
      <formula>8.9</formula>
    </cfRule>
    <cfRule type="cellIs" dxfId="501" priority="415" operator="between">
      <formula>9</formula>
      <formula>9.9</formula>
    </cfRule>
  </conditionalFormatting>
  <conditionalFormatting sqref="E160">
    <cfRule type="colorScale" priority="383">
      <colorScale>
        <cfvo type="num" val="5"/>
        <cfvo type="num" val="10"/>
        <color rgb="FFFF494D"/>
        <color rgb="FF00FF66"/>
      </colorScale>
    </cfRule>
    <cfRule type="colorScale" priority="3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1:E169">
    <cfRule type="containsBlanks" dxfId="500" priority="381" stopIfTrue="1">
      <formula>LEN(TRIM(E161))=0</formula>
    </cfRule>
    <cfRule type="cellIs" dxfId="499" priority="376" operator="between">
      <formula>10.1</formula>
      <formula>10.6</formula>
    </cfRule>
    <cfRule type="cellIs" dxfId="498" priority="377" operator="between">
      <formula>7</formula>
      <formula>7.9</formula>
    </cfRule>
    <cfRule type="cellIs" dxfId="497" priority="378" stopIfTrue="1" operator="between">
      <formula>8</formula>
      <formula>8.9</formula>
    </cfRule>
    <cfRule type="cellIs" dxfId="496" priority="375" operator="between">
      <formula>6</formula>
      <formula>6.9</formula>
    </cfRule>
    <cfRule type="cellIs" dxfId="495" priority="380" stopIfTrue="1" operator="between">
      <formula>10</formula>
      <formula>10</formula>
    </cfRule>
    <cfRule type="cellIs" dxfId="494" priority="379" operator="between">
      <formula>9</formula>
      <formula>9.9</formula>
    </cfRule>
  </conditionalFormatting>
  <conditionalFormatting sqref="E171">
    <cfRule type="colorScale" priority="338">
      <colorScale>
        <cfvo type="num" val="5"/>
        <cfvo type="num" val="10"/>
        <color rgb="FFFF494D"/>
        <color rgb="FF00FF66"/>
      </colorScale>
    </cfRule>
    <cfRule type="colorScale" priority="3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2:E183">
    <cfRule type="containsBlanks" dxfId="493" priority="336" stopIfTrue="1">
      <formula>LEN(TRIM(E172))=0</formula>
    </cfRule>
    <cfRule type="cellIs" dxfId="492" priority="334" operator="between">
      <formula>9</formula>
      <formula>9.9</formula>
    </cfRule>
    <cfRule type="cellIs" dxfId="491" priority="335" stopIfTrue="1" operator="between">
      <formula>10</formula>
      <formula>10</formula>
    </cfRule>
    <cfRule type="cellIs" dxfId="490" priority="330" operator="between">
      <formula>6</formula>
      <formula>6.9</formula>
    </cfRule>
    <cfRule type="cellIs" dxfId="489" priority="331" operator="between">
      <formula>10.1</formula>
      <formula>10.6</formula>
    </cfRule>
    <cfRule type="cellIs" dxfId="488" priority="332" operator="between">
      <formula>7</formula>
      <formula>7.9</formula>
    </cfRule>
    <cfRule type="cellIs" dxfId="487" priority="333" stopIfTrue="1" operator="between">
      <formula>8</formula>
      <formula>8.9</formula>
    </cfRule>
  </conditionalFormatting>
  <conditionalFormatting sqref="E185">
    <cfRule type="colorScale" priority="2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6">
      <colorScale>
        <cfvo type="num" val="5"/>
        <cfvo type="num" val="10"/>
        <color rgb="FFFF494D"/>
        <color rgb="FF00FF66"/>
      </colorScale>
    </cfRule>
  </conditionalFormatting>
  <conditionalFormatting sqref="E186:E198">
    <cfRule type="cellIs" dxfId="486" priority="271" stopIfTrue="1" operator="between">
      <formula>8</formula>
      <formula>8.9</formula>
    </cfRule>
    <cfRule type="cellIs" dxfId="485" priority="268" operator="between">
      <formula>6</formula>
      <formula>6.9</formula>
    </cfRule>
    <cfRule type="containsBlanks" dxfId="484" priority="274" stopIfTrue="1">
      <formula>LEN(TRIM(E186))=0</formula>
    </cfRule>
    <cfRule type="cellIs" dxfId="483" priority="273" stopIfTrue="1" operator="between">
      <formula>10</formula>
      <formula>10</formula>
    </cfRule>
    <cfRule type="cellIs" dxfId="482" priority="272" operator="between">
      <formula>9</formula>
      <formula>9.9</formula>
    </cfRule>
    <cfRule type="cellIs" dxfId="481" priority="269" operator="between">
      <formula>10.1</formula>
      <formula>10.6</formula>
    </cfRule>
    <cfRule type="cellIs" dxfId="480" priority="270" operator="between">
      <formula>7</formula>
      <formula>7.9</formula>
    </cfRule>
  </conditionalFormatting>
  <conditionalFormatting sqref="E200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E201:E210">
    <cfRule type="containsBlanks" dxfId="479" priority="220" stopIfTrue="1">
      <formula>LEN(TRIM(E201))=0</formula>
    </cfRule>
    <cfRule type="cellIs" dxfId="478" priority="217" stopIfTrue="1" operator="between">
      <formula>8</formula>
      <formula>8.9</formula>
    </cfRule>
    <cfRule type="cellIs" dxfId="477" priority="218" operator="between">
      <formula>9</formula>
      <formula>9.9</formula>
    </cfRule>
    <cfRule type="cellIs" dxfId="476" priority="214" operator="between">
      <formula>6</formula>
      <formula>6.9</formula>
    </cfRule>
    <cfRule type="cellIs" dxfId="475" priority="219" stopIfTrue="1" operator="between">
      <formula>10</formula>
      <formula>10</formula>
    </cfRule>
    <cfRule type="cellIs" dxfId="474" priority="215" operator="between">
      <formula>10.1</formula>
      <formula>11</formula>
    </cfRule>
    <cfRule type="cellIs" dxfId="473" priority="216" operator="between">
      <formula>7</formula>
      <formula>7.9</formula>
    </cfRule>
  </conditionalFormatting>
  <conditionalFormatting sqref="E212">
    <cfRule type="colorScale" priority="1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">
      <colorScale>
        <cfvo type="num" val="5"/>
        <cfvo type="num" val="10"/>
        <color rgb="FFFF494D"/>
        <color rgb="FF00FF66"/>
      </colorScale>
    </cfRule>
  </conditionalFormatting>
  <conditionalFormatting sqref="E213:E226">
    <cfRule type="containsBlanks" dxfId="472" priority="175" stopIfTrue="1">
      <formula>LEN(TRIM(E213))=0</formula>
    </cfRule>
    <cfRule type="cellIs" dxfId="471" priority="169" operator="between">
      <formula>6</formula>
      <formula>6.9</formula>
    </cfRule>
    <cfRule type="cellIs" dxfId="470" priority="174" stopIfTrue="1" operator="between">
      <formula>10</formula>
      <formula>10</formula>
    </cfRule>
    <cfRule type="cellIs" dxfId="469" priority="173" operator="between">
      <formula>9</formula>
      <formula>9.9</formula>
    </cfRule>
    <cfRule type="cellIs" dxfId="468" priority="172" stopIfTrue="1" operator="between">
      <formula>8</formula>
      <formula>8.9</formula>
    </cfRule>
    <cfRule type="cellIs" dxfId="467" priority="171" operator="between">
      <formula>7</formula>
      <formula>7.9</formula>
    </cfRule>
    <cfRule type="cellIs" dxfId="466" priority="170" operator="between">
      <formula>10.1</formula>
      <formula>10.6</formula>
    </cfRule>
  </conditionalFormatting>
  <conditionalFormatting sqref="E228">
    <cfRule type="colorScale" priority="137">
      <colorScale>
        <cfvo type="num" val="5"/>
        <cfvo type="num" val="10"/>
        <color rgb="FFFF494D"/>
        <color rgb="FF00FF66"/>
      </colorScale>
    </cfRule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29:E234">
    <cfRule type="cellIs" dxfId="465" priority="132" stopIfTrue="1" operator="between">
      <formula>8</formula>
      <formula>8.9</formula>
    </cfRule>
    <cfRule type="cellIs" dxfId="464" priority="131" operator="between">
      <formula>7</formula>
      <formula>7.9</formula>
    </cfRule>
    <cfRule type="cellIs" dxfId="463" priority="130" operator="between">
      <formula>10.1</formula>
      <formula>10.6</formula>
    </cfRule>
    <cfRule type="cellIs" dxfId="462" priority="133" operator="between">
      <formula>9</formula>
      <formula>9.9</formula>
    </cfRule>
    <cfRule type="cellIs" dxfId="461" priority="129" operator="between">
      <formula>6</formula>
      <formula>6.9</formula>
    </cfRule>
    <cfRule type="containsBlanks" dxfId="460" priority="135" stopIfTrue="1">
      <formula>LEN(TRIM(E229))=0</formula>
    </cfRule>
    <cfRule type="cellIs" dxfId="459" priority="134" stopIfTrue="1" operator="between">
      <formula>10</formula>
      <formula>10</formula>
    </cfRule>
  </conditionalFormatting>
  <conditionalFormatting sqref="E236">
    <cfRule type="colorScale" priority="87">
      <colorScale>
        <cfvo type="num" val="5"/>
        <cfvo type="num" val="10"/>
        <color rgb="FFFF494D"/>
        <color rgb="FF00FF66"/>
      </colorScale>
    </cfRule>
    <cfRule type="colorScale" priority="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7:E251 E254:E263">
    <cfRule type="cellIs" dxfId="458" priority="92" operator="between">
      <formula>9</formula>
      <formula>9.9</formula>
    </cfRule>
    <cfRule type="cellIs" dxfId="457" priority="91" stopIfTrue="1" operator="between">
      <formula>8</formula>
      <formula>8.9</formula>
    </cfRule>
    <cfRule type="containsBlanks" dxfId="456" priority="94" stopIfTrue="1">
      <formula>LEN(TRIM(E237))=0</formula>
    </cfRule>
    <cfRule type="cellIs" dxfId="455" priority="89" operator="between">
      <formula>10.1</formula>
      <formula>10.6</formula>
    </cfRule>
    <cfRule type="cellIs" dxfId="454" priority="88" operator="between">
      <formula>6</formula>
      <formula>6.9</formula>
    </cfRule>
    <cfRule type="cellIs" dxfId="453" priority="93" stopIfTrue="1" operator="between">
      <formula>10</formula>
      <formula>10</formula>
    </cfRule>
    <cfRule type="cellIs" dxfId="452" priority="90" operator="between">
      <formula>7</formula>
      <formula>7.9</formula>
    </cfRule>
  </conditionalFormatting>
  <conditionalFormatting sqref="E253">
    <cfRule type="colorScale" priority="31">
      <colorScale>
        <cfvo type="num" val="5"/>
        <cfvo type="num" val="10"/>
        <color rgb="FFFF494D"/>
        <color rgb="FF00FF66"/>
      </colorScale>
    </cfRule>
    <cfRule type="colorScale" priority="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:H15">
    <cfRule type="cellIs" dxfId="451" priority="971" stopIfTrue="1" operator="between">
      <formula>10</formula>
      <formula>10</formula>
    </cfRule>
    <cfRule type="cellIs" dxfId="450" priority="970" operator="between">
      <formula>9</formula>
      <formula>9.9</formula>
    </cfRule>
    <cfRule type="cellIs" dxfId="449" priority="969" stopIfTrue="1" operator="between">
      <formula>8</formula>
      <formula>8.9</formula>
    </cfRule>
    <cfRule type="cellIs" dxfId="448" priority="968" operator="between">
      <formula>7</formula>
      <formula>7.9</formula>
    </cfRule>
  </conditionalFormatting>
  <conditionalFormatting sqref="H18:H28">
    <cfRule type="cellIs" dxfId="447" priority="975" stopIfTrue="1" operator="between">
      <formula>10</formula>
      <formula>10</formula>
    </cfRule>
    <cfRule type="cellIs" dxfId="446" priority="972" operator="between">
      <formula>7</formula>
      <formula>7.9</formula>
    </cfRule>
    <cfRule type="cellIs" dxfId="445" priority="973" stopIfTrue="1" operator="between">
      <formula>8</formula>
      <formula>8.9</formula>
    </cfRule>
    <cfRule type="cellIs" dxfId="444" priority="974" operator="between">
      <formula>9</formula>
      <formula>9.9</formula>
    </cfRule>
  </conditionalFormatting>
  <conditionalFormatting sqref="H30">
    <cfRule type="colorScale" priority="1257">
      <colorScale>
        <cfvo type="num" val="5"/>
        <cfvo type="num" val="10"/>
        <color rgb="FFFF494D"/>
        <color rgb="FF00FF66"/>
      </colorScale>
    </cfRule>
    <cfRule type="colorScale" priority="12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443" priority="834" operator="between">
      <formula>10.1</formula>
      <formula>10.6</formula>
    </cfRule>
    <cfRule type="cellIs" dxfId="442" priority="838" stopIfTrue="1" operator="between">
      <formula>10</formula>
      <formula>10</formula>
    </cfRule>
    <cfRule type="cellIs" dxfId="441" priority="836" stopIfTrue="1" operator="between">
      <formula>8</formula>
      <formula>8.9</formula>
    </cfRule>
    <cfRule type="cellIs" dxfId="440" priority="835" operator="between">
      <formula>7</formula>
      <formula>7.9</formula>
    </cfRule>
    <cfRule type="cellIs" dxfId="439" priority="837" operator="between">
      <formula>9</formula>
      <formula>9.9</formula>
    </cfRule>
    <cfRule type="containsBlanks" dxfId="438" priority="839" stopIfTrue="1">
      <formula>LEN(TRIM(H31))=0</formula>
    </cfRule>
  </conditionalFormatting>
  <conditionalFormatting sqref="H47">
    <cfRule type="colorScale" priority="1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9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437" priority="830" stopIfTrue="1" operator="between">
      <formula>8</formula>
      <formula>8.9</formula>
    </cfRule>
    <cfRule type="cellIs" dxfId="436" priority="831" operator="between">
      <formula>9</formula>
      <formula>9.9</formula>
    </cfRule>
    <cfRule type="containsBlanks" dxfId="435" priority="833" stopIfTrue="1">
      <formula>LEN(TRIM(H48))=0</formula>
    </cfRule>
    <cfRule type="cellIs" dxfId="434" priority="832" stopIfTrue="1" operator="between">
      <formula>10</formula>
      <formula>10</formula>
    </cfRule>
    <cfRule type="cellIs" dxfId="433" priority="828" operator="between">
      <formula>10.1</formula>
      <formula>10.6</formula>
    </cfRule>
    <cfRule type="cellIs" dxfId="432" priority="829" operator="between">
      <formula>7</formula>
      <formula>7.9</formula>
    </cfRule>
  </conditionalFormatting>
  <conditionalFormatting sqref="H57">
    <cfRule type="colorScale" priority="7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1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431" priority="705" stopIfTrue="1" operator="between">
      <formula>10</formula>
      <formula>10</formula>
    </cfRule>
    <cfRule type="containsBlanks" dxfId="430" priority="706" stopIfTrue="1">
      <formula>LEN(TRIM(H58))=0</formula>
    </cfRule>
    <cfRule type="cellIs" dxfId="429" priority="701" operator="between">
      <formula>10.1</formula>
      <formula>10.6</formula>
    </cfRule>
    <cfRule type="cellIs" dxfId="428" priority="700" operator="between">
      <formula>6</formula>
      <formula>6.9</formula>
    </cfRule>
    <cfRule type="cellIs" dxfId="427" priority="704" operator="between">
      <formula>9</formula>
      <formula>9.9</formula>
    </cfRule>
    <cfRule type="cellIs" dxfId="426" priority="703" stopIfTrue="1" operator="between">
      <formula>8</formula>
      <formula>8.9</formula>
    </cfRule>
    <cfRule type="cellIs" dxfId="425" priority="702" operator="between">
      <formula>7</formula>
      <formula>7.9</formula>
    </cfRule>
  </conditionalFormatting>
  <conditionalFormatting sqref="H69">
    <cfRule type="colorScale" priority="7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6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424" priority="733" stopIfTrue="1" operator="between">
      <formula>10</formula>
      <formula>10</formula>
    </cfRule>
    <cfRule type="cellIs" dxfId="423" priority="732" operator="between">
      <formula>9</formula>
      <formula>9.9</formula>
    </cfRule>
    <cfRule type="cellIs" dxfId="422" priority="731" stopIfTrue="1" operator="between">
      <formula>8</formula>
      <formula>8.9</formula>
    </cfRule>
    <cfRule type="cellIs" dxfId="421" priority="730" operator="between">
      <formula>7</formula>
      <formula>7.9</formula>
    </cfRule>
    <cfRule type="cellIs" dxfId="420" priority="729" operator="between">
      <formula>10.1</formula>
      <formula>10.6</formula>
    </cfRule>
    <cfRule type="containsBlanks" dxfId="419" priority="734" stopIfTrue="1">
      <formula>LEN(TRIM(H70))=0</formula>
    </cfRule>
  </conditionalFormatting>
  <conditionalFormatting sqref="H83">
    <cfRule type="colorScale" priority="667">
      <colorScale>
        <cfvo type="num" val="5"/>
        <cfvo type="num" val="10"/>
        <color rgb="FFFF494D"/>
        <color rgb="FF00FF66"/>
      </colorScale>
    </cfRule>
    <cfRule type="colorScale" priority="6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418" priority="657" operator="between">
      <formula>9</formula>
      <formula>9.9</formula>
    </cfRule>
    <cfRule type="cellIs" dxfId="417" priority="658" stopIfTrue="1" operator="between">
      <formula>10</formula>
      <formula>10</formula>
    </cfRule>
    <cfRule type="cellIs" dxfId="416" priority="656" stopIfTrue="1" operator="between">
      <formula>8</formula>
      <formula>8.9</formula>
    </cfRule>
    <cfRule type="cellIs" dxfId="415" priority="655" operator="between">
      <formula>7</formula>
      <formula>7.9</formula>
    </cfRule>
    <cfRule type="cellIs" dxfId="414" priority="653" operator="between">
      <formula>6</formula>
      <formula>6.9</formula>
    </cfRule>
    <cfRule type="cellIs" dxfId="413" priority="654" operator="between">
      <formula>10.1</formula>
      <formula>10.6</formula>
    </cfRule>
    <cfRule type="containsBlanks" dxfId="412" priority="659" stopIfTrue="1">
      <formula>LEN(TRIM(H84))=0</formula>
    </cfRule>
  </conditionalFormatting>
  <conditionalFormatting sqref="H97">
    <cfRule type="colorScale" priority="6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1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411" priority="609" stopIfTrue="1" operator="between">
      <formula>10</formula>
      <formula>10</formula>
    </cfRule>
    <cfRule type="cellIs" dxfId="410" priority="608" operator="between">
      <formula>9</formula>
      <formula>9.9</formula>
    </cfRule>
    <cfRule type="cellIs" dxfId="409" priority="607" stopIfTrue="1" operator="between">
      <formula>8</formula>
      <formula>8.9</formula>
    </cfRule>
    <cfRule type="cellIs" dxfId="408" priority="606" operator="between">
      <formula>7</formula>
      <formula>7.9</formula>
    </cfRule>
    <cfRule type="cellIs" dxfId="407" priority="604" operator="between">
      <formula>6</formula>
      <formula>6.9</formula>
    </cfRule>
    <cfRule type="cellIs" dxfId="406" priority="605" operator="between">
      <formula>10.1</formula>
      <formula>10.6</formula>
    </cfRule>
    <cfRule type="containsBlanks" dxfId="405" priority="610" stopIfTrue="1">
      <formula>LEN(TRIM(H98))=0</formula>
    </cfRule>
  </conditionalFormatting>
  <conditionalFormatting sqref="H110">
    <cfRule type="colorScale" priority="5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7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ontainsBlanks" dxfId="404" priority="585" stopIfTrue="1">
      <formula>LEN(TRIM(H111))=0</formula>
    </cfRule>
    <cfRule type="cellIs" dxfId="403" priority="584" stopIfTrue="1" operator="between">
      <formula>10</formula>
      <formula>10</formula>
    </cfRule>
    <cfRule type="cellIs" dxfId="402" priority="580" operator="between">
      <formula>10.1</formula>
      <formula>10.6</formula>
    </cfRule>
    <cfRule type="cellIs" dxfId="401" priority="583" operator="between">
      <formula>9</formula>
      <formula>9.9</formula>
    </cfRule>
    <cfRule type="cellIs" dxfId="400" priority="582" stopIfTrue="1" operator="between">
      <formula>8</formula>
      <formula>8.9</formula>
    </cfRule>
    <cfRule type="cellIs" dxfId="399" priority="581" operator="between">
      <formula>7</formula>
      <formula>7.9</formula>
    </cfRule>
  </conditionalFormatting>
  <conditionalFormatting sqref="H125">
    <cfRule type="colorScale" priority="515">
      <colorScale>
        <cfvo type="num" val="5"/>
        <cfvo type="num" val="10"/>
        <color rgb="FFFF494D"/>
        <color rgb="FF00FF66"/>
      </colorScale>
    </cfRule>
    <cfRule type="colorScale" priority="5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398" priority="507" operator="between">
      <formula>6</formula>
      <formula>6.9</formula>
    </cfRule>
    <cfRule type="cellIs" dxfId="397" priority="511" operator="between">
      <formula>9</formula>
      <formula>9.9</formula>
    </cfRule>
    <cfRule type="cellIs" dxfId="396" priority="508" operator="between">
      <formula>10.1</formula>
      <formula>10.6</formula>
    </cfRule>
    <cfRule type="cellIs" dxfId="395" priority="509" operator="between">
      <formula>7</formula>
      <formula>7.9</formula>
    </cfRule>
    <cfRule type="cellIs" dxfId="394" priority="510" stopIfTrue="1" operator="between">
      <formula>8</formula>
      <formula>8.9</formula>
    </cfRule>
    <cfRule type="cellIs" dxfId="393" priority="512" stopIfTrue="1" operator="between">
      <formula>10</formula>
      <formula>10</formula>
    </cfRule>
    <cfRule type="containsBlanks" dxfId="392" priority="513" stopIfTrue="1">
      <formula>LEN(TRIM(H126))=0</formula>
    </cfRule>
  </conditionalFormatting>
  <conditionalFormatting sqref="H131">
    <cfRule type="colorScale" priority="482">
      <colorScale>
        <cfvo type="num" val="5"/>
        <cfvo type="num" val="10"/>
        <color rgb="FFFF494D"/>
        <color rgb="FF00FF66"/>
      </colorScale>
    </cfRule>
    <cfRule type="colorScale" priority="4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ontainsBlanks" dxfId="391" priority="480" stopIfTrue="1">
      <formula>LEN(TRIM(H132))=0</formula>
    </cfRule>
    <cfRule type="cellIs" dxfId="390" priority="479" stopIfTrue="1" operator="between">
      <formula>10</formula>
      <formula>10</formula>
    </cfRule>
    <cfRule type="cellIs" dxfId="389" priority="478" operator="between">
      <formula>9</formula>
      <formula>9.9</formula>
    </cfRule>
    <cfRule type="cellIs" dxfId="388" priority="477" stopIfTrue="1" operator="between">
      <formula>8</formula>
      <formula>8.9</formula>
    </cfRule>
    <cfRule type="cellIs" dxfId="387" priority="476" operator="between">
      <formula>7</formula>
      <formula>7.9</formula>
    </cfRule>
    <cfRule type="cellIs" dxfId="386" priority="475" operator="between">
      <formula>10.1</formula>
      <formula>10.6</formula>
    </cfRule>
    <cfRule type="cellIs" dxfId="385" priority="474" operator="between">
      <formula>6</formula>
      <formula>6.9</formula>
    </cfRule>
  </conditionalFormatting>
  <conditionalFormatting sqref="H149">
    <cfRule type="colorScale" priority="4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0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384" priority="403" operator="between">
      <formula>10.1</formula>
      <formula>10.6</formula>
    </cfRule>
    <cfRule type="cellIs" dxfId="383" priority="402" operator="between">
      <formula>6</formula>
      <formula>6.9</formula>
    </cfRule>
    <cfRule type="cellIs" dxfId="382" priority="405" stopIfTrue="1" operator="between">
      <formula>8</formula>
      <formula>8.9</formula>
    </cfRule>
    <cfRule type="cellIs" dxfId="381" priority="404" operator="between">
      <formula>7</formula>
      <formula>7.9</formula>
    </cfRule>
    <cfRule type="cellIs" dxfId="380" priority="406" operator="between">
      <formula>9</formula>
      <formula>9.9</formula>
    </cfRule>
    <cfRule type="cellIs" dxfId="379" priority="407" stopIfTrue="1" operator="between">
      <formula>10</formula>
      <formula>10</formula>
    </cfRule>
    <cfRule type="containsBlanks" dxfId="378" priority="408" stopIfTrue="1">
      <formula>LEN(TRIM(H150))=0</formula>
    </cfRule>
  </conditionalFormatting>
  <conditionalFormatting sqref="H165">
    <cfRule type="colorScale" priority="3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9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377" priority="350" operator="between">
      <formula>6</formula>
      <formula>6.9</formula>
    </cfRule>
    <cfRule type="cellIs" dxfId="376" priority="351" operator="between">
      <formula>10.1</formula>
      <formula>10.6</formula>
    </cfRule>
    <cfRule type="containsBlanks" dxfId="375" priority="356" stopIfTrue="1">
      <formula>LEN(TRIM(H166))=0</formula>
    </cfRule>
    <cfRule type="cellIs" dxfId="374" priority="352" operator="between">
      <formula>7</formula>
      <formula>7.9</formula>
    </cfRule>
    <cfRule type="cellIs" dxfId="373" priority="353" stopIfTrue="1" operator="between">
      <formula>8</formula>
      <formula>8.9</formula>
    </cfRule>
    <cfRule type="cellIs" dxfId="372" priority="354" operator="between">
      <formula>9</formula>
      <formula>9.9</formula>
    </cfRule>
    <cfRule type="cellIs" dxfId="371" priority="355" stopIfTrue="1" operator="between">
      <formula>10</formula>
      <formula>10</formula>
    </cfRule>
  </conditionalFormatting>
  <conditionalFormatting sqref="H177">
    <cfRule type="colorScale" priority="309">
      <colorScale>
        <cfvo type="num" val="5"/>
        <cfvo type="num" val="10"/>
        <color rgb="FFFF494D"/>
        <color rgb="FF00FF66"/>
      </colorScale>
    </cfRule>
    <cfRule type="colorScale" priority="3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370" priority="305" operator="between">
      <formula>9</formula>
      <formula>9.9</formula>
    </cfRule>
    <cfRule type="cellIs" dxfId="369" priority="306" stopIfTrue="1" operator="between">
      <formula>10</formula>
      <formula>10</formula>
    </cfRule>
    <cfRule type="containsBlanks" dxfId="368" priority="307" stopIfTrue="1">
      <formula>LEN(TRIM(H178))=0</formula>
    </cfRule>
    <cfRule type="cellIs" dxfId="367" priority="301" operator="between">
      <formula>6</formula>
      <formula>6.9</formula>
    </cfRule>
    <cfRule type="cellIs" dxfId="366" priority="302" operator="between">
      <formula>10.1</formula>
      <formula>10.6</formula>
    </cfRule>
    <cfRule type="cellIs" dxfId="365" priority="303" operator="between">
      <formula>7</formula>
      <formula>7.9</formula>
    </cfRule>
    <cfRule type="cellIs" dxfId="364" priority="304" stopIfTrue="1" operator="between">
      <formula>8</formula>
      <formula>8.9</formula>
    </cfRule>
  </conditionalFormatting>
  <conditionalFormatting sqref="H191">
    <cfRule type="colorScale" priority="2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9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ontainsBlanks" dxfId="363" priority="247" stopIfTrue="1">
      <formula>LEN(TRIM(H192))=0</formula>
    </cfRule>
    <cfRule type="cellIs" dxfId="362" priority="241" operator="between">
      <formula>6</formula>
      <formula>6.9</formula>
    </cfRule>
    <cfRule type="cellIs" dxfId="361" priority="242" operator="between">
      <formula>10.1</formula>
      <formula>10.6</formula>
    </cfRule>
    <cfRule type="cellIs" dxfId="360" priority="243" operator="between">
      <formula>7</formula>
      <formula>7.9</formula>
    </cfRule>
    <cfRule type="cellIs" dxfId="359" priority="244" stopIfTrue="1" operator="between">
      <formula>8</formula>
      <formula>8.9</formula>
    </cfRule>
    <cfRule type="cellIs" dxfId="358" priority="245" operator="between">
      <formula>9</formula>
      <formula>9.9</formula>
    </cfRule>
    <cfRule type="cellIs" dxfId="357" priority="246" stopIfTrue="1" operator="between">
      <formula>10</formula>
      <formula>10</formula>
    </cfRule>
  </conditionalFormatting>
  <conditionalFormatting sqref="H202">
    <cfRule type="colorScale" priority="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356" priority="203" operator="between">
      <formula>10.1</formula>
      <formula>11</formula>
    </cfRule>
    <cfRule type="cellIs" dxfId="355" priority="202" operator="between">
      <formula>6</formula>
      <formula>6.9</formula>
    </cfRule>
    <cfRule type="containsBlanks" dxfId="354" priority="208" stopIfTrue="1">
      <formula>LEN(TRIM(H203))=0</formula>
    </cfRule>
    <cfRule type="cellIs" dxfId="353" priority="207" stopIfTrue="1" operator="between">
      <formula>10</formula>
      <formula>10</formula>
    </cfRule>
    <cfRule type="cellIs" dxfId="352" priority="206" operator="between">
      <formula>9</formula>
      <formula>9.9</formula>
    </cfRule>
    <cfRule type="cellIs" dxfId="351" priority="205" stopIfTrue="1" operator="between">
      <formula>8</formula>
      <formula>8.9</formula>
    </cfRule>
    <cfRule type="cellIs" dxfId="350" priority="204" operator="between">
      <formula>7</formula>
      <formula>7.9</formula>
    </cfRule>
  </conditionalFormatting>
  <conditionalFormatting sqref="H215">
    <cfRule type="colorScale" priority="1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349" priority="156" stopIfTrue="1" operator="between">
      <formula>10</formula>
      <formula>10</formula>
    </cfRule>
    <cfRule type="cellIs" dxfId="348" priority="151" operator="between">
      <formula>6</formula>
      <formula>6.9</formula>
    </cfRule>
    <cfRule type="cellIs" dxfId="347" priority="152" operator="between">
      <formula>10.1</formula>
      <formula>10.6</formula>
    </cfRule>
    <cfRule type="cellIs" dxfId="346" priority="153" operator="between">
      <formula>7</formula>
      <formula>7.9</formula>
    </cfRule>
    <cfRule type="cellIs" dxfId="345" priority="154" stopIfTrue="1" operator="between">
      <formula>8</formula>
      <formula>8.9</formula>
    </cfRule>
    <cfRule type="containsBlanks" dxfId="344" priority="157" stopIfTrue="1">
      <formula>LEN(TRIM(H216))=0</formula>
    </cfRule>
    <cfRule type="cellIs" dxfId="343" priority="155" operator="between">
      <formula>9</formula>
      <formula>9.9</formula>
    </cfRule>
  </conditionalFormatting>
  <conditionalFormatting sqref="H229">
    <cfRule type="colorScale" priority="1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ontainsBlanks" dxfId="342" priority="117" stopIfTrue="1">
      <formula>LEN(TRIM(H230))=0</formula>
    </cfRule>
    <cfRule type="cellIs" dxfId="341" priority="116" stopIfTrue="1" operator="between">
      <formula>10</formula>
      <formula>10</formula>
    </cfRule>
    <cfRule type="cellIs" dxfId="340" priority="115" operator="between">
      <formula>9</formula>
      <formula>9.9</formula>
    </cfRule>
    <cfRule type="cellIs" dxfId="339" priority="114" stopIfTrue="1" operator="between">
      <formula>8</formula>
      <formula>8.9</formula>
    </cfRule>
    <cfRule type="cellIs" dxfId="338" priority="113" operator="between">
      <formula>7</formula>
      <formula>7.9</formula>
    </cfRule>
    <cfRule type="cellIs" dxfId="337" priority="112" operator="between">
      <formula>10.1</formula>
      <formula>10.6</formula>
    </cfRule>
    <cfRule type="cellIs" dxfId="336" priority="111" operator="between">
      <formula>6</formula>
      <formula>6.9</formula>
    </cfRule>
  </conditionalFormatting>
  <conditionalFormatting sqref="H246">
    <cfRule type="colorScale" priority="60">
      <colorScale>
        <cfvo type="num" val="5"/>
        <cfvo type="num" val="10"/>
        <color rgb="FFFF494D"/>
        <color rgb="FF00FF66"/>
      </colorScale>
    </cfRule>
    <cfRule type="colorScale" priority="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335" priority="65" operator="between">
      <formula>9</formula>
      <formula>9.9</formula>
    </cfRule>
    <cfRule type="cellIs" dxfId="334" priority="64" stopIfTrue="1" operator="between">
      <formula>8</formula>
      <formula>8.9</formula>
    </cfRule>
    <cfRule type="cellIs" dxfId="333" priority="63" operator="between">
      <formula>7</formula>
      <formula>7.9</formula>
    </cfRule>
    <cfRule type="cellIs" dxfId="332" priority="66" stopIfTrue="1" operator="between">
      <formula>10</formula>
      <formula>10</formula>
    </cfRule>
    <cfRule type="containsBlanks" dxfId="331" priority="67" stopIfTrue="1">
      <formula>LEN(TRIM(H247))=0</formula>
    </cfRule>
    <cfRule type="cellIs" dxfId="330" priority="62" operator="between">
      <formula>10.1</formula>
      <formula>10.6</formula>
    </cfRule>
    <cfRule type="cellIs" dxfId="329" priority="61" operator="between">
      <formula>6</formula>
      <formula>6.9</formula>
    </cfRule>
  </conditionalFormatting>
  <conditionalFormatting sqref="H258">
    <cfRule type="colorScale" priority="20">
      <colorScale>
        <cfvo type="num" val="5"/>
        <cfvo type="num" val="10"/>
        <color rgb="FFFF494D"/>
        <color rgb="FF00FF66"/>
      </colorScale>
    </cfRule>
    <cfRule type="colorScale" priority="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328" priority="21" operator="between">
      <formula>6</formula>
      <formula>6.9</formula>
    </cfRule>
    <cfRule type="cellIs" dxfId="327" priority="22" operator="between">
      <formula>10.1</formula>
      <formula>10.6</formula>
    </cfRule>
    <cfRule type="containsBlanks" dxfId="326" priority="27" stopIfTrue="1">
      <formula>LEN(TRIM(H259))=0</formula>
    </cfRule>
    <cfRule type="cellIs" dxfId="325" priority="26" stopIfTrue="1" operator="between">
      <formula>10</formula>
      <formula>10</formula>
    </cfRule>
    <cfRule type="cellIs" dxfId="324" priority="25" operator="between">
      <formula>9</formula>
      <formula>9.9</formula>
    </cfRule>
    <cfRule type="cellIs" dxfId="323" priority="24" stopIfTrue="1" operator="between">
      <formula>8</formula>
      <formula>8.9</formula>
    </cfRule>
    <cfRule type="cellIs" dxfId="322" priority="23" operator="between">
      <formula>7</formula>
      <formula>7.9</formula>
    </cfRule>
  </conditionalFormatting>
  <conditionalFormatting sqref="K3:K12">
    <cfRule type="containsBlanks" dxfId="321" priority="875" stopIfTrue="1">
      <formula>LEN(TRIM(K3))=0</formula>
    </cfRule>
    <cfRule type="cellIs" dxfId="320" priority="874" stopIfTrue="1" operator="between">
      <formula>10</formula>
      <formula>10</formula>
    </cfRule>
    <cfRule type="cellIs" dxfId="319" priority="873" operator="between">
      <formula>9</formula>
      <formula>9.9</formula>
    </cfRule>
    <cfRule type="cellIs" dxfId="318" priority="871" operator="between">
      <formula>7</formula>
      <formula>7.9</formula>
    </cfRule>
    <cfRule type="cellIs" dxfId="317" priority="872" stopIfTrue="1" operator="between">
      <formula>8</formula>
      <formula>8.9</formula>
    </cfRule>
    <cfRule type="cellIs" dxfId="316" priority="870" operator="between">
      <formula>10.1</formula>
      <formula>10.6</formula>
    </cfRule>
  </conditionalFormatting>
  <conditionalFormatting sqref="K15:K23">
    <cfRule type="cellIs" dxfId="315" priority="278" operator="between">
      <formula>7</formula>
      <formula>7.9</formula>
    </cfRule>
    <cfRule type="cellIs" dxfId="314" priority="279" stopIfTrue="1" operator="between">
      <formula>8</formula>
      <formula>8.9</formula>
    </cfRule>
    <cfRule type="cellIs" dxfId="313" priority="281" stopIfTrue="1" operator="between">
      <formula>10</formula>
      <formula>10</formula>
    </cfRule>
    <cfRule type="cellIs" dxfId="312" priority="280" operator="between">
      <formula>9</formula>
      <formula>9.9</formula>
    </cfRule>
  </conditionalFormatting>
  <conditionalFormatting sqref="K23">
    <cfRule type="cellIs" dxfId="311" priority="277" operator="between">
      <formula>10.1</formula>
      <formula>10.6</formula>
    </cfRule>
    <cfRule type="containsBlanks" dxfId="310" priority="282" stopIfTrue="1">
      <formula>LEN(TRIM(K23))=0</formula>
    </cfRule>
  </conditionalFormatting>
  <conditionalFormatting sqref="K26:K38">
    <cfRule type="containsBlanks" dxfId="309" priority="909" stopIfTrue="1">
      <formula>LEN(TRIM(K26))=0</formula>
    </cfRule>
    <cfRule type="cellIs" dxfId="308" priority="908" stopIfTrue="1" operator="between">
      <formula>10</formula>
      <formula>10</formula>
    </cfRule>
    <cfRule type="cellIs" dxfId="307" priority="907" operator="between">
      <formula>9</formula>
      <formula>9.9</formula>
    </cfRule>
    <cfRule type="cellIs" dxfId="306" priority="906" stopIfTrue="1" operator="between">
      <formula>8</formula>
      <formula>8.9</formula>
    </cfRule>
    <cfRule type="cellIs" dxfId="305" priority="905" operator="between">
      <formula>7</formula>
      <formula>7.9</formula>
    </cfRule>
  </conditionalFormatting>
  <conditionalFormatting sqref="K40">
    <cfRule type="colorScale" priority="1228">
      <colorScale>
        <cfvo type="num" val="5"/>
        <cfvo type="num" val="10"/>
        <color rgb="FFFF494D"/>
        <color rgb="FF00FF66"/>
      </colorScale>
    </cfRule>
    <cfRule type="colorScale" priority="12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304" priority="810" operator="between">
      <formula>10.1</formula>
      <formula>10.6</formula>
    </cfRule>
    <cfRule type="cellIs" dxfId="303" priority="811" operator="between">
      <formula>7</formula>
      <formula>7.9</formula>
    </cfRule>
    <cfRule type="cellIs" dxfId="302" priority="812" stopIfTrue="1" operator="between">
      <formula>8</formula>
      <formula>8.9</formula>
    </cfRule>
    <cfRule type="cellIs" dxfId="301" priority="813" operator="between">
      <formula>9</formula>
      <formula>9.9</formula>
    </cfRule>
    <cfRule type="containsBlanks" dxfId="300" priority="815" stopIfTrue="1">
      <formula>LEN(TRIM(K41))=0</formula>
    </cfRule>
    <cfRule type="cellIs" dxfId="299" priority="814" stopIfTrue="1" operator="between">
      <formula>10</formula>
      <formula>10</formula>
    </cfRule>
  </conditionalFormatting>
  <conditionalFormatting sqref="K54">
    <cfRule type="colorScale" priority="7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9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298" priority="775" operator="between">
      <formula>9</formula>
      <formula>9.9</formula>
    </cfRule>
    <cfRule type="cellIs" dxfId="297" priority="774" stopIfTrue="1" operator="between">
      <formula>8</formula>
      <formula>8.9</formula>
    </cfRule>
    <cfRule type="cellIs" dxfId="296" priority="773" operator="between">
      <formula>7</formula>
      <formula>7.9</formula>
    </cfRule>
    <cfRule type="cellIs" dxfId="295" priority="772" operator="between">
      <formula>10.1</formula>
      <formula>10.6</formula>
    </cfRule>
    <cfRule type="cellIs" dxfId="294" priority="776" stopIfTrue="1" operator="between">
      <formula>10</formula>
      <formula>10</formula>
    </cfRule>
    <cfRule type="containsBlanks" dxfId="293" priority="777" stopIfTrue="1">
      <formula>LEN(TRIM(K55))=0</formula>
    </cfRule>
  </conditionalFormatting>
  <conditionalFormatting sqref="K66">
    <cfRule type="colorScale" priority="752">
      <colorScale>
        <cfvo type="num" val="5"/>
        <cfvo type="num" val="10"/>
        <color rgb="FFFF494D"/>
        <color rgb="FF00FF66"/>
      </colorScale>
    </cfRule>
    <cfRule type="colorScale" priority="7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292" priority="748" operator="between">
      <formula>9</formula>
      <formula>9.9</formula>
    </cfRule>
    <cfRule type="containsBlanks" dxfId="291" priority="750" stopIfTrue="1">
      <formula>LEN(TRIM(K67))=0</formula>
    </cfRule>
    <cfRule type="cellIs" dxfId="290" priority="745" operator="between">
      <formula>10.1</formula>
      <formula>10.6</formula>
    </cfRule>
    <cfRule type="cellIs" dxfId="289" priority="746" operator="between">
      <formula>7</formula>
      <formula>7.9</formula>
    </cfRule>
    <cfRule type="cellIs" dxfId="288" priority="747" stopIfTrue="1" operator="between">
      <formula>8</formula>
      <formula>8.9</formula>
    </cfRule>
    <cfRule type="cellIs" dxfId="287" priority="749" stopIfTrue="1" operator="between">
      <formula>10</formula>
      <formula>10</formula>
    </cfRule>
  </conditionalFormatting>
  <conditionalFormatting sqref="K77">
    <cfRule type="colorScale" priority="6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9">
      <colorScale>
        <cfvo type="num" val="5"/>
        <cfvo type="num" val="10"/>
        <color rgb="FFFF494D"/>
        <color rgb="FF00FF66"/>
      </colorScale>
    </cfRule>
  </conditionalFormatting>
  <conditionalFormatting sqref="K78:K88">
    <cfRule type="containsBlanks" dxfId="286" priority="697" stopIfTrue="1">
      <formula>LEN(TRIM(K78))=0</formula>
    </cfRule>
    <cfRule type="cellIs" dxfId="285" priority="696" stopIfTrue="1" operator="between">
      <formula>10</formula>
      <formula>10</formula>
    </cfRule>
    <cfRule type="cellIs" dxfId="284" priority="695" operator="between">
      <formula>9</formula>
      <formula>9.9</formula>
    </cfRule>
    <cfRule type="cellIs" dxfId="283" priority="694" stopIfTrue="1" operator="between">
      <formula>8</formula>
      <formula>8.9</formula>
    </cfRule>
    <cfRule type="cellIs" dxfId="282" priority="693" operator="between">
      <formula>7</formula>
      <formula>7.9</formula>
    </cfRule>
    <cfRule type="cellIs" dxfId="281" priority="692" operator="between">
      <formula>10.1</formula>
      <formula>10.6</formula>
    </cfRule>
  </conditionalFormatting>
  <conditionalFormatting sqref="K90">
    <cfRule type="colorScale" priority="646">
      <colorScale>
        <cfvo type="num" val="5"/>
        <cfvo type="num" val="10"/>
        <color rgb="FFFF494D"/>
        <color rgb="FF00FF66"/>
      </colorScale>
    </cfRule>
    <cfRule type="colorScale" priority="6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280" priority="651" stopIfTrue="1" operator="between">
      <formula>10</formula>
      <formula>10</formula>
    </cfRule>
    <cfRule type="cellIs" dxfId="279" priority="650" operator="between">
      <formula>9</formula>
      <formula>9.9</formula>
    </cfRule>
    <cfRule type="containsBlanks" dxfId="278" priority="652" stopIfTrue="1">
      <formula>LEN(TRIM(K91))=0</formula>
    </cfRule>
    <cfRule type="cellIs" dxfId="277" priority="648" operator="between">
      <formula>7</formula>
      <formula>7.9</formula>
    </cfRule>
    <cfRule type="cellIs" dxfId="276" priority="647" operator="between">
      <formula>10.1</formula>
      <formula>10.6</formula>
    </cfRule>
    <cfRule type="cellIs" dxfId="275" priority="649" stopIfTrue="1" operator="between">
      <formula>8</formula>
      <formula>8.9</formula>
    </cfRule>
  </conditionalFormatting>
  <conditionalFormatting sqref="K98">
    <cfRule type="colorScale" priority="612">
      <colorScale>
        <cfvo type="num" val="5"/>
        <cfvo type="num" val="10"/>
        <color rgb="FFFF494D"/>
        <color rgb="FF00FF66"/>
      </colorScale>
    </cfRule>
    <cfRule type="colorScale" priority="6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274" priority="614" operator="between">
      <formula>10.1</formula>
      <formula>10.6</formula>
    </cfRule>
    <cfRule type="cellIs" dxfId="273" priority="613" operator="between">
      <formula>6</formula>
      <formula>6.9</formula>
    </cfRule>
    <cfRule type="cellIs" dxfId="272" priority="615" operator="between">
      <formula>7</formula>
      <formula>7.9</formula>
    </cfRule>
    <cfRule type="containsBlanks" dxfId="271" priority="619" stopIfTrue="1">
      <formula>LEN(TRIM(K99))=0</formula>
    </cfRule>
    <cfRule type="cellIs" dxfId="270" priority="618" stopIfTrue="1" operator="between">
      <formula>10</formula>
      <formula>10</formula>
    </cfRule>
    <cfRule type="cellIs" dxfId="269" priority="617" operator="between">
      <formula>9</formula>
      <formula>9.9</formula>
    </cfRule>
    <cfRule type="cellIs" dxfId="268" priority="616" stopIfTrue="1" operator="between">
      <formula>8</formula>
      <formula>8.9</formula>
    </cfRule>
  </conditionalFormatting>
  <conditionalFormatting sqref="K111">
    <cfRule type="colorScale" priority="579">
      <colorScale>
        <cfvo type="num" val="5"/>
        <cfvo type="num" val="10"/>
        <color rgb="FFFF494D"/>
        <color rgb="FF00FF66"/>
      </colorScale>
    </cfRule>
    <cfRule type="colorScale" priority="5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267" priority="566" operator="between">
      <formula>10.1</formula>
      <formula>10.6</formula>
    </cfRule>
    <cfRule type="cellIs" dxfId="266" priority="567" operator="between">
      <formula>7</formula>
      <formula>7.9</formula>
    </cfRule>
    <cfRule type="cellIs" dxfId="265" priority="568" stopIfTrue="1" operator="between">
      <formula>8</formula>
      <formula>8.9</formula>
    </cfRule>
    <cfRule type="cellIs" dxfId="264" priority="569" operator="between">
      <formula>9</formula>
      <formula>9.9</formula>
    </cfRule>
    <cfRule type="cellIs" dxfId="263" priority="570" stopIfTrue="1" operator="between">
      <formula>10</formula>
      <formula>10</formula>
    </cfRule>
    <cfRule type="containsBlanks" dxfId="262" priority="571" stopIfTrue="1">
      <formula>LEN(TRIM(K112))=0</formula>
    </cfRule>
  </conditionalFormatting>
  <conditionalFormatting sqref="K114">
    <cfRule type="cellIs" dxfId="261" priority="565" operator="between">
      <formula>6</formula>
      <formula>6.9</formula>
    </cfRule>
  </conditionalFormatting>
  <conditionalFormatting sqref="K124">
    <cfRule type="colorScale" priority="530">
      <colorScale>
        <cfvo type="num" val="5"/>
        <cfvo type="num" val="10"/>
        <color rgb="FFFF494D"/>
        <color rgb="FF00FF66"/>
      </colorScale>
    </cfRule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260" priority="524" operator="between">
      <formula>7</formula>
      <formula>7.9</formula>
    </cfRule>
    <cfRule type="cellIs" dxfId="259" priority="527" stopIfTrue="1" operator="between">
      <formula>10</formula>
      <formula>10</formula>
    </cfRule>
    <cfRule type="cellIs" dxfId="258" priority="523" operator="between">
      <formula>10.1</formula>
      <formula>10.6</formula>
    </cfRule>
    <cfRule type="cellIs" dxfId="257" priority="526" operator="between">
      <formula>9</formula>
      <formula>9.9</formula>
    </cfRule>
    <cfRule type="containsBlanks" dxfId="256" priority="528" stopIfTrue="1">
      <formula>LEN(TRIM(K125))=0</formula>
    </cfRule>
    <cfRule type="cellIs" dxfId="255" priority="525" stopIfTrue="1" operator="between">
      <formula>8</formula>
      <formula>8.9</formula>
    </cfRule>
  </conditionalFormatting>
  <conditionalFormatting sqref="K125:K134">
    <cfRule type="cellIs" dxfId="254" priority="520" operator="between">
      <formula>9</formula>
      <formula>9.9</formula>
    </cfRule>
    <cfRule type="cellIs" dxfId="253" priority="521" stopIfTrue="1" operator="between">
      <formula>10</formula>
      <formula>10</formula>
    </cfRule>
    <cfRule type="containsBlanks" dxfId="252" priority="522" stopIfTrue="1">
      <formula>LEN(TRIM(K125))=0</formula>
    </cfRule>
    <cfRule type="cellIs" dxfId="251" priority="516" operator="between">
      <formula>6</formula>
      <formula>6.9</formula>
    </cfRule>
    <cfRule type="cellIs" dxfId="250" priority="517" operator="between">
      <formula>10.1</formula>
      <formula>10.6</formula>
    </cfRule>
    <cfRule type="cellIs" dxfId="249" priority="518" operator="between">
      <formula>7</formula>
      <formula>7.9</formula>
    </cfRule>
    <cfRule type="cellIs" dxfId="248" priority="519" stopIfTrue="1" operator="between">
      <formula>8</formula>
      <formula>8.9</formula>
    </cfRule>
  </conditionalFormatting>
  <conditionalFormatting sqref="K136">
    <cfRule type="colorScale" priority="4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7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247" priority="458" operator="between">
      <formula>6</formula>
      <formula>6.9</formula>
    </cfRule>
    <cfRule type="cellIs" dxfId="246" priority="460" operator="between">
      <formula>7</formula>
      <formula>7.9</formula>
    </cfRule>
    <cfRule type="containsBlanks" dxfId="245" priority="464" stopIfTrue="1">
      <formula>LEN(TRIM(K137))=0</formula>
    </cfRule>
    <cfRule type="cellIs" dxfId="244" priority="463" stopIfTrue="1" operator="between">
      <formula>10</formula>
      <formula>10</formula>
    </cfRule>
    <cfRule type="cellIs" dxfId="243" priority="462" operator="between">
      <formula>9</formula>
      <formula>9.9</formula>
    </cfRule>
    <cfRule type="cellIs" dxfId="242" priority="461" stopIfTrue="1" operator="between">
      <formula>8</formula>
      <formula>8.9</formula>
    </cfRule>
    <cfRule type="cellIs" dxfId="241" priority="459" operator="between">
      <formula>10.1</formula>
      <formula>10.6</formula>
    </cfRule>
  </conditionalFormatting>
  <conditionalFormatting sqref="K149">
    <cfRule type="colorScale" priority="3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4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240" priority="396" operator="between">
      <formula>10.1</formula>
      <formula>10.6</formula>
    </cfRule>
    <cfRule type="containsBlanks" dxfId="239" priority="401" stopIfTrue="1">
      <formula>LEN(TRIM(K150))=0</formula>
    </cfRule>
    <cfRule type="cellIs" dxfId="238" priority="400" stopIfTrue="1" operator="between">
      <formula>10</formula>
      <formula>10</formula>
    </cfRule>
    <cfRule type="cellIs" dxfId="237" priority="399" operator="between">
      <formula>9</formula>
      <formula>9.9</formula>
    </cfRule>
    <cfRule type="cellIs" dxfId="236" priority="398" stopIfTrue="1" operator="between">
      <formula>8</formula>
      <formula>8.9</formula>
    </cfRule>
    <cfRule type="cellIs" dxfId="235" priority="397" operator="between">
      <formula>7</formula>
      <formula>7.9</formula>
    </cfRule>
    <cfRule type="cellIs" dxfId="234" priority="395" operator="between">
      <formula>6</formula>
      <formula>6.9</formula>
    </cfRule>
  </conditionalFormatting>
  <conditionalFormatting sqref="K165">
    <cfRule type="colorScale" priority="347">
      <colorScale>
        <cfvo type="num" val="5"/>
        <cfvo type="num" val="10"/>
        <color rgb="FFFF494D"/>
        <color rgb="FF00FF66"/>
      </colorScale>
    </cfRule>
    <cfRule type="colorScale" priority="3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ontainsBlanks" dxfId="233" priority="345" stopIfTrue="1">
      <formula>LEN(TRIM(K166))=0</formula>
    </cfRule>
    <cfRule type="cellIs" dxfId="232" priority="344" stopIfTrue="1" operator="between">
      <formula>10</formula>
      <formula>10</formula>
    </cfRule>
    <cfRule type="cellIs" dxfId="231" priority="342" stopIfTrue="1" operator="between">
      <formula>8</formula>
      <formula>8.9</formula>
    </cfRule>
    <cfRule type="cellIs" dxfId="230" priority="341" operator="between">
      <formula>7</formula>
      <formula>7.9</formula>
    </cfRule>
    <cfRule type="cellIs" dxfId="229" priority="340" operator="between">
      <formula>10.1</formula>
      <formula>10.6</formula>
    </cfRule>
    <cfRule type="cellIs" dxfId="228" priority="339" operator="between">
      <formula>6</formula>
      <formula>6.9</formula>
    </cfRule>
    <cfRule type="cellIs" dxfId="227" priority="343" operator="between">
      <formula>9</formula>
      <formula>9.9</formula>
    </cfRule>
  </conditionalFormatting>
  <conditionalFormatting sqref="K175">
    <cfRule type="colorScale" priority="311">
      <colorScale>
        <cfvo type="num" val="5"/>
        <cfvo type="num" val="10"/>
        <color rgb="FFFF494D"/>
        <color rgb="FF00FF66"/>
      </colorScale>
    </cfRule>
    <cfRule type="colorScale" priority="3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226" priority="316" operator="between">
      <formula>9</formula>
      <formula>9.9</formula>
    </cfRule>
    <cfRule type="cellIs" dxfId="225" priority="314" operator="between">
      <formula>7</formula>
      <formula>7.9</formula>
    </cfRule>
    <cfRule type="cellIs" dxfId="224" priority="313" operator="between">
      <formula>10.1</formula>
      <formula>10.6</formula>
    </cfRule>
    <cfRule type="cellIs" dxfId="223" priority="312" operator="between">
      <formula>6</formula>
      <formula>6.9</formula>
    </cfRule>
    <cfRule type="cellIs" dxfId="222" priority="315" stopIfTrue="1" operator="between">
      <formula>8</formula>
      <formula>8.9</formula>
    </cfRule>
    <cfRule type="containsBlanks" dxfId="221" priority="318" stopIfTrue="1">
      <formula>LEN(TRIM(K176))=0</formula>
    </cfRule>
    <cfRule type="cellIs" dxfId="220" priority="317" stopIfTrue="1" operator="between">
      <formula>10</formula>
      <formula>10</formula>
    </cfRule>
  </conditionalFormatting>
  <conditionalFormatting sqref="K182">
    <cfRule type="colorScale" priority="300">
      <colorScale>
        <cfvo type="num" val="5"/>
        <cfvo type="num" val="10"/>
        <color rgb="FFFF494D"/>
        <color rgb="FF00FF66"/>
      </colorScale>
    </cfRule>
    <cfRule type="colorScale" priority="2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219" priority="295" stopIfTrue="1" operator="between">
      <formula>8</formula>
      <formula>8.9</formula>
    </cfRule>
    <cfRule type="cellIs" dxfId="218" priority="293" operator="between">
      <formula>10.1</formula>
      <formula>10.6</formula>
    </cfRule>
    <cfRule type="cellIs" dxfId="217" priority="294" operator="between">
      <formula>7</formula>
      <formula>7.9</formula>
    </cfRule>
    <cfRule type="containsBlanks" dxfId="216" priority="298" stopIfTrue="1">
      <formula>LEN(TRIM(K183))=0</formula>
    </cfRule>
    <cfRule type="cellIs" dxfId="215" priority="292" operator="between">
      <formula>6</formula>
      <formula>6.9</formula>
    </cfRule>
    <cfRule type="cellIs" dxfId="214" priority="297" stopIfTrue="1" operator="between">
      <formula>10</formula>
      <formula>10</formula>
    </cfRule>
    <cfRule type="cellIs" dxfId="213" priority="296" operator="between">
      <formula>9</formula>
      <formula>9.9</formula>
    </cfRule>
  </conditionalFormatting>
  <conditionalFormatting sqref="K189">
    <cfRule type="colorScale" priority="2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1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212" priority="253" operator="between">
      <formula>10.1</formula>
      <formula>10.6</formula>
    </cfRule>
    <cfRule type="cellIs" dxfId="211" priority="254" operator="between">
      <formula>7</formula>
      <formula>7.9</formula>
    </cfRule>
    <cfRule type="containsBlanks" dxfId="210" priority="258" stopIfTrue="1">
      <formula>LEN(TRIM(K190))=0</formula>
    </cfRule>
    <cfRule type="cellIs" dxfId="209" priority="255" stopIfTrue="1" operator="between">
      <formula>8</formula>
      <formula>8.9</formula>
    </cfRule>
    <cfRule type="cellIs" dxfId="208" priority="252" operator="between">
      <formula>6</formula>
      <formula>6.9</formula>
    </cfRule>
    <cfRule type="cellIs" dxfId="207" priority="256" operator="between">
      <formula>9</formula>
      <formula>9.9</formula>
    </cfRule>
    <cfRule type="cellIs" dxfId="206" priority="257" stopIfTrue="1" operator="between">
      <formula>10</formula>
      <formula>10</formula>
    </cfRule>
  </conditionalFormatting>
  <conditionalFormatting sqref="K199">
    <cfRule type="colorScale" priority="231">
      <colorScale>
        <cfvo type="num" val="5"/>
        <cfvo type="num" val="10"/>
        <color rgb="FFFF494D"/>
        <color rgb="FF00FF66"/>
      </colorScale>
    </cfRule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205" priority="227" operator="between">
      <formula>9</formula>
      <formula>9.9</formula>
    </cfRule>
    <cfRule type="cellIs" dxfId="204" priority="226" stopIfTrue="1" operator="between">
      <formula>8</formula>
      <formula>8.9</formula>
    </cfRule>
    <cfRule type="cellIs" dxfId="203" priority="225" operator="between">
      <formula>7</formula>
      <formula>7.9</formula>
    </cfRule>
    <cfRule type="cellIs" dxfId="202" priority="228" stopIfTrue="1" operator="between">
      <formula>10</formula>
      <formula>10</formula>
    </cfRule>
    <cfRule type="cellIs" dxfId="201" priority="223" operator="between">
      <formula>6</formula>
      <formula>6.9</formula>
    </cfRule>
    <cfRule type="cellIs" dxfId="200" priority="224" operator="between">
      <formula>10.1</formula>
      <formula>10.6</formula>
    </cfRule>
    <cfRule type="containsBlanks" dxfId="199" priority="229" stopIfTrue="1">
      <formula>LEN(TRIM(K200))=0</formula>
    </cfRule>
  </conditionalFormatting>
  <conditionalFormatting sqref="K208">
    <cfRule type="colorScale" priority="192">
      <colorScale>
        <cfvo type="num" val="5"/>
        <cfvo type="num" val="10"/>
        <color rgb="FFFF494D"/>
        <color rgb="FF00FF66"/>
      </colorScale>
    </cfRule>
    <cfRule type="colorScale" priority="1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198" priority="198" stopIfTrue="1" operator="between">
      <formula>10</formula>
      <formula>10</formula>
    </cfRule>
    <cfRule type="cellIs" dxfId="197" priority="196" stopIfTrue="1" operator="between">
      <formula>8</formula>
      <formula>8.9</formula>
    </cfRule>
    <cfRule type="cellIs" dxfId="196" priority="195" operator="between">
      <formula>7</formula>
      <formula>7.9</formula>
    </cfRule>
    <cfRule type="cellIs" dxfId="195" priority="194" operator="between">
      <formula>10.1</formula>
      <formula>11</formula>
    </cfRule>
    <cfRule type="cellIs" dxfId="194" priority="193" operator="between">
      <formula>6</formula>
      <formula>6.9</formula>
    </cfRule>
    <cfRule type="cellIs" dxfId="193" priority="197" operator="between">
      <formula>9</formula>
      <formula>9.9</formula>
    </cfRule>
    <cfRule type="containsBlanks" dxfId="192" priority="199" stopIfTrue="1">
      <formula>LEN(TRIM(K209))=0</formula>
    </cfRule>
  </conditionalFormatting>
  <conditionalFormatting sqref="K219">
    <cfRule type="colorScale" priority="1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191" priority="140" operator="between">
      <formula>6</formula>
      <formula>6.9</formula>
    </cfRule>
    <cfRule type="cellIs" dxfId="190" priority="144" operator="between">
      <formula>9</formula>
      <formula>9.9</formula>
    </cfRule>
    <cfRule type="cellIs" dxfId="189" priority="145" stopIfTrue="1" operator="between">
      <formula>10</formula>
      <formula>10</formula>
    </cfRule>
    <cfRule type="containsBlanks" dxfId="188" priority="146" stopIfTrue="1">
      <formula>LEN(TRIM(K220))=0</formula>
    </cfRule>
    <cfRule type="cellIs" dxfId="187" priority="141" operator="between">
      <formula>10.1</formula>
      <formula>10.6</formula>
    </cfRule>
    <cfRule type="cellIs" dxfId="186" priority="143" stopIfTrue="1" operator="between">
      <formula>8</formula>
      <formula>8.9</formula>
    </cfRule>
    <cfRule type="cellIs" dxfId="185" priority="142" operator="between">
      <formula>7</formula>
      <formula>7.9</formula>
    </cfRule>
  </conditionalFormatting>
  <conditionalFormatting sqref="K237">
    <cfRule type="colorScale" priority="85">
      <colorScale>
        <cfvo type="num" val="5"/>
        <cfvo type="num" val="10"/>
        <color rgb="FFFF494D"/>
        <color rgb="FF00FF66"/>
      </colorScale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ontainsBlanks" dxfId="184" priority="83" stopIfTrue="1">
      <formula>LEN(TRIM(K238))=0</formula>
    </cfRule>
    <cfRule type="cellIs" dxfId="183" priority="81" operator="between">
      <formula>9</formula>
      <formula>9.9</formula>
    </cfRule>
    <cfRule type="cellIs" dxfId="182" priority="77" operator="between">
      <formula>6</formula>
      <formula>6.9</formula>
    </cfRule>
    <cfRule type="cellIs" dxfId="181" priority="78" operator="between">
      <formula>10.1</formula>
      <formula>10.6</formula>
    </cfRule>
    <cfRule type="cellIs" dxfId="180" priority="79" operator="between">
      <formula>7</formula>
      <formula>7.9</formula>
    </cfRule>
    <cfRule type="cellIs" dxfId="179" priority="80" stopIfTrue="1" operator="between">
      <formula>8</formula>
      <formula>8.9</formula>
    </cfRule>
    <cfRule type="cellIs" dxfId="178" priority="82" stopIfTrue="1" operator="between">
      <formula>10</formula>
      <formula>10</formula>
    </cfRule>
  </conditionalFormatting>
  <conditionalFormatting sqref="K252">
    <cfRule type="colorScale" priority="40">
      <colorScale>
        <cfvo type="num" val="5"/>
        <cfvo type="num" val="10"/>
        <color rgb="FFFF494D"/>
        <color rgb="FF00FF66"/>
      </colorScale>
    </cfRule>
    <cfRule type="colorScale" priority="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177" priority="37" stopIfTrue="1" operator="between">
      <formula>10</formula>
      <formula>10</formula>
    </cfRule>
    <cfRule type="cellIs" dxfId="176" priority="32" operator="between">
      <formula>6</formula>
      <formula>6.9</formula>
    </cfRule>
    <cfRule type="cellIs" dxfId="175" priority="33" operator="between">
      <formula>10.1</formula>
      <formula>10.6</formula>
    </cfRule>
    <cfRule type="cellIs" dxfId="174" priority="34" operator="between">
      <formula>7</formula>
      <formula>7.9</formula>
    </cfRule>
    <cfRule type="cellIs" dxfId="173" priority="35" stopIfTrue="1" operator="between">
      <formula>8</formula>
      <formula>8.9</formula>
    </cfRule>
    <cfRule type="cellIs" dxfId="172" priority="36" operator="between">
      <formula>9</formula>
      <formula>9.9</formula>
    </cfRule>
    <cfRule type="containsBlanks" dxfId="171" priority="38" stopIfTrue="1">
      <formula>LEN(TRIM(K253))=0</formula>
    </cfRule>
  </conditionalFormatting>
  <conditionalFormatting sqref="M28">
    <cfRule type="colorScale" priority="1268">
      <colorScale>
        <cfvo type="num" val="5"/>
        <cfvo type="num" val="10"/>
        <color rgb="FFFF494D"/>
        <color rgb="FF00FF66"/>
      </colorScale>
    </cfRule>
    <cfRule type="colorScale" priority="12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2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9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170" priority="864" operator="between">
      <formula>10.1</formula>
      <formula>10.6</formula>
    </cfRule>
    <cfRule type="cellIs" dxfId="169" priority="865" operator="between">
      <formula>7</formula>
      <formula>7.9</formula>
    </cfRule>
    <cfRule type="cellIs" dxfId="168" priority="866" stopIfTrue="1" operator="between">
      <formula>8</formula>
      <formula>8.9</formula>
    </cfRule>
    <cfRule type="cellIs" dxfId="167" priority="867" operator="between">
      <formula>9</formula>
      <formula>9.9</formula>
    </cfRule>
    <cfRule type="cellIs" dxfId="166" priority="868" stopIfTrue="1" operator="between">
      <formula>10</formula>
      <formula>10</formula>
    </cfRule>
    <cfRule type="containsBlanks" dxfId="165" priority="869" stopIfTrue="1">
      <formula>LEN(TRIM(N3))=0</formula>
    </cfRule>
  </conditionalFormatting>
  <conditionalFormatting sqref="N15:N26">
    <cfRule type="cellIs" dxfId="164" priority="996" operator="between">
      <formula>7</formula>
      <formula>7.9</formula>
    </cfRule>
    <cfRule type="cellIs" dxfId="163" priority="998" operator="between">
      <formula>9</formula>
      <formula>9.9</formula>
    </cfRule>
    <cfRule type="cellIs" dxfId="162" priority="997" stopIfTrue="1" operator="between">
      <formula>8</formula>
      <formula>8.9</formula>
    </cfRule>
    <cfRule type="cellIs" dxfId="161" priority="999" stopIfTrue="1" operator="between">
      <formula>10</formula>
      <formula>10</formula>
    </cfRule>
  </conditionalFormatting>
  <conditionalFormatting sqref="N28">
    <cfRule type="colorScale" priority="7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2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160" priority="1003" stopIfTrue="1" operator="between">
      <formula>10</formula>
      <formula>10</formula>
    </cfRule>
    <cfRule type="cellIs" dxfId="159" priority="1002" operator="between">
      <formula>9</formula>
      <formula>9.9</formula>
    </cfRule>
    <cfRule type="cellIs" dxfId="158" priority="1001" stopIfTrue="1" operator="between">
      <formula>8</formula>
      <formula>8.9</formula>
    </cfRule>
    <cfRule type="cellIs" dxfId="157" priority="1000" operator="between">
      <formula>7</formula>
      <formula>7.9</formula>
    </cfRule>
  </conditionalFormatting>
  <conditionalFormatting sqref="N39">
    <cfRule type="colorScale" priority="1235">
      <colorScale>
        <cfvo type="num" val="5"/>
        <cfvo type="num" val="10"/>
        <color rgb="FFFF494D"/>
        <color rgb="FF00FF66"/>
      </colorScale>
    </cfRule>
    <cfRule type="colorScale" priority="12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156" priority="805" operator="between">
      <formula>7</formula>
      <formula>7.9</formula>
    </cfRule>
    <cfRule type="cellIs" dxfId="155" priority="807" operator="between">
      <formula>9</formula>
      <formula>9.9</formula>
    </cfRule>
    <cfRule type="cellIs" dxfId="154" priority="808" stopIfTrue="1" operator="between">
      <formula>10</formula>
      <formula>10</formula>
    </cfRule>
    <cfRule type="containsBlanks" dxfId="153" priority="809" stopIfTrue="1">
      <formula>LEN(TRIM(N40))=0</formula>
    </cfRule>
    <cfRule type="cellIs" dxfId="152" priority="804" operator="between">
      <formula>10.1</formula>
      <formula>10.6</formula>
    </cfRule>
    <cfRule type="cellIs" dxfId="151" priority="806" stopIfTrue="1" operator="between">
      <formula>8</formula>
      <formula>8.9</formula>
    </cfRule>
  </conditionalFormatting>
  <conditionalFormatting sqref="N54">
    <cfRule type="colorScale" priority="793">
      <colorScale>
        <cfvo type="num" val="5"/>
        <cfvo type="num" val="10"/>
        <color rgb="FFFF494D"/>
        <color rgb="FF00FF66"/>
      </colorScale>
    </cfRule>
    <cfRule type="colorScale" priority="7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150" priority="786" operator="between">
      <formula>10.1</formula>
      <formula>10.6</formula>
    </cfRule>
    <cfRule type="cellIs" dxfId="149" priority="789" operator="between">
      <formula>9</formula>
      <formula>9.9</formula>
    </cfRule>
    <cfRule type="cellIs" dxfId="148" priority="790" stopIfTrue="1" operator="between">
      <formula>10</formula>
      <formula>10</formula>
    </cfRule>
    <cfRule type="containsBlanks" dxfId="147" priority="791" stopIfTrue="1">
      <formula>LEN(TRIM(N55))=0</formula>
    </cfRule>
    <cfRule type="cellIs" dxfId="146" priority="788" stopIfTrue="1" operator="between">
      <formula>8</formula>
      <formula>8.9</formula>
    </cfRule>
    <cfRule type="cellIs" dxfId="145" priority="787" operator="between">
      <formula>7</formula>
      <formula>7.9</formula>
    </cfRule>
  </conditionalFormatting>
  <conditionalFormatting sqref="N67">
    <cfRule type="colorScale" priority="744">
      <colorScale>
        <cfvo type="num" val="5"/>
        <cfvo type="num" val="10"/>
        <color rgb="FFFF494D"/>
        <color rgb="FF00FF66"/>
      </colorScale>
    </cfRule>
    <cfRule type="colorScale" priority="7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144" priority="737" operator="between">
      <formula>10.1</formula>
      <formula>10.6</formula>
    </cfRule>
    <cfRule type="cellIs" dxfId="143" priority="738" operator="between">
      <formula>7</formula>
      <formula>7.9</formula>
    </cfRule>
    <cfRule type="cellIs" dxfId="142" priority="739" stopIfTrue="1" operator="between">
      <formula>8</formula>
      <formula>8.9</formula>
    </cfRule>
    <cfRule type="cellIs" dxfId="141" priority="740" operator="between">
      <formula>9</formula>
      <formula>9.9</formula>
    </cfRule>
    <cfRule type="containsBlanks" dxfId="140" priority="742" stopIfTrue="1">
      <formula>LEN(TRIM(N68))=0</formula>
    </cfRule>
    <cfRule type="cellIs" dxfId="139" priority="741" stopIfTrue="1" operator="between">
      <formula>10</formula>
      <formula>10</formula>
    </cfRule>
  </conditionalFormatting>
  <conditionalFormatting sqref="N79">
    <cfRule type="colorScale" priority="6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5">
      <colorScale>
        <cfvo type="num" val="5"/>
        <cfvo type="num" val="10"/>
        <color rgb="FFFF494D"/>
        <color rgb="FF00FF66"/>
      </colorScale>
    </cfRule>
  </conditionalFormatting>
  <conditionalFormatting sqref="N80:N91">
    <cfRule type="containsBlanks" dxfId="138" priority="673" stopIfTrue="1">
      <formula>LEN(TRIM(N80))=0</formula>
    </cfRule>
    <cfRule type="cellIs" dxfId="137" priority="668" operator="between">
      <formula>10.1</formula>
      <formula>10.6</formula>
    </cfRule>
    <cfRule type="cellIs" dxfId="136" priority="669" operator="between">
      <formula>7</formula>
      <formula>7.9</formula>
    </cfRule>
    <cfRule type="cellIs" dxfId="135" priority="670" stopIfTrue="1" operator="between">
      <formula>8</formula>
      <formula>8.9</formula>
    </cfRule>
    <cfRule type="cellIs" dxfId="134" priority="672" stopIfTrue="1" operator="between">
      <formula>10</formula>
      <formula>10</formula>
    </cfRule>
    <cfRule type="cellIs" dxfId="133" priority="671" operator="between">
      <formula>9</formula>
      <formula>9.9</formula>
    </cfRule>
  </conditionalFormatting>
  <conditionalFormatting sqref="N93">
    <cfRule type="colorScale" priority="630">
      <colorScale>
        <cfvo type="num" val="5"/>
        <cfvo type="num" val="10"/>
        <color rgb="FFFF494D"/>
        <color rgb="FF00FF66"/>
      </colorScale>
    </cfRule>
    <cfRule type="colorScale" priority="6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ellIs" dxfId="132" priority="634" operator="between">
      <formula>9</formula>
      <formula>9.9</formula>
    </cfRule>
    <cfRule type="cellIs" dxfId="131" priority="635" stopIfTrue="1" operator="between">
      <formula>10</formula>
      <formula>10</formula>
    </cfRule>
    <cfRule type="containsBlanks" dxfId="130" priority="636" stopIfTrue="1">
      <formula>LEN(TRIM(N94))=0</formula>
    </cfRule>
    <cfRule type="cellIs" dxfId="129" priority="632" operator="between">
      <formula>7</formula>
      <formula>7.9</formula>
    </cfRule>
    <cfRule type="cellIs" dxfId="128" priority="631" operator="between">
      <formula>10.1</formula>
      <formula>10.6</formula>
    </cfRule>
    <cfRule type="cellIs" dxfId="127" priority="633" stopIfTrue="1" operator="between">
      <formula>8</formula>
      <formula>8.9</formula>
    </cfRule>
  </conditionalFormatting>
  <conditionalFormatting sqref="N112">
    <cfRule type="colorScale" priority="5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4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26" priority="560" operator="between">
      <formula>9</formula>
      <formula>9.9</formula>
    </cfRule>
    <cfRule type="cellIs" dxfId="125" priority="559" stopIfTrue="1" operator="between">
      <formula>8</formula>
      <formula>8.9</formula>
    </cfRule>
    <cfRule type="cellIs" dxfId="124" priority="558" operator="between">
      <formula>7</formula>
      <formula>7.9</formula>
    </cfRule>
    <cfRule type="cellIs" dxfId="123" priority="557" operator="between">
      <formula>10.1</formula>
      <formula>10.6</formula>
    </cfRule>
    <cfRule type="containsBlanks" dxfId="122" priority="562" stopIfTrue="1">
      <formula>LEN(TRIM(N113))=0</formula>
    </cfRule>
    <cfRule type="cellIs" dxfId="121" priority="561" stopIfTrue="1" operator="between">
      <formula>10</formula>
      <formula>10</formula>
    </cfRule>
  </conditionalFormatting>
  <conditionalFormatting sqref="N127">
    <cfRule type="colorScale" priority="497">
      <colorScale>
        <cfvo type="num" val="5"/>
        <cfvo type="num" val="10"/>
        <color rgb="FFFF494D"/>
        <color rgb="FF00FF66"/>
      </colorScale>
    </cfRule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120" priority="485" operator="between">
      <formula>7</formula>
      <formula>7.9</formula>
    </cfRule>
    <cfRule type="cellIs" dxfId="119" priority="484" operator="between">
      <formula>10.1</formula>
      <formula>10.6</formula>
    </cfRule>
    <cfRule type="cellIs" dxfId="118" priority="483" operator="between">
      <formula>6</formula>
      <formula>6.9</formula>
    </cfRule>
    <cfRule type="containsBlanks" dxfId="117" priority="489" stopIfTrue="1">
      <formula>LEN(TRIM(N128))=0</formula>
    </cfRule>
    <cfRule type="cellIs" dxfId="116" priority="487" operator="between">
      <formula>9</formula>
      <formula>9.9</formula>
    </cfRule>
    <cfRule type="cellIs" dxfId="115" priority="486" stopIfTrue="1" operator="between">
      <formula>8</formula>
      <formula>8.9</formula>
    </cfRule>
    <cfRule type="cellIs" dxfId="114" priority="491" operator="between">
      <formula>7</formula>
      <formula>7.9</formula>
    </cfRule>
    <cfRule type="cellIs" dxfId="113" priority="488" stopIfTrue="1" operator="between">
      <formula>10</formula>
      <formula>10</formula>
    </cfRule>
    <cfRule type="containsBlanks" dxfId="112" priority="495" stopIfTrue="1">
      <formula>LEN(TRIM(N128))=0</formula>
    </cfRule>
    <cfRule type="cellIs" dxfId="111" priority="494" stopIfTrue="1" operator="between">
      <formula>10</formula>
      <formula>10</formula>
    </cfRule>
    <cfRule type="cellIs" dxfId="110" priority="493" operator="between">
      <formula>9</formula>
      <formula>9.9</formula>
    </cfRule>
    <cfRule type="cellIs" dxfId="109" priority="492" stopIfTrue="1" operator="between">
      <formula>8</formula>
      <formula>8.9</formula>
    </cfRule>
    <cfRule type="cellIs" dxfId="108" priority="490" operator="between">
      <formula>10.1</formula>
      <formula>10.6</formula>
    </cfRule>
  </conditionalFormatting>
  <conditionalFormatting sqref="N137">
    <cfRule type="colorScale" priority="4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5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107" priority="449" operator="between">
      <formula>7</formula>
      <formula>7.9</formula>
    </cfRule>
    <cfRule type="cellIs" dxfId="106" priority="450" stopIfTrue="1" operator="between">
      <formula>8</formula>
      <formula>8.9</formula>
    </cfRule>
    <cfRule type="cellIs" dxfId="105" priority="451" operator="between">
      <formula>9</formula>
      <formula>9.9</formula>
    </cfRule>
    <cfRule type="cellIs" dxfId="104" priority="448" operator="between">
      <formula>10.1</formula>
      <formula>10.6</formula>
    </cfRule>
    <cfRule type="cellIs" dxfId="103" priority="447" operator="between">
      <formula>6</formula>
      <formula>6.9</formula>
    </cfRule>
    <cfRule type="containsBlanks" dxfId="102" priority="453" stopIfTrue="1">
      <formula>LEN(TRIM(N138))=0</formula>
    </cfRule>
    <cfRule type="cellIs" dxfId="101" priority="452" stopIfTrue="1" operator="between">
      <formula>10</formula>
      <formula>10</formula>
    </cfRule>
  </conditionalFormatting>
  <conditionalFormatting sqref="N144">
    <cfRule type="colorScale" priority="4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6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ontainsBlanks" dxfId="100" priority="444" stopIfTrue="1">
      <formula>LEN(TRIM(N145))=0</formula>
    </cfRule>
    <cfRule type="cellIs" dxfId="99" priority="442" operator="between">
      <formula>9</formula>
      <formula>9.9</formula>
    </cfRule>
    <cfRule type="cellIs" dxfId="98" priority="443" stopIfTrue="1" operator="between">
      <formula>10</formula>
      <formula>10</formula>
    </cfRule>
    <cfRule type="cellIs" dxfId="97" priority="441" stopIfTrue="1" operator="between">
      <formula>8</formula>
      <formula>8.9</formula>
    </cfRule>
    <cfRule type="cellIs" dxfId="96" priority="438" operator="between">
      <formula>6</formula>
      <formula>6.9</formula>
    </cfRule>
    <cfRule type="cellIs" dxfId="95" priority="440" operator="between">
      <formula>7</formula>
      <formula>7.9</formula>
    </cfRule>
    <cfRule type="cellIs" dxfId="94" priority="439" operator="between">
      <formula>10.1</formula>
      <formula>10.6</formula>
    </cfRule>
  </conditionalFormatting>
  <conditionalFormatting sqref="N152">
    <cfRule type="colorScale" priority="3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2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93" priority="384" operator="between">
      <formula>6</formula>
      <formula>6.9</formula>
    </cfRule>
    <cfRule type="cellIs" dxfId="92" priority="388" operator="between">
      <formula>9</formula>
      <formula>9.9</formula>
    </cfRule>
    <cfRule type="cellIs" dxfId="91" priority="386" operator="between">
      <formula>7</formula>
      <formula>7.9</formula>
    </cfRule>
    <cfRule type="cellIs" dxfId="90" priority="387" stopIfTrue="1" operator="between">
      <formula>8</formula>
      <formula>8.9</formula>
    </cfRule>
    <cfRule type="cellIs" dxfId="89" priority="385" operator="between">
      <formula>10.1</formula>
      <formula>10.6</formula>
    </cfRule>
    <cfRule type="containsBlanks" dxfId="88" priority="390" stopIfTrue="1">
      <formula>LEN(TRIM(N153))=0</formula>
    </cfRule>
    <cfRule type="cellIs" dxfId="87" priority="389" stopIfTrue="1" operator="between">
      <formula>10</formula>
      <formula>10</formula>
    </cfRule>
  </conditionalFormatting>
  <conditionalFormatting sqref="N161">
    <cfRule type="colorScale" priority="367">
      <colorScale>
        <cfvo type="num" val="5"/>
        <cfvo type="num" val="10"/>
        <color rgb="FFFF494D"/>
        <color rgb="FF00FF66"/>
      </colorScale>
    </cfRule>
    <cfRule type="colorScale" priority="3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86" priority="373" stopIfTrue="1" operator="between">
      <formula>10</formula>
      <formula>10</formula>
    </cfRule>
    <cfRule type="cellIs" dxfId="85" priority="369" operator="between">
      <formula>10.1</formula>
      <formula>10.6</formula>
    </cfRule>
    <cfRule type="cellIs" dxfId="84" priority="368" operator="between">
      <formula>6</formula>
      <formula>6.9</formula>
    </cfRule>
    <cfRule type="cellIs" dxfId="83" priority="370" operator="between">
      <formula>7</formula>
      <formula>7.9</formula>
    </cfRule>
    <cfRule type="cellIs" dxfId="82" priority="371" stopIfTrue="1" operator="between">
      <formula>8</formula>
      <formula>8.9</formula>
    </cfRule>
    <cfRule type="cellIs" dxfId="81" priority="372" operator="between">
      <formula>9</formula>
      <formula>9.9</formula>
    </cfRule>
    <cfRule type="containsBlanks" dxfId="80" priority="374" stopIfTrue="1">
      <formula>LEN(TRIM(N162))=0</formula>
    </cfRule>
  </conditionalFormatting>
  <conditionalFormatting sqref="N182">
    <cfRule type="colorScale" priority="320">
      <colorScale>
        <cfvo type="num" val="5"/>
        <cfvo type="num" val="10"/>
        <color rgb="FFFF494D"/>
        <color rgb="FF00FF66"/>
      </colorScale>
    </cfRule>
    <cfRule type="colorScale" priority="3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267">
      <colorScale>
        <cfvo type="num" val="5"/>
        <cfvo type="num" val="10"/>
        <color rgb="FFFF494D"/>
        <color rgb="FF00FF66"/>
      </colorScale>
    </cfRule>
    <cfRule type="colorScale" priority="2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79" priority="263" operator="between">
      <formula>9</formula>
      <formula>9.9</formula>
    </cfRule>
    <cfRule type="containsBlanks" dxfId="78" priority="265" stopIfTrue="1">
      <formula>LEN(TRIM(N186))=0</formula>
    </cfRule>
    <cfRule type="cellIs" dxfId="77" priority="259" operator="between">
      <formula>6</formula>
      <formula>6.9</formula>
    </cfRule>
    <cfRule type="cellIs" dxfId="76" priority="260" operator="between">
      <formula>10.1</formula>
      <formula>10.6</formula>
    </cfRule>
    <cfRule type="cellIs" dxfId="75" priority="261" operator="between">
      <formula>7</formula>
      <formula>7.9</formula>
    </cfRule>
    <cfRule type="cellIs" dxfId="74" priority="262" stopIfTrue="1" operator="between">
      <formula>8</formula>
      <formula>8.9</formula>
    </cfRule>
    <cfRule type="cellIs" dxfId="73" priority="264" stopIfTrue="1" operator="between">
      <formula>10</formula>
      <formula>10</formula>
    </cfRule>
  </conditionalFormatting>
  <conditionalFormatting sqref="N211">
    <cfRule type="colorScale" priority="184">
      <colorScale>
        <cfvo type="num" val="5"/>
        <cfvo type="num" val="10"/>
        <color rgb="FFFF494D"/>
        <color rgb="FF00FF66"/>
      </colorScale>
    </cfRule>
    <cfRule type="colorScale" priority="1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ontainsBlanks" dxfId="72" priority="182" stopIfTrue="1">
      <formula>LEN(TRIM(N212))=0</formula>
    </cfRule>
    <cfRule type="cellIs" dxfId="71" priority="181" stopIfTrue="1" operator="between">
      <formula>10</formula>
      <formula>10</formula>
    </cfRule>
    <cfRule type="cellIs" dxfId="70" priority="180" operator="between">
      <formula>9</formula>
      <formula>9.9</formula>
    </cfRule>
    <cfRule type="cellIs" dxfId="69" priority="178" operator="between">
      <formula>7</formula>
      <formula>7.9</formula>
    </cfRule>
    <cfRule type="cellIs" dxfId="68" priority="177" operator="between">
      <formula>10.1</formula>
      <formula>11</formula>
    </cfRule>
    <cfRule type="cellIs" dxfId="67" priority="179" stopIfTrue="1" operator="between">
      <formula>8</formula>
      <formula>8.9</formula>
    </cfRule>
    <cfRule type="cellIs" dxfId="66" priority="176" operator="between">
      <formula>6</formula>
      <formula>6.9</formula>
    </cfRule>
  </conditionalFormatting>
  <conditionalFormatting sqref="N228">
    <cfRule type="colorScale" priority="121">
      <colorScale>
        <cfvo type="num" val="5"/>
        <cfvo type="num" val="10"/>
        <color rgb="FFFF494D"/>
        <color rgb="FF00FF66"/>
      </colorScale>
    </cfRule>
    <cfRule type="colorScale" priority="1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65" priority="127" stopIfTrue="1" operator="between">
      <formula>10</formula>
      <formula>10</formula>
    </cfRule>
    <cfRule type="cellIs" dxfId="64" priority="122" operator="between">
      <formula>6</formula>
      <formula>6.9</formula>
    </cfRule>
    <cfRule type="cellIs" dxfId="63" priority="125" stopIfTrue="1" operator="between">
      <formula>8</formula>
      <formula>8.9</formula>
    </cfRule>
    <cfRule type="cellIs" dxfId="62" priority="126" operator="between">
      <formula>9</formula>
      <formula>9.9</formula>
    </cfRule>
    <cfRule type="containsBlanks" dxfId="61" priority="128" stopIfTrue="1">
      <formula>LEN(TRIM(N229))=0</formula>
    </cfRule>
    <cfRule type="cellIs" dxfId="60" priority="123" operator="between">
      <formula>10.1</formula>
      <formula>11</formula>
    </cfRule>
    <cfRule type="cellIs" dxfId="59" priority="124" operator="between">
      <formula>7</formula>
      <formula>7.9</formula>
    </cfRule>
  </conditionalFormatting>
  <conditionalFormatting sqref="N240">
    <cfRule type="colorScale" priority="76">
      <colorScale>
        <cfvo type="num" val="5"/>
        <cfvo type="num" val="10"/>
        <color rgb="FFFF494D"/>
        <color rgb="FF00FF66"/>
      </colorScale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58" priority="69" operator="between">
      <formula>10.1</formula>
      <formula>10.6</formula>
    </cfRule>
    <cfRule type="cellIs" dxfId="57" priority="72" operator="between">
      <formula>9</formula>
      <formula>9.9</formula>
    </cfRule>
    <cfRule type="cellIs" dxfId="56" priority="73" stopIfTrue="1" operator="between">
      <formula>10</formula>
      <formula>10</formula>
    </cfRule>
    <cfRule type="containsBlanks" dxfId="55" priority="74" stopIfTrue="1">
      <formula>LEN(TRIM(N241))=0</formula>
    </cfRule>
    <cfRule type="cellIs" dxfId="54" priority="71" stopIfTrue="1" operator="between">
      <formula>8</formula>
      <formula>8.9</formula>
    </cfRule>
    <cfRule type="cellIs" dxfId="53" priority="70" operator="between">
      <formula>7</formula>
      <formula>7.9</formula>
    </cfRule>
    <cfRule type="cellIs" dxfId="52" priority="68" operator="between">
      <formula>6</formula>
      <formula>6.9</formula>
    </cfRule>
  </conditionalFormatting>
  <conditionalFormatting sqref="N249">
    <cfRule type="colorScale" priority="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ontainsBlanks" dxfId="51" priority="47" stopIfTrue="1">
      <formula>LEN(TRIM(N250))=0</formula>
    </cfRule>
    <cfRule type="cellIs" dxfId="50" priority="46" stopIfTrue="1" operator="between">
      <formula>10</formula>
      <formula>10</formula>
    </cfRule>
    <cfRule type="cellIs" dxfId="49" priority="45" operator="between">
      <formula>9</formula>
      <formula>9.9</formula>
    </cfRule>
    <cfRule type="cellIs" dxfId="48" priority="44" stopIfTrue="1" operator="between">
      <formula>8</formula>
      <formula>8.9</formula>
    </cfRule>
    <cfRule type="cellIs" dxfId="47" priority="41" operator="between">
      <formula>6</formula>
      <formula>6.9</formula>
    </cfRule>
    <cfRule type="cellIs" dxfId="46" priority="42" operator="between">
      <formula>10.1</formula>
      <formula>10.6</formula>
    </cfRule>
    <cfRule type="cellIs" dxfId="45" priority="43" operator="between">
      <formula>7</formula>
      <formula>7.9</formula>
    </cfRule>
  </conditionalFormatting>
  <conditionalFormatting sqref="AS3:AS9">
    <cfRule type="cellIs" dxfId="44" priority="932" operator="between">
      <formula>7</formula>
      <formula>7.9</formula>
    </cfRule>
    <cfRule type="cellIs" dxfId="43" priority="933" operator="between">
      <formula>8</formula>
      <formula>8.9</formula>
    </cfRule>
    <cfRule type="cellIs" dxfId="42" priority="935" operator="between">
      <formula>10</formula>
      <formula>10</formula>
    </cfRule>
    <cfRule type="cellIs" dxfId="41" priority="934" operator="between">
      <formula>9</formula>
      <formula>9.9</formula>
    </cfRule>
  </conditionalFormatting>
  <conditionalFormatting sqref="K265:K274">
    <cfRule type="cellIs" dxfId="6" priority="3" operator="between">
      <formula>6</formula>
      <formula>6.9</formula>
    </cfRule>
    <cfRule type="cellIs" dxfId="5" priority="4" operator="between">
      <formula>10.1</formula>
      <formula>10.6</formula>
    </cfRule>
    <cfRule type="cellIs" dxfId="0" priority="5" operator="between">
      <formula>7</formula>
      <formula>7.9</formula>
    </cfRule>
    <cfRule type="cellIs" dxfId="1" priority="6" stopIfTrue="1" operator="between">
      <formula>8</formula>
      <formula>8.9</formula>
    </cfRule>
    <cfRule type="cellIs" dxfId="2" priority="7" operator="between">
      <formula>9</formula>
      <formula>9.9</formula>
    </cfRule>
    <cfRule type="cellIs" dxfId="3" priority="8" stopIfTrue="1" operator="between">
      <formula>10</formula>
      <formula>10</formula>
    </cfRule>
    <cfRule type="containsBlanks" dxfId="4" priority="9" stopIfTrue="1">
      <formula>LEN(TRIM(K265))=0</formula>
    </cfRule>
  </conditionalFormatting>
  <conditionalFormatting sqref="K264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5"/>
    </row>
    <row r="2" spans="1:16" s="30" customFormat="1" ht="13.05" customHeight="1">
      <c r="A2" s="32"/>
      <c r="B2" s="33" t="s">
        <v>142</v>
      </c>
      <c r="C2" s="39">
        <f>ROUND(SUM(C3:C17)/COUNT(C3:C17), 2)</f>
        <v>9.5</v>
      </c>
      <c r="D2" s="32"/>
      <c r="E2" s="33" t="s">
        <v>226</v>
      </c>
      <c r="F2" s="39">
        <f>ROUND(SUM(F3:F15)/COUNT(F3:F15), 2)</f>
        <v>9.08</v>
      </c>
      <c r="G2" s="32"/>
      <c r="H2" s="33" t="s">
        <v>227</v>
      </c>
      <c r="I2" s="40">
        <f>ROUND(SUM(I3:I15)/COUNT(I3:I15), 2)</f>
        <v>8.6199999999999992</v>
      </c>
      <c r="J2" s="32"/>
      <c r="K2" s="33" t="s">
        <v>228</v>
      </c>
      <c r="L2" s="40">
        <f>ROUND(SUM(L3:L15)/COUNT(L3:L15), 2)</f>
        <v>8.65</v>
      </c>
      <c r="M2" s="32"/>
      <c r="N2" s="33" t="s">
        <v>229</v>
      </c>
      <c r="O2" s="40">
        <f>ROUND(SUM(O3:O14)/COUNT(O3:O14), 2)</f>
        <v>9.67</v>
      </c>
      <c r="P2" s="31"/>
    </row>
    <row r="3" spans="1:16" ht="13.05" customHeight="1">
      <c r="A3" s="32"/>
      <c r="B3" s="32" t="s">
        <v>143</v>
      </c>
      <c r="C3" s="34">
        <v>10</v>
      </c>
      <c r="D3" s="32"/>
      <c r="E3" s="32" t="s">
        <v>223</v>
      </c>
      <c r="F3" s="34">
        <v>10</v>
      </c>
      <c r="G3" s="32"/>
      <c r="H3" s="32" t="s">
        <v>22</v>
      </c>
      <c r="I3" s="34">
        <v>8.5</v>
      </c>
      <c r="J3" s="32"/>
      <c r="K3" s="32" t="s">
        <v>165</v>
      </c>
      <c r="L3" s="34">
        <v>8.5</v>
      </c>
      <c r="M3" s="32"/>
      <c r="N3" s="32" t="s">
        <v>0</v>
      </c>
      <c r="O3" s="34">
        <v>10</v>
      </c>
      <c r="P3" s="5"/>
    </row>
    <row r="4" spans="1:16" ht="13.05" customHeight="1">
      <c r="A4" s="32"/>
      <c r="B4" s="32" t="s">
        <v>144</v>
      </c>
      <c r="C4" s="34">
        <v>10</v>
      </c>
      <c r="D4" s="32"/>
      <c r="E4" s="32" t="s">
        <v>178</v>
      </c>
      <c r="F4" s="34">
        <v>9.5</v>
      </c>
      <c r="G4" s="32"/>
      <c r="H4" s="32" t="s">
        <v>23</v>
      </c>
      <c r="I4" s="34">
        <v>9</v>
      </c>
      <c r="J4" s="32"/>
      <c r="K4" s="32" t="s">
        <v>166</v>
      </c>
      <c r="L4" s="34">
        <v>9</v>
      </c>
      <c r="M4" s="32"/>
      <c r="N4" s="35" t="s">
        <v>1</v>
      </c>
      <c r="O4" s="41"/>
      <c r="P4" s="5"/>
    </row>
    <row r="5" spans="1:16" ht="13.05" customHeight="1">
      <c r="A5" s="32"/>
      <c r="B5" s="32" t="s">
        <v>145</v>
      </c>
      <c r="C5" s="34">
        <v>10</v>
      </c>
      <c r="D5" s="32"/>
      <c r="E5" s="32" t="s">
        <v>179</v>
      </c>
      <c r="F5" s="34">
        <v>9</v>
      </c>
      <c r="G5" s="32"/>
      <c r="H5" s="32" t="s">
        <v>24</v>
      </c>
      <c r="I5" s="34">
        <v>8</v>
      </c>
      <c r="J5" s="32"/>
      <c r="K5" s="32" t="s">
        <v>167</v>
      </c>
      <c r="L5" s="34">
        <v>8.5</v>
      </c>
      <c r="M5" s="32"/>
      <c r="N5" s="32" t="s">
        <v>2</v>
      </c>
      <c r="O5" s="34">
        <v>9.5</v>
      </c>
      <c r="P5" s="5"/>
    </row>
    <row r="6" spans="1:16" ht="13.05" customHeight="1">
      <c r="A6" s="32"/>
      <c r="B6" s="35" t="s">
        <v>202</v>
      </c>
      <c r="C6" s="41"/>
      <c r="D6" s="32"/>
      <c r="E6" s="32" t="s">
        <v>180</v>
      </c>
      <c r="F6" s="34">
        <v>10</v>
      </c>
      <c r="G6" s="32"/>
      <c r="H6" s="32" t="s">
        <v>25</v>
      </c>
      <c r="I6" s="34">
        <v>9.5</v>
      </c>
      <c r="J6" s="32"/>
      <c r="K6" s="32" t="s">
        <v>168</v>
      </c>
      <c r="L6" s="34">
        <v>10</v>
      </c>
      <c r="M6" s="32"/>
      <c r="N6" s="35" t="s">
        <v>3</v>
      </c>
      <c r="O6" s="41"/>
      <c r="P6" s="5"/>
    </row>
    <row r="7" spans="1:16" ht="13.05" customHeight="1">
      <c r="A7" s="32"/>
      <c r="B7" s="32" t="s">
        <v>203</v>
      </c>
      <c r="C7" s="34">
        <v>10</v>
      </c>
      <c r="D7" s="32"/>
      <c r="E7" s="32" t="s">
        <v>181</v>
      </c>
      <c r="F7" s="34">
        <v>8.5</v>
      </c>
      <c r="G7" s="32"/>
      <c r="H7" s="32" t="s">
        <v>26</v>
      </c>
      <c r="I7" s="34">
        <v>10</v>
      </c>
      <c r="J7" s="32"/>
      <c r="K7" s="32" t="s">
        <v>169</v>
      </c>
      <c r="L7" s="34">
        <v>9</v>
      </c>
      <c r="M7" s="32"/>
      <c r="N7" s="32" t="s">
        <v>4</v>
      </c>
      <c r="O7" s="34">
        <v>10</v>
      </c>
      <c r="P7" s="5"/>
    </row>
    <row r="8" spans="1:16" ht="13.05" customHeight="1">
      <c r="A8" s="32"/>
      <c r="B8" s="35" t="s">
        <v>204</v>
      </c>
      <c r="C8" s="41"/>
      <c r="D8" s="32"/>
      <c r="E8" s="32" t="s">
        <v>224</v>
      </c>
      <c r="F8" s="34">
        <v>8</v>
      </c>
      <c r="G8" s="32"/>
      <c r="H8" s="32" t="s">
        <v>27</v>
      </c>
      <c r="I8" s="34">
        <v>9.5</v>
      </c>
      <c r="J8" s="32"/>
      <c r="K8" s="32" t="s">
        <v>160</v>
      </c>
      <c r="L8" s="34">
        <v>8</v>
      </c>
      <c r="M8" s="32"/>
      <c r="N8" s="32" t="s">
        <v>5</v>
      </c>
      <c r="O8" s="34">
        <v>10</v>
      </c>
      <c r="P8" s="5"/>
    </row>
    <row r="9" spans="1:16" ht="13.05" customHeight="1">
      <c r="A9" s="32"/>
      <c r="B9" s="32" t="s">
        <v>205</v>
      </c>
      <c r="C9" s="34">
        <v>8.5</v>
      </c>
      <c r="D9" s="32"/>
      <c r="E9" s="32" t="s">
        <v>183</v>
      </c>
      <c r="F9" s="34">
        <v>8.5</v>
      </c>
      <c r="G9" s="32"/>
      <c r="H9" s="32" t="s">
        <v>28</v>
      </c>
      <c r="I9" s="34">
        <v>9</v>
      </c>
      <c r="J9" s="32"/>
      <c r="K9" s="32" t="s">
        <v>170</v>
      </c>
      <c r="L9" s="34">
        <v>9</v>
      </c>
      <c r="M9" s="32"/>
      <c r="N9" s="32" t="s">
        <v>6</v>
      </c>
      <c r="O9" s="34">
        <v>9</v>
      </c>
      <c r="P9" s="5"/>
    </row>
    <row r="10" spans="1:16" ht="13.05" customHeight="1">
      <c r="A10" s="32"/>
      <c r="B10" s="35" t="s">
        <v>206</v>
      </c>
      <c r="C10" s="41"/>
      <c r="D10" s="32"/>
      <c r="E10" s="32" t="s">
        <v>225</v>
      </c>
      <c r="F10" s="34">
        <v>8.5</v>
      </c>
      <c r="G10" s="32"/>
      <c r="H10" s="32" t="s">
        <v>29</v>
      </c>
      <c r="I10" s="34">
        <v>7.5</v>
      </c>
      <c r="J10" s="32"/>
      <c r="K10" s="32" t="s">
        <v>171</v>
      </c>
      <c r="L10" s="34">
        <v>8.5</v>
      </c>
      <c r="M10" s="32"/>
      <c r="N10" s="32" t="s">
        <v>7</v>
      </c>
      <c r="O10" s="34">
        <v>10</v>
      </c>
      <c r="P10" s="5"/>
    </row>
    <row r="11" spans="1:16" ht="13.05" customHeight="1">
      <c r="A11" s="32"/>
      <c r="B11" s="32" t="s">
        <v>207</v>
      </c>
      <c r="C11" s="34">
        <v>9</v>
      </c>
      <c r="D11" s="32"/>
      <c r="E11" s="32" t="s">
        <v>185</v>
      </c>
      <c r="F11" s="34">
        <v>10</v>
      </c>
      <c r="G11" s="32"/>
      <c r="H11" s="32" t="s">
        <v>30</v>
      </c>
      <c r="I11" s="34">
        <v>7.5</v>
      </c>
      <c r="J11" s="32"/>
      <c r="K11" s="32" t="s">
        <v>172</v>
      </c>
      <c r="L11" s="34">
        <v>8</v>
      </c>
      <c r="M11" s="32"/>
      <c r="N11" s="32" t="s">
        <v>8</v>
      </c>
      <c r="O11" s="34">
        <v>9</v>
      </c>
      <c r="P11" s="5"/>
    </row>
    <row r="12" spans="1:16" ht="13.05" customHeight="1">
      <c r="A12" s="32"/>
      <c r="B12" s="35" t="s">
        <v>208</v>
      </c>
      <c r="C12" s="41"/>
      <c r="D12" s="32"/>
      <c r="E12" s="35" t="s">
        <v>186</v>
      </c>
      <c r="F12" s="41"/>
      <c r="G12" s="32"/>
      <c r="H12" s="32" t="s">
        <v>31</v>
      </c>
      <c r="I12" s="34">
        <v>7.5</v>
      </c>
      <c r="J12" s="32"/>
      <c r="K12" s="32" t="s">
        <v>173</v>
      </c>
      <c r="L12" s="34">
        <v>10</v>
      </c>
      <c r="M12" s="32"/>
      <c r="N12" s="32" t="s">
        <v>9</v>
      </c>
      <c r="O12" s="34">
        <v>10</v>
      </c>
      <c r="P12" s="5"/>
    </row>
    <row r="13" spans="1:16" ht="13.05" customHeight="1">
      <c r="A13" s="32"/>
      <c r="B13" s="32" t="s">
        <v>209</v>
      </c>
      <c r="C13" s="34">
        <v>10</v>
      </c>
      <c r="D13" s="32"/>
      <c r="E13" s="32" t="s">
        <v>187</v>
      </c>
      <c r="F13" s="34">
        <v>8</v>
      </c>
      <c r="G13" s="32"/>
      <c r="H13" s="32" t="s">
        <v>32</v>
      </c>
      <c r="I13" s="34">
        <v>9</v>
      </c>
      <c r="J13" s="32"/>
      <c r="K13" s="32" t="s">
        <v>174</v>
      </c>
      <c r="L13" s="34">
        <v>8.5</v>
      </c>
      <c r="M13" s="32"/>
      <c r="N13" s="32" t="s">
        <v>10</v>
      </c>
      <c r="O13" s="34">
        <v>9.5</v>
      </c>
      <c r="P13" s="5"/>
    </row>
    <row r="14" spans="1:16" ht="13.05" customHeight="1">
      <c r="A14" s="32"/>
      <c r="B14" s="35" t="s">
        <v>210</v>
      </c>
      <c r="C14" s="41"/>
      <c r="D14" s="32"/>
      <c r="E14" s="32" t="s">
        <v>188</v>
      </c>
      <c r="F14" s="34">
        <v>9</v>
      </c>
      <c r="G14" s="32"/>
      <c r="H14" s="32" t="s">
        <v>33</v>
      </c>
      <c r="I14" s="34">
        <v>8.5</v>
      </c>
      <c r="J14" s="32"/>
      <c r="K14" s="32" t="s">
        <v>175</v>
      </c>
      <c r="L14" s="34">
        <v>8</v>
      </c>
      <c r="M14" s="32"/>
      <c r="N14" s="35" t="s">
        <v>11</v>
      </c>
      <c r="O14" s="41"/>
      <c r="P14" s="5"/>
    </row>
    <row r="15" spans="1:16" ht="13.05" customHeight="1">
      <c r="A15" s="32"/>
      <c r="B15" s="32" t="s">
        <v>211</v>
      </c>
      <c r="C15" s="34">
        <v>9.5</v>
      </c>
      <c r="D15" s="32"/>
      <c r="E15" s="32" t="s">
        <v>189</v>
      </c>
      <c r="F15" s="34">
        <v>10</v>
      </c>
      <c r="G15" s="32"/>
      <c r="H15" s="32" t="s">
        <v>34</v>
      </c>
      <c r="I15" s="34">
        <v>8.5</v>
      </c>
      <c r="J15" s="32"/>
      <c r="K15" s="32" t="s">
        <v>176</v>
      </c>
      <c r="L15" s="34">
        <v>7.5</v>
      </c>
      <c r="M15" s="32"/>
      <c r="N15" s="32"/>
      <c r="O15" s="32"/>
      <c r="P15" s="5"/>
    </row>
    <row r="16" spans="1:16" ht="13.05" customHeight="1">
      <c r="A16" s="32"/>
      <c r="B16" s="35" t="s">
        <v>212</v>
      </c>
      <c r="C16" s="41"/>
      <c r="D16" s="32"/>
      <c r="E16" s="32"/>
      <c r="F16" s="32"/>
      <c r="G16" s="32"/>
      <c r="H16" s="32"/>
      <c r="I16" s="32"/>
      <c r="J16" s="32"/>
      <c r="K16" s="32"/>
      <c r="L16" s="34"/>
      <c r="M16" s="32"/>
      <c r="N16" s="33" t="s">
        <v>253</v>
      </c>
      <c r="O16" s="40">
        <f>ROUND(SUM(O17:O27)/COUNT(O17:O27), 2)</f>
        <v>8.68</v>
      </c>
      <c r="P16" s="5"/>
    </row>
    <row r="17" spans="1:16" ht="13.05" customHeight="1">
      <c r="A17" s="32"/>
      <c r="B17" s="32" t="s">
        <v>213</v>
      </c>
      <c r="C17" s="34">
        <v>8.5</v>
      </c>
      <c r="D17" s="32"/>
      <c r="E17" s="33" t="s">
        <v>230</v>
      </c>
      <c r="F17" s="40">
        <f>ROUND(SUM(F18:F30)/COUNT(F18:F30), 2)</f>
        <v>8.2899999999999991</v>
      </c>
      <c r="G17" s="32"/>
      <c r="H17" s="36" t="s">
        <v>231</v>
      </c>
      <c r="I17" s="40">
        <f>ROUND(SUM(I18:I29)/COUNT(I18:I29), 2)</f>
        <v>8.67</v>
      </c>
      <c r="J17" s="32"/>
      <c r="K17" s="33" t="s">
        <v>232</v>
      </c>
      <c r="L17" s="40">
        <f>ROUND(SUM(L18:L30)/COUNT(L18:L30), 2)</f>
        <v>9.0399999999999991</v>
      </c>
      <c r="M17" s="32"/>
      <c r="N17" s="32" t="s">
        <v>76</v>
      </c>
      <c r="O17" s="34">
        <v>10</v>
      </c>
      <c r="P17" s="5"/>
    </row>
    <row r="18" spans="1:16" ht="13.05" customHeight="1">
      <c r="A18" s="32"/>
      <c r="B18" s="32"/>
      <c r="C18" s="32"/>
      <c r="D18" s="32"/>
      <c r="E18" s="32" t="s">
        <v>113</v>
      </c>
      <c r="F18" s="34">
        <v>9.5</v>
      </c>
      <c r="G18" s="32"/>
      <c r="H18" s="32" t="s">
        <v>96</v>
      </c>
      <c r="I18" s="34">
        <v>8.5</v>
      </c>
      <c r="J18" s="32"/>
      <c r="K18" s="32" t="s">
        <v>63</v>
      </c>
      <c r="L18" s="34">
        <v>9</v>
      </c>
      <c r="M18" s="32"/>
      <c r="N18" s="32" t="s">
        <v>77</v>
      </c>
      <c r="O18" s="34">
        <v>8.5</v>
      </c>
      <c r="P18" s="5"/>
    </row>
    <row r="19" spans="1:16" ht="13.05" customHeight="1">
      <c r="A19" s="32"/>
      <c r="B19" s="33" t="s">
        <v>233</v>
      </c>
      <c r="C19" s="40">
        <f>ROUND(SUM(C20:C31)/COUNT(C20:C31), 2)</f>
        <v>9.41</v>
      </c>
      <c r="D19" s="32"/>
      <c r="E19" s="32" t="s">
        <v>114</v>
      </c>
      <c r="F19" s="34">
        <v>9</v>
      </c>
      <c r="G19" s="32"/>
      <c r="H19" s="32" t="s">
        <v>97</v>
      </c>
      <c r="I19" s="34">
        <v>10</v>
      </c>
      <c r="J19" s="32"/>
      <c r="K19" s="32" t="s">
        <v>64</v>
      </c>
      <c r="L19" s="34">
        <v>10</v>
      </c>
      <c r="M19" s="32"/>
      <c r="N19" s="32" t="s">
        <v>78</v>
      </c>
      <c r="O19" s="34">
        <v>10</v>
      </c>
      <c r="P19" s="5"/>
    </row>
    <row r="20" spans="1:16" ht="13.05" customHeight="1">
      <c r="A20" s="32"/>
      <c r="B20" s="32" t="s">
        <v>146</v>
      </c>
      <c r="C20" s="34">
        <v>9</v>
      </c>
      <c r="D20" s="32"/>
      <c r="E20" s="32" t="s">
        <v>115</v>
      </c>
      <c r="F20" s="34">
        <v>8.5</v>
      </c>
      <c r="G20" s="32"/>
      <c r="H20" s="32" t="s">
        <v>98</v>
      </c>
      <c r="I20" s="34">
        <v>8</v>
      </c>
      <c r="J20" s="32"/>
      <c r="K20" s="32" t="s">
        <v>65</v>
      </c>
      <c r="L20" s="34">
        <v>10</v>
      </c>
      <c r="M20" s="32"/>
      <c r="N20" s="32" t="s">
        <v>79</v>
      </c>
      <c r="O20" s="34">
        <v>9</v>
      </c>
      <c r="P20" s="5"/>
    </row>
    <row r="21" spans="1:16" ht="13.05" customHeight="1">
      <c r="A21" s="32"/>
      <c r="B21" s="32" t="s">
        <v>147</v>
      </c>
      <c r="C21" s="34">
        <v>10</v>
      </c>
      <c r="D21" s="32"/>
      <c r="E21" s="32" t="s">
        <v>116</v>
      </c>
      <c r="F21" s="34">
        <v>8.5</v>
      </c>
      <c r="G21" s="32"/>
      <c r="H21" s="32" t="s">
        <v>99</v>
      </c>
      <c r="I21" s="34">
        <v>8.5</v>
      </c>
      <c r="J21" s="32"/>
      <c r="K21" s="32" t="s">
        <v>66</v>
      </c>
      <c r="L21" s="34">
        <v>9.5</v>
      </c>
      <c r="M21" s="32"/>
      <c r="N21" s="32" t="s">
        <v>80</v>
      </c>
      <c r="O21" s="34">
        <v>8</v>
      </c>
      <c r="P21" s="5"/>
    </row>
    <row r="22" spans="1:16" ht="13.05" customHeight="1">
      <c r="A22" s="32"/>
      <c r="B22" s="32" t="s">
        <v>148</v>
      </c>
      <c r="C22" s="34">
        <v>9.5</v>
      </c>
      <c r="D22" s="32"/>
      <c r="E22" s="32" t="s">
        <v>117</v>
      </c>
      <c r="F22" s="34">
        <v>9</v>
      </c>
      <c r="G22" s="32"/>
      <c r="H22" s="32" t="s">
        <v>100</v>
      </c>
      <c r="I22" s="34">
        <v>8.5</v>
      </c>
      <c r="J22" s="32"/>
      <c r="K22" s="32" t="s">
        <v>67</v>
      </c>
      <c r="L22" s="34">
        <v>8.5</v>
      </c>
      <c r="M22" s="32"/>
      <c r="N22" s="32" t="s">
        <v>81</v>
      </c>
      <c r="O22" s="34">
        <v>8.5</v>
      </c>
      <c r="P22" s="5"/>
    </row>
    <row r="23" spans="1:16" ht="13.05" customHeight="1">
      <c r="A23" s="32"/>
      <c r="B23" s="32" t="s">
        <v>149</v>
      </c>
      <c r="C23" s="34">
        <v>9.5</v>
      </c>
      <c r="D23" s="32"/>
      <c r="E23" s="32" t="s">
        <v>118</v>
      </c>
      <c r="F23" s="34">
        <v>8.5</v>
      </c>
      <c r="G23" s="32"/>
      <c r="H23" s="32" t="s">
        <v>101</v>
      </c>
      <c r="I23" s="34">
        <v>7.5</v>
      </c>
      <c r="J23" s="32"/>
      <c r="K23" s="35" t="s">
        <v>68</v>
      </c>
      <c r="L23" s="41"/>
      <c r="M23" s="32"/>
      <c r="N23" s="32" t="s">
        <v>82</v>
      </c>
      <c r="O23" s="34">
        <v>8</v>
      </c>
      <c r="P23" s="5"/>
    </row>
    <row r="24" spans="1:16" ht="13.05" customHeight="1">
      <c r="A24" s="32"/>
      <c r="B24" s="32" t="s">
        <v>150</v>
      </c>
      <c r="C24" s="34">
        <v>10</v>
      </c>
      <c r="D24" s="32"/>
      <c r="E24" s="32" t="s">
        <v>119</v>
      </c>
      <c r="F24" s="34">
        <v>7.5</v>
      </c>
      <c r="G24" s="32"/>
      <c r="H24" s="32" t="s">
        <v>102</v>
      </c>
      <c r="I24" s="34">
        <v>10</v>
      </c>
      <c r="J24" s="32"/>
      <c r="K24" s="32" t="s">
        <v>69</v>
      </c>
      <c r="L24" s="34">
        <v>9</v>
      </c>
      <c r="M24" s="32"/>
      <c r="N24" s="32" t="s">
        <v>83</v>
      </c>
      <c r="O24" s="34">
        <v>9.5</v>
      </c>
      <c r="P24" s="5"/>
    </row>
    <row r="25" spans="1:16" ht="13.05" customHeight="1">
      <c r="A25" s="32"/>
      <c r="B25" s="32" t="s">
        <v>151</v>
      </c>
      <c r="C25" s="34">
        <v>9.5</v>
      </c>
      <c r="D25" s="32"/>
      <c r="E25" s="32" t="s">
        <v>120</v>
      </c>
      <c r="F25" s="34">
        <v>9</v>
      </c>
      <c r="G25" s="32"/>
      <c r="H25" s="32" t="s">
        <v>103</v>
      </c>
      <c r="I25" s="34">
        <v>9</v>
      </c>
      <c r="J25" s="32"/>
      <c r="K25" s="32" t="s">
        <v>70</v>
      </c>
      <c r="L25" s="34">
        <v>8</v>
      </c>
      <c r="M25" s="32"/>
      <c r="N25" s="32" t="s">
        <v>84</v>
      </c>
      <c r="O25" s="34">
        <v>7.5</v>
      </c>
      <c r="P25" s="5"/>
    </row>
    <row r="26" spans="1:16" ht="13.05" customHeight="1">
      <c r="A26" s="32"/>
      <c r="B26" s="35" t="s">
        <v>152</v>
      </c>
      <c r="C26" s="41"/>
      <c r="D26" s="32"/>
      <c r="E26" s="32" t="s">
        <v>121</v>
      </c>
      <c r="F26" s="34">
        <v>8</v>
      </c>
      <c r="G26" s="32"/>
      <c r="H26" s="32" t="s">
        <v>104</v>
      </c>
      <c r="I26" s="34">
        <v>8.5</v>
      </c>
      <c r="J26" s="32"/>
      <c r="K26" s="32" t="s">
        <v>71</v>
      </c>
      <c r="L26" s="34">
        <v>10</v>
      </c>
      <c r="M26" s="32"/>
      <c r="N26" s="32" t="s">
        <v>85</v>
      </c>
      <c r="O26" s="34">
        <v>8.5</v>
      </c>
      <c r="P26" s="5"/>
    </row>
    <row r="27" spans="1:16" ht="13.05" customHeight="1">
      <c r="A27" s="32"/>
      <c r="B27" s="32" t="s">
        <v>153</v>
      </c>
      <c r="C27" s="34">
        <v>8.5</v>
      </c>
      <c r="D27" s="32"/>
      <c r="E27" s="32" t="s">
        <v>122</v>
      </c>
      <c r="F27" s="34">
        <v>7</v>
      </c>
      <c r="G27" s="32"/>
      <c r="H27" s="32" t="s">
        <v>105</v>
      </c>
      <c r="I27" s="34">
        <v>7.5</v>
      </c>
      <c r="J27" s="32"/>
      <c r="K27" s="32" t="s">
        <v>72</v>
      </c>
      <c r="L27" s="34">
        <v>8.5</v>
      </c>
      <c r="M27" s="32"/>
      <c r="N27" s="32" t="s">
        <v>86</v>
      </c>
      <c r="O27" s="34">
        <v>8</v>
      </c>
      <c r="P27" s="5"/>
    </row>
    <row r="28" spans="1:16" ht="13.05" customHeight="1">
      <c r="A28" s="32"/>
      <c r="B28" s="32" t="s">
        <v>154</v>
      </c>
      <c r="C28" s="34">
        <v>9.5</v>
      </c>
      <c r="D28" s="32"/>
      <c r="E28" s="35" t="s">
        <v>123</v>
      </c>
      <c r="F28" s="41"/>
      <c r="G28" s="32"/>
      <c r="H28" s="32" t="s">
        <v>106</v>
      </c>
      <c r="I28" s="34">
        <v>9</v>
      </c>
      <c r="J28" s="32"/>
      <c r="K28" s="32" t="s">
        <v>73</v>
      </c>
      <c r="L28" s="34">
        <v>9.5</v>
      </c>
      <c r="M28" s="32"/>
      <c r="N28" s="32"/>
      <c r="O28" s="32"/>
      <c r="P28" s="5"/>
    </row>
    <row r="29" spans="1:16" ht="13.05" customHeight="1">
      <c r="A29" s="32"/>
      <c r="B29" s="32" t="s">
        <v>155</v>
      </c>
      <c r="C29" s="34">
        <v>9.5</v>
      </c>
      <c r="D29" s="32"/>
      <c r="E29" s="32" t="s">
        <v>124</v>
      </c>
      <c r="F29" s="34">
        <v>7.5</v>
      </c>
      <c r="G29" s="32"/>
      <c r="H29" s="32" t="s">
        <v>107</v>
      </c>
      <c r="I29" s="34">
        <v>9</v>
      </c>
      <c r="J29" s="32"/>
      <c r="K29" s="32" t="s">
        <v>74</v>
      </c>
      <c r="L29" s="34">
        <v>7.5</v>
      </c>
      <c r="M29" s="32"/>
      <c r="N29" s="33" t="s">
        <v>234</v>
      </c>
      <c r="O29" s="40">
        <f>ROUND(SUM(O30:O39)/COUNT(O30:O39), 2)</f>
        <v>9.4</v>
      </c>
      <c r="P29" s="5"/>
    </row>
    <row r="30" spans="1:16" ht="13.05" customHeight="1">
      <c r="A30" s="32"/>
      <c r="B30" s="32" t="s">
        <v>156</v>
      </c>
      <c r="C30" s="34">
        <v>10</v>
      </c>
      <c r="D30" s="32"/>
      <c r="E30" s="32" t="s">
        <v>125</v>
      </c>
      <c r="F30" s="34">
        <v>7.5</v>
      </c>
      <c r="G30" s="32"/>
      <c r="H30" s="32"/>
      <c r="I30" s="32"/>
      <c r="J30" s="32"/>
      <c r="K30" s="32" t="s">
        <v>75</v>
      </c>
      <c r="L30" s="34">
        <v>9</v>
      </c>
      <c r="M30" s="32"/>
      <c r="N30" s="32" t="s">
        <v>12</v>
      </c>
      <c r="O30" s="34">
        <v>9.5</v>
      </c>
      <c r="P30" s="5"/>
    </row>
    <row r="31" spans="1:16" ht="13.05" customHeight="1">
      <c r="A31" s="32"/>
      <c r="B31" s="32" t="s">
        <v>157</v>
      </c>
      <c r="C31" s="34">
        <v>8.5</v>
      </c>
      <c r="D31" s="32"/>
      <c r="E31" s="32"/>
      <c r="F31" s="32"/>
      <c r="G31" s="32"/>
      <c r="H31" s="33" t="s">
        <v>235</v>
      </c>
      <c r="I31" s="40">
        <f>ROUND(SUM(I32:I41)/COUNT(I32:I41), 2)</f>
        <v>9</v>
      </c>
      <c r="J31" s="32"/>
      <c r="K31" s="32"/>
      <c r="L31" s="32"/>
      <c r="M31" s="32"/>
      <c r="N31" s="32" t="s">
        <v>13</v>
      </c>
      <c r="O31" s="34">
        <v>9</v>
      </c>
      <c r="P31" s="5"/>
    </row>
    <row r="32" spans="1:16" ht="13.05" customHeight="1">
      <c r="A32" s="32"/>
      <c r="B32" s="32"/>
      <c r="C32" s="32"/>
      <c r="D32" s="32"/>
      <c r="E32" s="33" t="s">
        <v>241</v>
      </c>
      <c r="F32" s="40">
        <f>ROUND(SUM(F33:F41)/COUNT(F33:F41), 2)</f>
        <v>8.89</v>
      </c>
      <c r="G32" s="32"/>
      <c r="H32" s="32" t="s">
        <v>35</v>
      </c>
      <c r="I32" s="34">
        <v>9.5</v>
      </c>
      <c r="J32" s="32"/>
      <c r="K32" s="33" t="s">
        <v>236</v>
      </c>
      <c r="L32" s="40">
        <f>ROUND(SUM(L33:L44)/COUNT(L33:L44), 2)</f>
        <v>8.3800000000000008</v>
      </c>
      <c r="M32" s="32"/>
      <c r="N32" s="32" t="s">
        <v>14</v>
      </c>
      <c r="O32" s="34">
        <v>10</v>
      </c>
      <c r="P32" s="5"/>
    </row>
    <row r="33" spans="1:16" ht="13.05" customHeight="1">
      <c r="A33" s="32"/>
      <c r="B33" s="37" t="s">
        <v>237</v>
      </c>
      <c r="C33" s="40">
        <f>ROUND(SUM(C34:C42)/COUNT(C34:C42), 2)</f>
        <v>8.7799999999999994</v>
      </c>
      <c r="D33" s="32"/>
      <c r="E33" s="32" t="s">
        <v>133</v>
      </c>
      <c r="F33" s="34">
        <v>10</v>
      </c>
      <c r="G33" s="32"/>
      <c r="H33" s="32" t="s">
        <v>36</v>
      </c>
      <c r="I33" s="34">
        <v>9.5</v>
      </c>
      <c r="J33" s="32"/>
      <c r="K33" s="32" t="s">
        <v>191</v>
      </c>
      <c r="L33" s="34">
        <v>9</v>
      </c>
      <c r="M33" s="32"/>
      <c r="N33" s="32" t="s">
        <v>16</v>
      </c>
      <c r="O33" s="34">
        <v>10</v>
      </c>
      <c r="P33" s="5"/>
    </row>
    <row r="34" spans="1:16" ht="13.05" customHeight="1">
      <c r="A34" s="32"/>
      <c r="B34" s="32" t="s">
        <v>87</v>
      </c>
      <c r="C34" s="34">
        <v>9</v>
      </c>
      <c r="D34" s="32"/>
      <c r="E34" s="32" t="s">
        <v>134</v>
      </c>
      <c r="F34" s="34">
        <v>9</v>
      </c>
      <c r="G34" s="32"/>
      <c r="H34" s="32" t="s">
        <v>37</v>
      </c>
      <c r="I34" s="34">
        <v>8.5</v>
      </c>
      <c r="J34" s="32"/>
      <c r="K34" s="32" t="s">
        <v>192</v>
      </c>
      <c r="L34" s="34">
        <v>8.5</v>
      </c>
      <c r="M34" s="32"/>
      <c r="N34" s="32" t="s">
        <v>15</v>
      </c>
      <c r="O34" s="34">
        <v>9.5</v>
      </c>
      <c r="P34" s="5"/>
    </row>
    <row r="35" spans="1:16" ht="13.05" customHeight="1">
      <c r="A35" s="32"/>
      <c r="B35" s="32" t="s">
        <v>88</v>
      </c>
      <c r="C35" s="34">
        <v>10</v>
      </c>
      <c r="D35" s="32"/>
      <c r="E35" s="32" t="s">
        <v>135</v>
      </c>
      <c r="F35" s="34">
        <v>8</v>
      </c>
      <c r="G35" s="32"/>
      <c r="H35" s="32" t="s">
        <v>38</v>
      </c>
      <c r="I35" s="34">
        <v>8</v>
      </c>
      <c r="J35" s="32"/>
      <c r="K35" s="32" t="s">
        <v>193</v>
      </c>
      <c r="L35" s="34">
        <v>9</v>
      </c>
      <c r="M35" s="32"/>
      <c r="N35" s="32" t="s">
        <v>17</v>
      </c>
      <c r="O35" s="34">
        <v>8.5</v>
      </c>
      <c r="P35" s="5"/>
    </row>
    <row r="36" spans="1:16" ht="13.05" customHeight="1">
      <c r="A36" s="32"/>
      <c r="B36" s="32" t="s">
        <v>89</v>
      </c>
      <c r="C36" s="34">
        <v>9.5</v>
      </c>
      <c r="D36" s="32"/>
      <c r="E36" s="32" t="s">
        <v>136</v>
      </c>
      <c r="F36" s="34">
        <v>8.5</v>
      </c>
      <c r="G36" s="32"/>
      <c r="H36" s="32" t="s">
        <v>39</v>
      </c>
      <c r="I36" s="34">
        <v>10</v>
      </c>
      <c r="J36" s="32"/>
      <c r="K36" s="32" t="s">
        <v>194</v>
      </c>
      <c r="L36" s="34">
        <v>9.5</v>
      </c>
      <c r="M36" s="32"/>
      <c r="N36" s="32" t="s">
        <v>18</v>
      </c>
      <c r="O36" s="34">
        <v>10</v>
      </c>
      <c r="P36" s="5"/>
    </row>
    <row r="37" spans="1:16" ht="13.05" customHeight="1">
      <c r="A37" s="32"/>
      <c r="B37" s="32" t="s">
        <v>90</v>
      </c>
      <c r="C37" s="34">
        <v>8.5</v>
      </c>
      <c r="D37" s="32"/>
      <c r="E37" s="32" t="s">
        <v>137</v>
      </c>
      <c r="F37" s="34">
        <v>9</v>
      </c>
      <c r="G37" s="32"/>
      <c r="H37" s="32" t="s">
        <v>222</v>
      </c>
      <c r="I37" s="34">
        <v>8.5</v>
      </c>
      <c r="J37" s="32"/>
      <c r="K37" s="32" t="s">
        <v>195</v>
      </c>
      <c r="L37" s="34">
        <v>7.5</v>
      </c>
      <c r="M37" s="32"/>
      <c r="N37" s="32" t="s">
        <v>19</v>
      </c>
      <c r="O37" s="34">
        <v>9.5</v>
      </c>
      <c r="P37" s="5"/>
    </row>
    <row r="38" spans="1:16" ht="13.05" customHeight="1">
      <c r="A38" s="32"/>
      <c r="B38" s="32" t="s">
        <v>91</v>
      </c>
      <c r="C38" s="34">
        <v>7.5</v>
      </c>
      <c r="D38" s="32"/>
      <c r="E38" s="32" t="s">
        <v>138</v>
      </c>
      <c r="F38" s="34">
        <v>8</v>
      </c>
      <c r="G38" s="32"/>
      <c r="H38" s="32" t="s">
        <v>41</v>
      </c>
      <c r="I38" s="34">
        <v>9</v>
      </c>
      <c r="J38" s="32"/>
      <c r="K38" s="32" t="s">
        <v>196</v>
      </c>
      <c r="L38" s="34">
        <v>10</v>
      </c>
      <c r="M38" s="32"/>
      <c r="N38" s="32" t="s">
        <v>20</v>
      </c>
      <c r="O38" s="34">
        <v>10</v>
      </c>
      <c r="P38" s="5"/>
    </row>
    <row r="39" spans="1:16" ht="13.05" customHeight="1">
      <c r="A39" s="32"/>
      <c r="B39" s="32" t="s">
        <v>92</v>
      </c>
      <c r="C39" s="34">
        <v>8</v>
      </c>
      <c r="D39" s="32"/>
      <c r="E39" s="32" t="s">
        <v>139</v>
      </c>
      <c r="F39" s="34">
        <v>9</v>
      </c>
      <c r="G39" s="32"/>
      <c r="H39" s="32" t="s">
        <v>42</v>
      </c>
      <c r="I39" s="34">
        <v>9</v>
      </c>
      <c r="J39" s="32"/>
      <c r="K39" s="32" t="s">
        <v>197</v>
      </c>
      <c r="L39" s="34">
        <v>8</v>
      </c>
      <c r="M39" s="32"/>
      <c r="N39" s="32" t="s">
        <v>21</v>
      </c>
      <c r="O39" s="34">
        <v>8</v>
      </c>
      <c r="P39" s="5"/>
    </row>
    <row r="40" spans="1:16" ht="13.05" customHeight="1">
      <c r="A40" s="32"/>
      <c r="B40" s="32" t="s">
        <v>93</v>
      </c>
      <c r="C40" s="34">
        <v>8.5</v>
      </c>
      <c r="D40" s="32"/>
      <c r="E40" s="32" t="s">
        <v>140</v>
      </c>
      <c r="F40" s="34">
        <v>8.5</v>
      </c>
      <c r="G40" s="32"/>
      <c r="H40" s="32" t="s">
        <v>43</v>
      </c>
      <c r="I40" s="34">
        <v>8.5</v>
      </c>
      <c r="J40" s="32"/>
      <c r="K40" s="32" t="s">
        <v>162</v>
      </c>
      <c r="L40" s="34">
        <v>7.5</v>
      </c>
      <c r="M40" s="32"/>
      <c r="N40" s="32"/>
      <c r="O40" s="32"/>
      <c r="P40" s="5"/>
    </row>
    <row r="41" spans="1:16" ht="13.05" customHeight="1">
      <c r="A41" s="32"/>
      <c r="B41" s="32" t="s">
        <v>94</v>
      </c>
      <c r="C41" s="34">
        <v>8</v>
      </c>
      <c r="D41" s="32"/>
      <c r="E41" s="32" t="s">
        <v>141</v>
      </c>
      <c r="F41" s="34">
        <v>10</v>
      </c>
      <c r="G41" s="32"/>
      <c r="H41" s="32" t="s">
        <v>44</v>
      </c>
      <c r="I41" s="34">
        <v>9.5</v>
      </c>
      <c r="J41" s="32"/>
      <c r="K41" s="32" t="s">
        <v>198</v>
      </c>
      <c r="L41" s="34">
        <v>7</v>
      </c>
      <c r="M41" s="32"/>
      <c r="N41" s="33" t="s">
        <v>238</v>
      </c>
      <c r="O41" s="40">
        <f>ROUND(SUM(O42:O51)/COUNT(O42:O51), 2)</f>
        <v>9.2200000000000006</v>
      </c>
      <c r="P41" s="5"/>
    </row>
    <row r="42" spans="1:16" ht="13.05" customHeight="1">
      <c r="A42" s="32"/>
      <c r="B42" s="32" t="s">
        <v>95</v>
      </c>
      <c r="C42" s="34">
        <v>10</v>
      </c>
      <c r="D42" s="32"/>
      <c r="E42" s="32"/>
      <c r="F42" s="32"/>
      <c r="G42" s="32"/>
      <c r="H42" s="32"/>
      <c r="I42" s="32"/>
      <c r="J42" s="32"/>
      <c r="K42" s="32" t="s">
        <v>199</v>
      </c>
      <c r="L42" s="34">
        <v>7</v>
      </c>
      <c r="M42" s="32"/>
      <c r="N42" s="35" t="s">
        <v>45</v>
      </c>
      <c r="O42" s="41"/>
      <c r="P42" s="5"/>
    </row>
    <row r="43" spans="1:16" ht="13.05" customHeight="1">
      <c r="A43" s="32"/>
      <c r="B43" s="32"/>
      <c r="C43" s="32"/>
      <c r="D43" s="32"/>
      <c r="E43" s="33" t="s">
        <v>243</v>
      </c>
      <c r="F43" s="40">
        <f>ROUND(SUM(F44:F51)/COUNT(F44:F51), 2)</f>
        <v>9.25</v>
      </c>
      <c r="G43" s="32"/>
      <c r="H43" s="33" t="s">
        <v>242</v>
      </c>
      <c r="I43" s="40">
        <f>ROUND(SUM(I44:I51)/COUNT(I44:I51), 2)</f>
        <v>9.06</v>
      </c>
      <c r="J43" s="32"/>
      <c r="K43" s="32" t="s">
        <v>200</v>
      </c>
      <c r="L43" s="34">
        <v>7.5</v>
      </c>
      <c r="M43" s="32"/>
      <c r="N43" s="32" t="s">
        <v>46</v>
      </c>
      <c r="O43" s="34">
        <v>9</v>
      </c>
      <c r="P43" s="5"/>
    </row>
    <row r="44" spans="1:16" ht="13.05" customHeight="1">
      <c r="A44" s="32"/>
      <c r="B44" s="33" t="s">
        <v>239</v>
      </c>
      <c r="C44" s="40">
        <f>ROUND(SUM(C45:C51)/COUNT(C45:C51), 2)</f>
        <v>9</v>
      </c>
      <c r="D44" s="32"/>
      <c r="E44" s="32" t="s">
        <v>214</v>
      </c>
      <c r="F44" s="34">
        <v>9.5</v>
      </c>
      <c r="G44" s="32"/>
      <c r="H44" s="32" t="s">
        <v>55</v>
      </c>
      <c r="I44" s="34">
        <v>9</v>
      </c>
      <c r="J44" s="32"/>
      <c r="K44" s="32" t="s">
        <v>201</v>
      </c>
      <c r="L44" s="34">
        <v>10</v>
      </c>
      <c r="M44" s="32"/>
      <c r="N44" s="32" t="s">
        <v>47</v>
      </c>
      <c r="O44" s="34">
        <v>8</v>
      </c>
      <c r="P44" s="5"/>
    </row>
    <row r="45" spans="1:16" ht="13.05" customHeight="1">
      <c r="A45" s="32"/>
      <c r="B45" s="32" t="s">
        <v>126</v>
      </c>
      <c r="C45" s="34">
        <v>8.5</v>
      </c>
      <c r="D45" s="32"/>
      <c r="E45" s="32" t="s">
        <v>215</v>
      </c>
      <c r="F45" s="34">
        <v>9.5</v>
      </c>
      <c r="G45" s="32"/>
      <c r="H45" s="32" t="s">
        <v>56</v>
      </c>
      <c r="I45" s="34">
        <v>10</v>
      </c>
      <c r="J45" s="32"/>
      <c r="K45" s="32"/>
      <c r="L45" s="32"/>
      <c r="M45" s="32"/>
      <c r="N45" s="32" t="s">
        <v>48</v>
      </c>
      <c r="O45" s="34">
        <v>10</v>
      </c>
      <c r="P45" s="5"/>
    </row>
    <row r="46" spans="1:16" ht="13.05" customHeight="1">
      <c r="A46" s="32"/>
      <c r="B46" s="32" t="s">
        <v>127</v>
      </c>
      <c r="C46" s="34">
        <v>9.5</v>
      </c>
      <c r="D46" s="32"/>
      <c r="E46" s="32" t="s">
        <v>216</v>
      </c>
      <c r="F46" s="34">
        <v>9.5</v>
      </c>
      <c r="G46" s="32"/>
      <c r="H46" s="32" t="s">
        <v>57</v>
      </c>
      <c r="I46" s="34">
        <v>8.5</v>
      </c>
      <c r="J46" s="32"/>
      <c r="K46" s="33" t="s">
        <v>240</v>
      </c>
      <c r="L46" s="40">
        <f>ROUND(SUM(L47:L51)/COUNT(L47:L51), 2)</f>
        <v>9.1999999999999993</v>
      </c>
      <c r="M46" s="32"/>
      <c r="N46" s="32" t="s">
        <v>49</v>
      </c>
      <c r="O46" s="34">
        <v>10</v>
      </c>
      <c r="P46" s="5"/>
    </row>
    <row r="47" spans="1:16" ht="13.05" customHeight="1">
      <c r="A47" s="32"/>
      <c r="B47" s="32" t="s">
        <v>128</v>
      </c>
      <c r="C47" s="34">
        <v>9</v>
      </c>
      <c r="D47" s="32"/>
      <c r="E47" s="32" t="s">
        <v>217</v>
      </c>
      <c r="F47" s="34">
        <v>10</v>
      </c>
      <c r="G47" s="32"/>
      <c r="H47" s="32" t="s">
        <v>58</v>
      </c>
      <c r="I47" s="34">
        <v>9.5</v>
      </c>
      <c r="J47" s="32"/>
      <c r="K47" s="32" t="s">
        <v>108</v>
      </c>
      <c r="L47" s="34">
        <v>9.5</v>
      </c>
      <c r="M47" s="32"/>
      <c r="N47" s="32" t="s">
        <v>50</v>
      </c>
      <c r="O47" s="34">
        <v>9.5</v>
      </c>
      <c r="P47" s="5"/>
    </row>
    <row r="48" spans="1:16" ht="13.05" customHeight="1">
      <c r="A48" s="32"/>
      <c r="B48" s="32" t="s">
        <v>129</v>
      </c>
      <c r="C48" s="34">
        <v>10</v>
      </c>
      <c r="D48" s="32"/>
      <c r="E48" s="32" t="s">
        <v>218</v>
      </c>
      <c r="F48" s="34">
        <v>8.5</v>
      </c>
      <c r="G48" s="32"/>
      <c r="H48" s="32" t="s">
        <v>59</v>
      </c>
      <c r="I48" s="34">
        <v>8.5</v>
      </c>
      <c r="J48" s="32"/>
      <c r="K48" s="32" t="s">
        <v>109</v>
      </c>
      <c r="L48" s="34">
        <v>9</v>
      </c>
      <c r="M48" s="32"/>
      <c r="N48" s="32" t="s">
        <v>51</v>
      </c>
      <c r="O48" s="34">
        <v>9.5</v>
      </c>
      <c r="P48" s="5"/>
    </row>
    <row r="49" spans="1:16" ht="13.05" customHeight="1">
      <c r="A49" s="32"/>
      <c r="B49" s="32" t="s">
        <v>130</v>
      </c>
      <c r="C49" s="34">
        <v>9.5</v>
      </c>
      <c r="D49" s="32"/>
      <c r="E49" s="32" t="s">
        <v>219</v>
      </c>
      <c r="F49" s="34">
        <v>8</v>
      </c>
      <c r="G49" s="32"/>
      <c r="H49" s="32" t="s">
        <v>60</v>
      </c>
      <c r="I49" s="34">
        <v>9</v>
      </c>
      <c r="J49" s="32"/>
      <c r="K49" s="32" t="s">
        <v>110</v>
      </c>
      <c r="L49" s="34">
        <v>10</v>
      </c>
      <c r="M49" s="32"/>
      <c r="N49" s="32" t="s">
        <v>52</v>
      </c>
      <c r="O49" s="34">
        <v>8.5</v>
      </c>
      <c r="P49" s="5"/>
    </row>
    <row r="50" spans="1:16" ht="13.05" customHeight="1">
      <c r="A50" s="32"/>
      <c r="B50" s="32" t="s">
        <v>131</v>
      </c>
      <c r="C50" s="34">
        <v>8</v>
      </c>
      <c r="D50" s="32"/>
      <c r="E50" s="32" t="s">
        <v>220</v>
      </c>
      <c r="F50" s="34">
        <v>9</v>
      </c>
      <c r="G50" s="32"/>
      <c r="H50" s="32" t="s">
        <v>61</v>
      </c>
      <c r="I50" s="34">
        <v>10</v>
      </c>
      <c r="J50" s="32"/>
      <c r="K50" s="32" t="s">
        <v>111</v>
      </c>
      <c r="L50" s="34">
        <v>8.5</v>
      </c>
      <c r="M50" s="32"/>
      <c r="N50" s="32" t="s">
        <v>53</v>
      </c>
      <c r="O50" s="34">
        <v>9</v>
      </c>
      <c r="P50" s="5"/>
    </row>
    <row r="51" spans="1:16" ht="13.05" customHeight="1">
      <c r="A51" s="32"/>
      <c r="B51" s="32" t="s">
        <v>132</v>
      </c>
      <c r="C51" s="34">
        <v>8.5</v>
      </c>
      <c r="D51" s="32"/>
      <c r="E51" s="32" t="s">
        <v>221</v>
      </c>
      <c r="F51" s="34">
        <v>10</v>
      </c>
      <c r="G51" s="32"/>
      <c r="H51" s="32" t="s">
        <v>62</v>
      </c>
      <c r="I51" s="34">
        <v>8</v>
      </c>
      <c r="J51" s="32"/>
      <c r="K51" s="32" t="s">
        <v>112</v>
      </c>
      <c r="L51" s="34">
        <v>9</v>
      </c>
      <c r="M51" s="32"/>
      <c r="N51" s="32" t="s">
        <v>54</v>
      </c>
      <c r="O51" s="34">
        <v>9.5</v>
      </c>
      <c r="P51" s="5"/>
    </row>
    <row r="52" spans="1:16" ht="13.05" customHeight="1">
      <c r="A52" s="32"/>
      <c r="B52" s="32"/>
      <c r="C52" s="34"/>
      <c r="D52" s="32"/>
      <c r="E52" s="32"/>
      <c r="F52" s="32"/>
      <c r="G52" s="32"/>
      <c r="H52" s="32"/>
      <c r="I52" s="32"/>
      <c r="J52" s="32"/>
      <c r="K52" s="32"/>
      <c r="L52" s="34"/>
      <c r="M52" s="32"/>
      <c r="N52" s="32"/>
      <c r="O52" s="32"/>
      <c r="P52" s="5"/>
    </row>
    <row r="53" spans="1:16" ht="16.05" customHeight="1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5"/>
    </row>
    <row r="54" spans="1:16" ht="16.05" customHeight="1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0" priority="17" operator="equal">
      <formula>10</formula>
    </cfRule>
  </conditionalFormatting>
  <conditionalFormatting sqref="C6">
    <cfRule type="containsBlanks" dxfId="39" priority="18">
      <formula>LEN(TRIM(C6))=0</formula>
    </cfRule>
  </conditionalFormatting>
  <conditionalFormatting sqref="C8">
    <cfRule type="containsBlanks" dxfId="38" priority="20">
      <formula>LEN(TRIM(C8))=0</formula>
    </cfRule>
  </conditionalFormatting>
  <conditionalFormatting sqref="C10">
    <cfRule type="containsBlanks" dxfId="37" priority="22">
      <formula>LEN(TRIM(C10))=0</formula>
    </cfRule>
  </conditionalFormatting>
  <conditionalFormatting sqref="C12">
    <cfRule type="containsBlanks" dxfId="36" priority="24">
      <formula>LEN(TRIM(C12))=0</formula>
    </cfRule>
  </conditionalFormatting>
  <conditionalFormatting sqref="C14">
    <cfRule type="containsBlanks" dxfId="35" priority="26">
      <formula>LEN(TRIM(C14))=0</formula>
    </cfRule>
  </conditionalFormatting>
  <conditionalFormatting sqref="C16">
    <cfRule type="containsBlanks" dxfId="34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3" priority="3" operator="equal">
      <formula>10</formula>
    </cfRule>
  </conditionalFormatting>
  <conditionalFormatting sqref="C26">
    <cfRule type="containsBlanks" dxfId="32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1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30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9" priority="15" operator="equal">
      <formula>10</formula>
    </cfRule>
  </conditionalFormatting>
  <conditionalFormatting sqref="F12">
    <cfRule type="containsBlanks" dxfId="28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7" priority="5" operator="equal">
      <formula>10</formula>
    </cfRule>
  </conditionalFormatting>
  <conditionalFormatting sqref="F28">
    <cfRule type="containsBlanks" dxfId="26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25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24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3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2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21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0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9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8" priority="1" operator="equal">
      <formula>10</formula>
    </cfRule>
  </conditionalFormatting>
  <conditionalFormatting sqref="L23">
    <cfRule type="containsBlanks" dxfId="17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6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5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4" priority="9" operator="equal">
      <formula>10</formula>
    </cfRule>
  </conditionalFormatting>
  <conditionalFormatting sqref="O4">
    <cfRule type="containsBlanks" dxfId="13" priority="12">
      <formula>LEN(TRIM(O4))=0</formula>
    </cfRule>
  </conditionalFormatting>
  <conditionalFormatting sqref="O6">
    <cfRule type="containsBlanks" dxfId="12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1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10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9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8" priority="8">
      <formula>LEN(TRIM(O42))=0</formula>
    </cfRule>
  </conditionalFormatting>
  <conditionalFormatting sqref="O42:O51">
    <cfRule type="cellIs" dxfId="7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2026-03-16T10:41:18Z</dcterms:modified>
</cp:coreProperties>
</file>