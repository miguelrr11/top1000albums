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1EB13104-A65B-7942-B677-014F3DB36A24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3" i="4" l="1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<sst xmlns="http://schemas.openxmlformats.org/spreadsheetml/2006/main" count="2095" uniqueCount="1675">
  <si>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</si>
  <si>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</si>
  <si>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</si>
  <si>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</si>
  <si>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</si>
  <si>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</si>
  <si>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</si>
  <si>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</si>
  <si>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</si>
  <si>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</si>
  <si>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</si>
  <si>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</si>
  <si>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</si>
  <si>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</si>
  <si>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</si>
  <si>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</si>
  <si>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</si>
  <si>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</si>
  <si>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</si>
  <si>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</si>
  <si>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</si>
  <si>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</si>
  <si>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</si>
  <si>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</si>
  <si>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</si>
  <si>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</si>
  <si>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</si>
  <si>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</si>
  <si>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</si>
  <si>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</si>
  <si>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</si>
  <si>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</si>
  <si>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</si>
  <si>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</si>
  <si>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</si>
  <si>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</si>
  <si>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</si>
  <si>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</si>
  <si>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</si>
  <si>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</si>
  <si>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</si>
  <si>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</si>
  <si>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</si>
  <si>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</si>
  <si>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</si>
  <si>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</si>
  <si>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</si>
  <si>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</si>
  <si>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</si>
  <si>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</si>
  <si>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</si>
  <si>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</si>
  <si>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</si>
  <si>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</si>
  <si>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</si>
  <si>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</si>
  <si>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</si>
  <si>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</si>
  <si>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</si>
  <si>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</si>
  <si>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</si>
  <si>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</si>
  <si>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</si>
  <si>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</si>
  <si>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</si>
  <si>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</si>
  <si>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</si>
  <si>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</si>
  <si>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</si>
  <si>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</si>
  <si>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</si>
  <si>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</si>
  <si>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</si>
  <si>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</si>
  <si>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</si>
  <si>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</si>
  <si>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</si>
  <si>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</si>
  <si>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</si>
  <si>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</si>
  <si>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</si>
  <si>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</si>
  <si>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</si>
  <si>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</si>
  <si>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</si>
  <si>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</si>
  <si>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</si>
  <si>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</si>
  <si>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</si>
  <si>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</si>
  <si>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</si>
  <si>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</si>
  <si>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</si>
  <si>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</si>
  <si>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</si>
  <si>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</si>
  <si>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</si>
  <si>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</si>
  <si>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</si>
  <si>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</si>
  <si>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</si>
  <si>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</si>
  <si>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</si>
  <si>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</si>
  <si>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</si>
  <si>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</si>
  <si>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</si>
  <si>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</si>
  <si>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</si>
  <si>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</si>
  <si>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</si>
  <si>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</si>
  <si>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</si>
  <si>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</si>
  <si>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</si>
  <si>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</si>
  <si>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</si>
  <si>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</si>
  <si>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</si>
  <si>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</si>
  <si>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</si>
  <si>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</si>
  <si>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</si>
  <si>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</si>
  <si>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</si>
  <si>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</si>
  <si>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</si>
  <si>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</si>
  <si>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</si>
  <si>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</si>
  <si>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</si>
  <si>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</si>
  <si>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</si>
  <si>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</si>
  <si>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</si>
  <si>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</si>
  <si>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</si>
  <si>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</si>
  <si>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</si>
  <si>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</si>
  <si>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</si>
  <si>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</si>
  <si>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</si>
  <si>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</si>
  <si>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</si>
  <si>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</si>
  <si>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</si>
  <si>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</si>
  <si>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</si>
  <si>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</si>
  <si>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</si>
  <si>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</si>
  <si>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</si>
  <si>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</si>
  <si>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</si>
  <si>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</si>
  <si>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</si>
  <si>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</si>
  <si>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</si>
  <si>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</si>
  <si>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</si>
  <si>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</si>
  <si>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</si>
  <si>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</si>
  <si>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</si>
  <si>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</si>
  <si>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</si>
  <si>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</si>
  <si>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</si>
  <si>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</si>
  <si>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</si>
  <si>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</si>
  <si>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</si>
  <si>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</si>
  <si>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</si>
  <si>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</si>
  <si>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</si>
  <si>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</si>
  <si>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</si>
  <si>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</si>
  <si>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</si>
  <si>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</si>
  <si>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</si>
  <si>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</si>
  <si>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</si>
  <si>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</si>
  <si>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</si>
  <si>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</si>
  <si>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</si>
  <si>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</si>
  <si>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</si>
  <si>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</si>
  <si>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</si>
  <si>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</si>
  <si>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</si>
  <si>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</si>
  <si>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</si>
  <si>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</si>
  <si>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</si>
  <si>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</si>
  <si>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</si>
  <si>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</si>
  <si>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</si>
  <si>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</si>
  <si>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</si>
  <si>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</si>
  <si>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</si>
  <si>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</si>
  <si>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</si>
  <si>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</si>
  <si>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</si>
  <si>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</si>
  <si>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</si>
  <si>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</si>
  <si>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</si>
  <si>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</si>
  <si>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</si>
  <si>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</si>
  <si>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</si>
  <si>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</si>
  <si>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</si>
  <si>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</si>
  <si>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</si>
  <si>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</si>
  <si>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</si>
  <si>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</si>
  <si>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</si>
  <si>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</si>
  <si>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</si>
  <si>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</si>
  <si>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</si>
  <si>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</si>
  <si>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</si>
  <si>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</si>
  <si>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</si>
  <si>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</si>
  <si>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</si>
  <si>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</si>
  <si>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</si>
  <si>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</si>
  <si>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</si>
  <si>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</si>
  <si>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</si>
  <si>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</si>
  <si>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</si>
  <si>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</si>
  <si>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</si>
  <si>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</si>
  <si>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</si>
  <si>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</si>
  <si>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</si>
  <si>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</si>
  <si>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</si>
  <si>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</si>
  <si>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</si>
  <si>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</si>
  <si>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</si>
  <si>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</si>
  <si>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</si>
  <si>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</si>
  <si>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</si>
  <si>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</si>
  <si>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</si>
  <si>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</si>
  <si>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</si>
  <si>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</si>
  <si>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</si>
  <si>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</si>
  <si>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</si>
  <si>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</si>
  <si>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</si>
  <si>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</si>
  <si>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</si>
  <si>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</si>
  <si>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</si>
  <si>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</si>
  <si>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</si>
  <si>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</si>
  <si>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</si>
  <si>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</si>
  <si>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</si>
  <si>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</si>
  <si>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</si>
  <si>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</si>
  <si>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</si>
  <si>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</si>
  <si>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</si>
  <si>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</si>
  <si>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</si>
  <si>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</si>
  <si>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</si>
  <si>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</si>
  <si>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</si>
  <si>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</si>
  <si>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</si>
  <si>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</si>
  <si>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</si>
  <si>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</si>
  <si>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</si>
  <si>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</si>
  <si>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</si>
  <si>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</si>
  <si>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</si>
  <si>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</si>
  <si>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</si>
  <si>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</si>
  <si>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</si>
  <si>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</si>
  <si>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</si>
  <si>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</si>
  <si>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</si>
  <si>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</si>
  <si>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</si>
  <si>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</si>
  <si>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</si>
  <si>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</si>
  <si>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</si>
  <si>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</si>
  <si>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</si>
  <si>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</si>
  <si>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</si>
  <si>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</si>
  <si>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</si>
  <si>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</si>
  <si>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</si>
  <si>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</si>
  <si>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</si>
  <si>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</si>
  <si>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</si>
  <si>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</si>
  <si>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</si>
  <si>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</si>
  <si>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</si>
  <si>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</si>
  <si>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</si>
  <si>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</si>
  <si>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</si>
  <si>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</si>
  <si>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</si>
  <si>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</si>
  <si>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</si>
  <si>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</si>
  <si>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</si>
  <si>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</si>
  <si>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</si>
  <si>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</si>
  <si>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</si>
  <si>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</si>
  <si>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</si>
  <si>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</si>
  <si>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</si>
  <si>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</si>
  <si>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</si>
  <si>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</si>
  <si>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</si>
  <si>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</si>
  <si>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</si>
  <si>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</si>
  <si>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</si>
  <si>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</si>
  <si>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</si>
  <si>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</si>
  <si>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</si>
  <si>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</si>
  <si>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</si>
  <si>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</si>
  <si>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</si>
  <si>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</si>
  <si>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</si>
  <si>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</si>
  <si>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</si>
  <si>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</si>
  <si>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</si>
  <si>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</si>
  <si>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</si>
  <si>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</si>
  <si>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</si>
  <si>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</si>
  <si>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</si>
  <si>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</si>
  <si>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</si>
  <si>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</si>
  <si>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</si>
  <si>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</si>
  <si>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</si>
  <si>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</si>
  <si>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</si>
  <si>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</si>
  <si>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</si>
  <si>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</si>
  <si>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</si>
  <si>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</si>
  <si>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</si>
  <si>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</si>
  <si>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</si>
  <si>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</si>
  <si>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</si>
  <si>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</si>
  <si>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</si>
  <si>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</si>
  <si>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</si>
  <si>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</si>
  <si>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</si>
  <si>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</si>
  <si>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</si>
  <si>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</si>
  <si>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</si>
  <si>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</si>
  <si>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</si>
  <si>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</si>
  <si>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</si>
  <si>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</si>
  <si>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</si>
  <si>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</si>
  <si>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</si>
  <si>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</si>
  <si>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</si>
  <si>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</si>
  <si>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</si>
  <si>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</si>
  <si>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</si>
  <si>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</si>
  <si>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</si>
  <si>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</si>
  <si>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</si>
  <si>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</si>
  <si>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</si>
  <si>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</si>
  <si>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</si>
  <si>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</si>
  <si>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</si>
  <si>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</si>
  <si>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</si>
  <si>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</si>
  <si>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</si>
  <si>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</si>
  <si>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</si>
  <si>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</si>
  <si>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</si>
  <si>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</si>
  <si>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</si>
  <si>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</si>
  <si>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</si>
  <si>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</si>
  <si>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</si>
  <si>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</si>
  <si>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</si>
  <si>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</si>
  <si>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</si>
  <si>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</si>
  <si>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</si>
  <si>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</si>
  <si>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</si>
  <si>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</si>
  <si>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</si>
  <si>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</si>
  <si>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</si>
  <si>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</si>
  <si>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</si>
  <si>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</si>
  <si>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</si>
  <si>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</si>
  <si>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</si>
  <si>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</si>
  <si>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</si>
  <si>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</si>
  <si>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</si>
  <si>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</si>
  <si>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</si>
  <si>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</si>
  <si>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</si>
  <si>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</si>
  <si>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</si>
  <si>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</si>
  <si>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</si>
  <si>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</si>
  <si>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</si>
  <si>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</si>
  <si>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</si>
  <si>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</si>
  <si>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</si>
  <si>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</si>
  <si>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</si>
  <si>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</si>
  <si>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</si>
  <si>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</si>
  <si>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</si>
  <si>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</si>
  <si>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</si>
  <si>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</si>
  <si>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</si>
  <si>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</si>
  <si>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</si>
  <si>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</si>
  <si>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</si>
  <si>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</si>
  <si>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</si>
  <si>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</si>
  <si>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</si>
  <si>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</si>
  <si>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</si>
  <si>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</si>
  <si>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</si>
  <si>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</si>
  <si>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</si>
  <si>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</si>
  <si>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</si>
  <si>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</si>
  <si>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</si>
  <si>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</si>
  <si>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</si>
  <si>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</si>
  <si>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</si>
  <si>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</si>
  <si>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</si>
  <si>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</si>
  <si>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</si>
  <si>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</si>
  <si>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</si>
  <si>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</si>
  <si>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</si>
  <si>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</si>
  <si>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</si>
  <si>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</si>
  <si>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</si>
  <si>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</si>
  <si>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</si>
  <si>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</si>
  <si>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</si>
  <si>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</si>
  <si>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</si>
  <si>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</si>
  <si>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</si>
  <si>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</si>
  <si>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</si>
  <si>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</si>
  <si>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</si>
  <si>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</si>
  <si>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</si>
  <si>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</si>
  <si>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</si>
  <si>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</si>
  <si>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</si>
  <si>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</si>
  <si>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</si>
  <si>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</si>
  <si>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</si>
  <si>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</si>
  <si>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</si>
  <si>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</si>
  <si>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</si>
  <si>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</si>
  <si>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</si>
  <si>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</si>
  <si>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</si>
  <si>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</si>
  <si>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</si>
  <si>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</si>
  <si>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</si>
  <si>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</si>
  <si>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</si>
  <si>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</si>
  <si>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</si>
  <si>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</si>
  <si>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</si>
  <si>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</si>
  <si>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</si>
  <si>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</si>
  <si>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</si>
  <si>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</si>
  <si>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</si>
  <si>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</si>
  <si>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</si>
  <si>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</si>
  <si>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</si>
  <si>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</si>
  <si>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</si>
  <si>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</si>
  <si>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</si>
  <si>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</si>
  <si>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</si>
  <si>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</si>
  <si>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</si>
  <si>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</si>
  <si>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</si>
  <si>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</si>
  <si>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</si>
  <si>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</si>
  <si>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</si>
  <si>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</si>
  <si>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</si>
  <si>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</si>
  <si>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</si>
  <si>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</si>
  <si>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</si>
  <si>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</si>
  <si>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</si>
  <si>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</si>
  <si>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</si>
  <si>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</si>
  <si>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</si>
  <si>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</si>
  <si>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</si>
  <si>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</si>
  <si>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</si>
  <si>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</si>
  <si>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</si>
  <si>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</si>
  <si>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</si>
  <si>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</si>
  <si>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</si>
  <si>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</si>
  <si>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</si>
  <si>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</si>
  <si>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</si>
  <si>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</si>
  <si>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</si>
  <si>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</si>
  <si>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</si>
  <si>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</si>
  <si>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</si>
  <si>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</si>
  <si>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</si>
  <si>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</si>
  <si>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</si>
  <si>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</si>
  <si>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</si>
  <si>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</si>
  <si>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</si>
  <si>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</si>
  <si>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</si>
  <si>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</si>
  <si>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</si>
  <si>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</si>
  <si>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</si>
  <si>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</si>
  <si>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</si>
  <si>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</si>
  <si>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</si>
  <si>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</si>
  <si>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</si>
  <si>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</si>
  <si>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</si>
  <si>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</si>
  <si>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</si>
  <si>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</si>
  <si>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</si>
  <si>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</si>
  <si>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</si>
  <si>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</si>
  <si>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</si>
  <si>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</si>
  <si>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</si>
  <si>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</si>
  <si>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</si>
  <si>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</si>
  <si>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</si>
  <si>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</si>
  <si>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</si>
  <si>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</si>
  <si>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</si>
  <si>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</si>
  <si>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</si>
  <si>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</si>
  <si>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</si>
  <si>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</si>
  <si>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</si>
  <si>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</si>
  <si>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</si>
  <si>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</si>
  <si>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</si>
  <si>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</si>
  <si>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</si>
  <si>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</si>
  <si>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</si>
  <si>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</si>
  <si>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</si>
  <si>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</si>
  <si>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</si>
  <si>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</si>
  <si>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</si>
  <si>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</si>
  <si>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</si>
  <si>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</si>
  <si>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</si>
  <si>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</si>
  <si>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</si>
  <si>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</si>
  <si>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</si>
  <si>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</si>
  <si>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</si>
  <si>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</si>
  <si>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</si>
  <si>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</si>
  <si>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</si>
  <si>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</si>
  <si>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</si>
  <si>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</si>
  <si>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</si>
  <si>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</si>
  <si>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</si>
  <si>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</si>
  <si>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</si>
  <si>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</si>
  <si>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</si>
  <si>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</si>
  <si>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</si>
  <si>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</si>
  <si>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</si>
  <si>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</si>
  <si>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</si>
  <si>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</si>
  <si>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</si>
  <si>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</si>
  <si>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</si>
  <si>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</si>
  <si>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</si>
  <si>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</si>
  <si>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</si>
  <si>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</si>
  <si>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</si>
  <si>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</si>
  <si>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</si>
  <si>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</si>
  <si>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</si>
  <si>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</si>
  <si>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</si>
  <si>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</si>
  <si>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</si>
  <si>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</si>
  <si>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</si>
  <si>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</si>
  <si>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</si>
  <si>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</si>
  <si>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</si>
  <si>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</si>
  <si>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</si>
  <si>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</si>
  <si>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</si>
  <si>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</si>
  <si>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</si>
  <si>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</si>
  <si>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</si>
  <si>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</si>
  <si>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</si>
  <si>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</si>
  <si>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</si>
  <si>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</si>
  <si>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</si>
  <si>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</si>
  <si>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</si>
  <si>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</si>
  <si>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</si>
  <si>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</si>
  <si>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</si>
  <si>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</si>
  <si>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</si>
  <si>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</si>
  <si>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</si>
  <si>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</si>
  <si>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</si>
  <si>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</si>
  <si>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</si>
  <si>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</si>
  <si>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</si>
  <si>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</si>
  <si>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</si>
  <si>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</si>
  <si>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</si>
  <si>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</si>
  <si>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</si>
  <si>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</si>
  <si>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</si>
  <si>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</si>
  <si>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</si>
  <si>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</si>
  <si>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</si>
  <si>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</si>
  <si>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</si>
  <si>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</si>
  <si>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</si>
  <si>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</si>
  <si>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</si>
  <si>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</si>
  <si>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</si>
  <si>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</si>
  <si>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</si>
  <si>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</si>
  <si>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</si>
  <si>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</si>
  <si>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</si>
  <si>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</si>
  <si>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</si>
  <si>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</si>
  <si>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</si>
  <si>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</si>
  <si>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</si>
  <si>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</si>
  <si>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</si>
  <si>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</si>
  <si>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</si>
  <si>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</si>
  <si>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</si>
  <si>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</si>
  <si>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</si>
  <si>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</si>
  <si>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</si>
  <si>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</si>
  <si>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</si>
  <si>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</si>
  <si>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</si>
  <si>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</si>
  <si>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</si>
  <si>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</si>
  <si>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</si>
  <si>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</si>
  <si>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</si>
  <si>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</si>
  <si>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</si>
  <si>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</si>
  <si>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</si>
  <si>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</si>
  <si>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</si>
  <si>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</si>
  <si>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</si>
  <si>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</si>
  <si>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</si>
  <si>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</si>
  <si>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</si>
  <si>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</si>
  <si>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</si>
  <si>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</si>
  <si>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</si>
  <si>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</si>
  <si>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</si>
  <si>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</si>
  <si>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</si>
  <si>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</si>
  <si>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</si>
  <si>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</si>
  <si>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</si>
  <si>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</si>
  <si>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</si>
  <si>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</si>
  <si>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</si>
  <si>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</si>
  <si>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</si>
  <si>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</si>
  <si>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</si>
  <si>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</si>
  <si>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</si>
  <si>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</si>
  <si>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</si>
  <si>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</si>
  <si>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</si>
  <si>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</si>
  <si>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</si>
  <si>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</si>
  <si>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</si>
  <si>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</si>
  <si>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</si>
  <si>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</si>
  <si>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</si>
  <si>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</si>
  <si>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</si>
  <si>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</si>
  <si>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</si>
  <si>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</si>
  <si>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</si>
  <si>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</si>
  <si>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</si>
  <si>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</si>
  <si>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</si>
  <si>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</si>
  <si>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</si>
  <si>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</si>
  <si>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</si>
  <si>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</si>
  <si>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</si>
  <si>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</si>
  <si>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</si>
  <si>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</si>
  <si>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</si>
  <si>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</si>
  <si>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</si>
  <si>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</si>
  <si>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</si>
  <si>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</si>
  <si>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</si>
  <si>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</si>
  <si>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</si>
  <si>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</si>
  <si>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</si>
  <si>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</si>
  <si>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</si>
  <si>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</si>
  <si>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</si>
  <si>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</si>
  <si>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</si>
  <si>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</si>
  <si>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</si>
  <si>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</si>
  <si>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</si>
  <si>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</si>
  <si>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</si>
  <si>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</si>
  <si>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</si>
  <si>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</si>
  <si>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</si>
  <si>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</si>
  <si>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</si>
  <si>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</si>
  <si>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</si>
  <si>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</si>
  <si>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</si>
  <si>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</si>
  <si>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</si>
  <si>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</si>
  <si>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</si>
  <si>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</si>
  <si>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</si>
  <si>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</si>
  <si>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</si>
  <si>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</si>
  <si>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</si>
  <si>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</si>
  <si>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</si>
  <si>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</si>
  <si>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</si>
  <si>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</si>
  <si>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</si>
  <si>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</si>
  <si>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</si>
  <si>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</si>
  <si>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</si>
  <si>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</si>
  <si>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</si>
  <si>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</si>
  <si>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</si>
  <si>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</si>
  <si>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</si>
  <si>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</si>
  <si>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</si>
  <si>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</si>
  <si>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</si>
  <si>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</si>
  <si>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</si>
  <si>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</si>
  <si>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</si>
  <si>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</si>
  <si>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</si>
  <si>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</si>
  <si>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</si>
  <si>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</si>
  <si>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</si>
  <si>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</si>
  <si>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</si>
  <si>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</si>
  <si>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</si>
  <si>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</si>
  <si>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</si>
  <si>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</si>
  <si>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</si>
  <si>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</si>
  <si>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</si>
  <si>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</si>
  <si>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</si>
  <si>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</si>
  <si>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</si>
  <si>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</si>
  <si>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</si>
  <si>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</si>
  <si>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</si>
  <si>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</si>
  <si>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</si>
  <si>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</si>
  <si>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</si>
  <si>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</si>
  <si>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</si>
  <si>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</si>
  <si>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</si>
  <si>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</si>
  <si>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</si>
  <si>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</si>
  <si>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</si>
  <si>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</si>
  <si>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</si>
  <si>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</si>
  <si>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</si>
  <si>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</si>
  <si>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</si>
  <si>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</si>
  <si>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</si>
  <si>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</si>
  <si>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</si>
  <si>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</si>
  <si>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</si>
  <si>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</si>
  <si>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</si>
  <si>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</si>
  <si>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</si>
  <si>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</si>
  <si>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</si>
  <si>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</si>
  <si>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</si>
  <si>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</si>
  <si>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</si>
  <si>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</si>
  <si>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</si>
  <si>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</si>
  <si>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</si>
  <si>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</si>
  <si>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</si>
  <si>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</si>
  <si>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</si>
  <si>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</si>
  <si>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</si>
  <si>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</si>
  <si>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</si>
  <si>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</si>
  <si>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</si>
  <si>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</si>
  <si>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</si>
  <si>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</si>
  <si>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</si>
  <si>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</si>
  <si>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</si>
  <si>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</si>
  <si>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</si>
  <si>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</si>
  <si>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</si>
  <si>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</si>
  <si>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</si>
  <si>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</si>
  <si>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</si>
  <si>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</si>
  <si>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</si>
  <si>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</si>
  <si>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</si>
  <si>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</si>
  <si>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</si>
  <si>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</si>
  <si>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</si>
  <si>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</si>
  <si>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</si>
  <si>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</si>
  <si>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</si>
  <si>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</si>
  <si>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</si>
  <si>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</si>
  <si>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</si>
  <si>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</si>
  <si>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</si>
  <si>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</si>
  <si>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</si>
  <si>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</si>
  <si>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</si>
  <si>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</si>
  <si>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</si>
  <si>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</si>
  <si>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</si>
  <si>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</si>
  <si>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</si>
  <si>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</si>
  <si>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</si>
  <si>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</si>
  <si>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</si>
  <si>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</si>
  <si>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</si>
  <si>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</si>
  <si>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</si>
  <si>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</si>
  <si>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</si>
  <si>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</si>
  <si>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</si>
  <si>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</si>
  <si>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</si>
  <si>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</si>
  <si>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</si>
  <si>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</si>
  <si>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</si>
  <si>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</si>
  <si>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</si>
  <si>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</si>
  <si>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</si>
  <si>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</si>
  <si>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</si>
  <si>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</si>
  <si>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</si>
  <si>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</si>
  <si>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</si>
  <si>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</si>
  <si>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</si>
  <si>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</si>
  <si>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</si>
  <si>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</si>
  <si>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</si>
  <si>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</si>
  <si>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</si>
  <si>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</si>
  <si>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</si>
  <si>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</si>
  <si>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</si>
  <si>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</si>
  <si>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</si>
  <si>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</si>
  <si>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</si>
  <si>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</si>
  <si>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</si>
  <si>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</si>
  <si>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</si>
  <si>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</si>
  <si>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</si>
  <si>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</si>
  <si>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</si>
  <si>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</si>
  <si>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</si>
  <si>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</si>
  <si>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</si>
  <si>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</si>
  <si>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</si>
  <si>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</si>
  <si>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</si>
  <si>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</si>
  <si>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</si>
  <si>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</si>
  <si>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</si>
  <si>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</si>
  <si>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</si>
  <si>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</si>
  <si>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</si>
  <si>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</si>
  <si>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</si>
  <si>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</si>
  <si>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</si>
  <si>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</si>
  <si>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</si>
  <si>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</si>
  <si>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</si>
  <si>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</si>
  <si>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</si>
  <si>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</si>
  <si>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</si>
  <si>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</si>
  <si>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</si>
  <si>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</si>
  <si>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</si>
  <si>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</si>
  <si>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</si>
  <si>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</si>
  <si>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</si>
  <si>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</si>
  <si>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</si>
  <si>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</si>
  <si>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</si>
  <si>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</si>
  <si>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</si>
  <si>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</si>
  <si>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</si>
  <si>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</si>
  <si>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</si>
  <si>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</si>
  <si>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</si>
  <si>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</si>
  <si>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</si>
  <si>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</si>
  <si>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</si>
  <si>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</si>
  <si>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</si>
  <si>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</si>
  <si>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</si>
  <si>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</si>
  <si>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</si>
  <si>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</si>
  <si>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</si>
  <si>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</si>
  <si>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</si>
  <si>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</si>
  <si>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</si>
  <si>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</si>
  <si>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</si>
  <si>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</si>
  <si>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</si>
  <si>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</si>
  <si>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</si>
  <si>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</si>
  <si>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</si>
  <si>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</si>
  <si>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</si>
  <si>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</si>
  <si>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</si>
  <si>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</si>
  <si>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</si>
  <si>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</si>
  <si>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</si>
  <si>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</si>
  <si>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</si>
  <si>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</si>
  <si>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</si>
  <si>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</si>
  <si>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</si>
  <si>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</si>
  <si>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</si>
  <si>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</si>
  <si>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</si>
  <si>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</si>
  <si>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</si>
  <si>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</si>
  <si>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</si>
  <si>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</si>
  <si>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</si>
  <si>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</si>
  <si>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</si>
  <si>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</si>
  <si>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</si>
  <si>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</si>
  <si>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</si>
  <si>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</si>
  <si>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</si>
  <si>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</si>
  <si>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</si>
  <si>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</si>
  <si>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</si>
  <si>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</si>
  <si>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</si>
  <si>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</si>
  <si>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</si>
  <si>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</si>
  <si>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</si>
  <si>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</si>
  <si>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</si>
  <si>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</si>
  <si>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</si>
  <si>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</si>
  <si>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</si>
  <si>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</si>
  <si>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</si>
  <si>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</si>
  <si>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</si>
  <si>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</si>
  <si>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</si>
  <si>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</si>
  <si>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</si>
  <si>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</si>
  <si>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</si>
  <si>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</si>
  <si>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</si>
  <si>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</si>
  <si>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</si>
  <si>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</si>
  <si>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</si>
  <si>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</si>
  <si>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</si>
  <si>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</si>
  <si>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</si>
  <si>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</si>
  <si>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</si>
  <si>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</si>
  <si>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</si>
  <si>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</si>
  <si>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</si>
  <si>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</si>
  <si>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</si>
  <si>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</si>
  <si>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</si>
  <si>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</si>
  <si>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</si>
  <si>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</si>
  <si>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</si>
  <si>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</si>
  <si>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</si>
  <si>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</si>
  <si>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</si>
  <si>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</si>
  <si>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</si>
  <si>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</si>
  <si>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</si>
  <si>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</si>
  <si>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</si>
  <si>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</si>
  <si>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</si>
  <si>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</si>
  <si>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</si>
  <si>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</si>
  <si>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</si>
  <si>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</si>
  <si>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</si>
  <si>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</si>
  <si>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</si>
  <si>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</si>
  <si>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</si>
  <si>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</si>
  <si>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</si>
  <si>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</si>
  <si>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</si>
  <si>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</si>
  <si>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</si>
  <si>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</si>
  <si>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</si>
  <si>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</si>
  <si>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</si>
  <si>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</si>
  <si>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</si>
  <si>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</si>
  <si>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</si>
  <si>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</si>
  <si>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</si>
  <si>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</si>
  <si>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</si>
  <si>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</si>
  <si>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</si>
  <si>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</si>
  <si>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</si>
  <si>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</si>
  <si>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</si>
  <si>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</si>
  <si>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</si>
  <si>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</si>
  <si>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</si>
  <si>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</si>
  <si>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</si>
  <si>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</si>
  <si>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</si>
  <si>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</si>
  <si>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</si>
  <si>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</si>
  <si>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</si>
  <si>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</si>
  <si>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</si>
  <si>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</si>
  <si>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</si>
  <si>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</si>
  <si>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</si>
  <si>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</si>
  <si>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</si>
  <si>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</si>
  <si>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</si>
  <si>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</si>
  <si>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</si>
  <si>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</si>
  <si>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</si>
  <si>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</si>
  <si>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</si>
  <si>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</si>
  <si>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</si>
  <si>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</si>
  <si>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</si>
  <si>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</si>
  <si>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</si>
  <si>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</si>
  <si>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</si>
  <si>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</si>
  <si>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</si>
  <si>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</si>
  <si>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</si>
  <si>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</si>
  <si>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</si>
  <si>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</si>
  <si>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</si>
  <si>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</si>
  <si>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</si>
  <si>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</si>
  <si>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</si>
  <si>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</si>
  <si>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</si>
  <si>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</si>
  <si>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</si>
  <si>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</si>
  <si>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</si>
  <si>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</si>
  <si>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</si>
  <si>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</si>
  <si>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</si>
  <si>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</si>
  <si>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</si>
  <si>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</si>
  <si>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</si>
  <si>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</si>
  <si>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</si>
  <si>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</si>
  <si>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</si>
  <si>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</si>
  <si>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</si>
  <si>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</si>
  <si>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</si>
  <si>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</si>
  <si>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</si>
  <si>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</si>
  <si>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</si>
  <si>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</si>
  <si>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</si>
  <si>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</si>
  <si>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</si>
  <si>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</si>
  <si>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</si>
  <si>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</si>
  <si>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</si>
  <si>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</si>
  <si>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</si>
  <si>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</si>
  <si>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</si>
  <si>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</si>
  <si>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</si>
  <si>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</si>
  <si>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</si>
  <si>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</si>
  <si>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</si>
  <si>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</si>
  <si>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</si>
  <si>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</si>
  <si>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</si>
  <si>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</si>
  <si>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</si>
  <si>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</si>
  <si>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</si>
  <si>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</si>
  <si>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</si>
  <si>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</si>
  <si>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</si>
  <si>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</si>
  <si>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</si>
  <si>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</si>
  <si>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</si>
  <si>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</si>
  <si>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</si>
  <si>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</si>
  <si>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</si>
  <si>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</si>
  <si>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</si>
  <si>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</si>
  <si>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</si>
  <si>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</si>
  <si>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</si>
  <si>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</si>
  <si>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</si>
  <si>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</si>
  <si>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</si>
  <si>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</si>
  <si>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</si>
  <si>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</si>
  <si>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</si>
  <si>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</si>
  <si>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</si>
  <si>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</si>
  <si>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</si>
  <si>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</si>
  <si>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</si>
  <si>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</si>
  <si>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</si>
  <si>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</si>
  <si>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</si>
  <si>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</si>
  <si>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</si>
  <si>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</si>
  <si>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</si>
  <si>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</si>
  <si>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</si>
  <si>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</si>
  <si>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</si>
  <si>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</si>
  <si>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</si>
  <si>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</si>
  <si>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</si>
  <si>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</si>
  <si>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</si>
  <si>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</si>
  <si>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</si>
  <si>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</si>
  <si>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</si>
  <si>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</si>
  <si>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</si>
  <si>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</si>
  <si>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</si>
  <si>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</si>
  <si>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</si>
  <si>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</si>
  <si>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</si>
  <si>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</si>
  <si>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</si>
  <si>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</si>
  <si>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</si>
  <si>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</si>
  <si>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</si>
  <si>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</si>
  <si>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</si>
  <si>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</si>
  <si>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</si>
  <si>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</si>
  <si>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</si>
  <si>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</si>
  <si>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</si>
  <si>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</si>
  <si>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</si>
  <si>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</si>
  <si>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</si>
  <si>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</si>
  <si>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</si>
  <si>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</si>
  <si>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</si>
  <si>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</si>
  <si>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</si>
  <si>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</si>
  <si>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</si>
  <si>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</si>
  <si>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</si>
  <si>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</si>
  <si>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</si>
  <si>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</si>
  <si>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</si>
  <si>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</si>
  <si>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</si>
  <si>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</si>
  <si>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</si>
  <si>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</si>
  <si>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</si>
  <si>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</si>
  <si>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</si>
  <si>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</si>
  <si>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</si>
  <si>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</si>
  <si>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</si>
  <si>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</si>
  <si>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</si>
  <si>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</si>
  <si>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</si>
  <si>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</si>
  <si>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</si>
  <si>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</si>
  <si>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</si>
  <si>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</si>
  <si>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</si>
  <si>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</si>
  <si>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</si>
  <si>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</si>
  <si>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</si>
  <si>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</si>
  <si>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</si>
  <si>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</si>
  <si>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</si>
  <si>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</si>
  <si>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</si>
  <si>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</si>
  <si>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</si>
  <si>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</si>
  <si>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</si>
  <si>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</si>
  <si>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</si>
  <si>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</si>
  <si>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</si>
  <si>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</si>
  <si>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</si>
  <si>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</si>
  <si>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</si>
  <si>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</si>
  <si>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</si>
  <si>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</si>
  <si>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</si>
  <si>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</si>
  <si>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</si>
  <si>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</si>
  <si>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</si>
  <si>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</si>
  <si>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</si>
  <si>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</si>
  <si>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</si>
  <si>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</si>
  <si>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</si>
  <si>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</si>
  <si>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</si>
  <si>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</si>
  <si>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</si>
  <si>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</si>
  <si>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</si>
  <si>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</si>
  <si>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</si>
  <si>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</si>
  <si>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5 (9.09)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</si>
  <si>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</si>
  <si>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</si>
  <si>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</si>
  <si>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</si>
  <si>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</si>
  <si>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</si>
  <si>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</si>
  <si>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</si>
  <si>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</si>
  <si>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</si>
  <si>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</si>
  <si>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</si>
  <si>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</si>
  <si>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</si>
  <si>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</si>
  <si>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</si>
  <si>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</si>
  <si>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</si>
  <si>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</si>
  <si>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</si>
  <si>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</si>
  <si>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</si>
  <si>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</si>
  <si>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</si>
  <si>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</si>
  <si>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</si>
  <si>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</si>
  <si>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</si>
  <si>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</si>
  <si>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</si>
  <si>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</si>
  <si>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</si>
  <si>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</si>
  <si>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</si>
  <si>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</si>
  <si>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</si>
  <si>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</si>
  <si>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</si>
  <si>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</si>
  <si>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</si>
  <si>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</si>
  <si>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</si>
  <si>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</si>
  <si>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</si>
  <si>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</si>
  <si>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</si>
  <si>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</si>
  <si>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</si>
  <si>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</si>
  <si>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</si>
  <si>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3rd EYE SCORE *</t>
  </si>
  <si>
    <t>roots rock, blues rock, classic rock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</si>
  <si>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</si>
  <si>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</si>
  <si>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</si>
  <si>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</si>
  <si>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</si>
  <si>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</si>
  <si>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</si>
  <si>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</si>
  <si>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</si>
  <si>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</si>
  <si>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</si>
  <si>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</si>
  <si>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</si>
  <si>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</si>
  <si>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</si>
  <si>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</si>
  <si>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</si>
  <si>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</si>
  <si>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</si>
  <si>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</si>
  <si>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</si>
  <si>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</si>
  <si>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</si>
  <si>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</si>
  <si>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</si>
  <si>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</si>
  <si>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</si>
  <si>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</si>
  <si>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</si>
  <si>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</si>
  <si>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</si>
  <si>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8 (×226)</t>
  </si>
  <si>
    <t>0.1 ← simétrica</t>
  </si>
  <si>
    <t>-0.61 ← muy agrupadas</t>
  </si>
  <si>
    <t>18 (1.7%)</t>
  </si>
  <si>
    <t>160 (15.11%)</t>
  </si>
  <si>
    <t>421 (39.75%)</t>
  </si>
  <si>
    <t>255 (24.08%)</t>
  </si>
  <si>
    <t>205 (19.36%)</t>
  </si>
  <si>
    <t>groove metal, progressive metal</t>
  </si>
  <si>
    <t>progressive metal, death metal, groove metal</t>
  </si>
  <si>
    <t>101 de 101</t>
  </si>
  <si>
    <t>progressive metal (19)</t>
  </si>
  <si>
    <t>19 (8.78)</t>
  </si>
  <si>
    <t>groove metal</t>
  </si>
  <si>
    <t>1 (8.44)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</si>
</sst>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7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</fonts>
  <fills count="17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1EB8DC"/>
        <bgColor indexed="64"/>
      </patternFill>
    </fill>
    <fill>
      <patternFill patternType="solid">
        <fgColor rgb="FF21B9DA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3BC0C8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46C3C1"/>
        <bgColor indexed="64"/>
      </patternFill>
    </fill>
    <fill>
      <patternFill patternType="solid">
        <fgColor rgb="FF48C4BF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94D88C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A0DB8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B0E079"/>
        <bgColor indexed="64"/>
      </patternFill>
    </fill>
    <fill>
      <patternFill patternType="solid">
        <fgColor rgb="FFBFE46E"/>
        <bgColor indexed="64"/>
      </patternFill>
    </fill>
    <fill>
      <patternFill patternType="solid">
        <fgColor rgb="FFC5E56A"/>
        <bgColor indexed="64"/>
      </patternFill>
    </fill>
    <fill>
      <patternFill patternType="solid">
        <fgColor rgb="FFC8E668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1ED57"/>
        <bgColor indexed="64"/>
      </patternFill>
    </fill>
    <fill>
      <patternFill patternType="solid">
        <fgColor rgb="FFF3F24B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8BD691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9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3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27" fillId="42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4" borderId="4" xfId="0" applyFont="1" applyFill="1" applyBorder="1" applyAlignment="1">
      <alignment vertical="center"/>
    </xf>
    <xf numFmtId="0" fontId="40" fillId="46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7" borderId="0" xfId="0" applyFill="1"/>
    <xf numFmtId="0" fontId="0" fillId="36" borderId="0" xfId="0" applyFill="1" applyAlignment="1">
      <alignment horizontal="center"/>
    </xf>
    <xf numFmtId="0" fontId="0" fillId="47" borderId="0" xfId="0" applyFill="1" applyAlignment="1">
      <alignment horizontal="center"/>
    </xf>
    <xf numFmtId="0" fontId="44" fillId="48" borderId="4" xfId="0" applyFont="1" applyFill="1" applyBorder="1" applyAlignment="1">
      <alignment vertical="center"/>
    </xf>
    <xf numFmtId="0" fontId="46" fillId="49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1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5" borderId="0" xfId="0" applyFont="1" applyFill="1" applyAlignment="1">
      <alignment horizontal="center"/>
    </xf>
    <xf numFmtId="0" fontId="53" fillId="56" borderId="1" xfId="0" applyFont="1" applyFill="1" applyBorder="1" applyAlignment="1">
      <alignment vertical="center"/>
    </xf>
    <xf numFmtId="0" fontId="55" fillId="58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2" borderId="0" xfId="0" applyFont="1" applyFill="1" applyAlignment="1">
      <alignment vertical="center"/>
    </xf>
    <xf numFmtId="0" fontId="61" fillId="50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6" borderId="0" xfId="0" applyFont="1" applyFill="1" applyAlignment="1">
      <alignment vertical="center"/>
    </xf>
    <xf numFmtId="0" fontId="65" fillId="64" borderId="0" xfId="0" applyFont="1" applyFill="1" applyAlignment="1">
      <alignment vertical="center"/>
    </xf>
    <xf numFmtId="0" fontId="67" fillId="63" borderId="8" xfId="0" applyFont="1" applyFill="1" applyBorder="1" applyAlignment="1">
      <alignment vertical="center"/>
    </xf>
    <xf numFmtId="0" fontId="69" fillId="61" borderId="0" xfId="0" applyFont="1" applyFill="1" applyAlignment="1">
      <alignment vertical="center"/>
    </xf>
    <xf numFmtId="0" fontId="71" fillId="59" borderId="4" xfId="0" applyFont="1" applyFill="1" applyBorder="1" applyAlignment="1">
      <alignment vertical="center"/>
    </xf>
    <xf numFmtId="0" fontId="53" fillId="57" borderId="4" xfId="0" applyFont="1" applyFill="1" applyBorder="1" applyAlignment="1">
      <alignment vertical="center"/>
    </xf>
    <xf numFmtId="0" fontId="73" fillId="54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3" borderId="1" xfId="0" applyFont="1" applyFill="1" applyBorder="1" applyAlignment="1">
      <alignment vertical="center"/>
    </xf>
    <xf numFmtId="0" fontId="79" fillId="52" borderId="1" xfId="0" applyFont="1" applyFill="1" applyBorder="1" applyAlignment="1">
      <alignment vertical="center"/>
    </xf>
    <xf numFmtId="0" fontId="81" fillId="50" borderId="1" xfId="0" applyFont="1" applyFill="1" applyBorder="1" applyAlignment="1">
      <alignment vertical="center"/>
    </xf>
    <xf numFmtId="0" fontId="83" fillId="45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8" borderId="4" xfId="0" applyFont="1" applyFill="1" applyBorder="1" applyAlignment="1">
      <alignment vertical="center"/>
    </xf>
    <xf numFmtId="0" fontId="115" fillId="65" borderId="0" xfId="0" applyFont="1" applyFill="1" applyAlignment="1">
      <alignment vertical="center"/>
    </xf>
    <xf numFmtId="0" fontId="117" fillId="66" borderId="0" xfId="0" applyFont="1" applyFill="1" applyAlignment="1">
      <alignment vertical="center"/>
    </xf>
    <xf numFmtId="0" fontId="80" fillId="67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7" borderId="0" xfId="0" applyFont="1" applyFill="1" applyAlignment="1">
      <alignment vertical="center"/>
    </xf>
    <xf numFmtId="0" fontId="121" fillId="6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2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0" borderId="4" xfId="0" applyFont="1" applyFill="1" applyBorder="1" applyAlignment="1">
      <alignment vertical="center"/>
    </xf>
    <xf numFmtId="0" fontId="29" fillId="69" borderId="0" xfId="0" applyFont="1" applyFill="1" applyAlignment="1">
      <alignment horizontal="center"/>
    </xf>
    <xf numFmtId="0" fontId="29" fillId="70" borderId="0" xfId="0" applyFont="1" applyFill="1" applyAlignment="1">
      <alignment horizontal="center"/>
    </xf>
    <xf numFmtId="0" fontId="29" fillId="71" borderId="0" xfId="0" applyFont="1" applyFill="1" applyAlignment="1">
      <alignment horizontal="center"/>
    </xf>
    <xf numFmtId="0" fontId="29" fillId="72" borderId="0" xfId="0" applyFont="1" applyFill="1" applyAlignment="1">
      <alignment horizontal="center"/>
    </xf>
    <xf numFmtId="0" fontId="29" fillId="73" borderId="0" xfId="0" applyFont="1" applyFill="1" applyAlignment="1">
      <alignment horizontal="center"/>
    </xf>
    <xf numFmtId="0" fontId="29" fillId="74" borderId="0" xfId="0" applyFont="1" applyFill="1" applyAlignment="1">
      <alignment horizontal="center"/>
    </xf>
    <xf numFmtId="0" fontId="29" fillId="75" borderId="0" xfId="0" applyFont="1" applyFill="1" applyAlignment="1">
      <alignment horizont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83" borderId="0" xfId="0" applyFont="1" applyFill="1" applyAlignment="1">
      <alignment vertical="center"/>
    </xf>
    <xf numFmtId="0" fontId="132" fillId="85" borderId="0" xfId="0" applyFont="1" applyFill="1"/>
    <xf numFmtId="0" fontId="0" fillId="47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86" borderId="0" xfId="0" applyFont="1" applyFill="1" applyAlignment="1">
      <alignment vertic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135" fillId="89" borderId="0" xfId="0" applyFont="1" applyFill="1" applyAlignment="1">
      <alignment vertical="center"/>
    </xf>
    <xf numFmtId="0" fontId="29" fillId="91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92" borderId="0" xfId="0" applyFont="1" applyFill="1" applyAlignment="1">
      <alignment vertic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93" borderId="0" xfId="0" applyFont="1" applyFill="1" applyAlignment="1">
      <alignment vertical="center"/>
    </xf>
    <xf numFmtId="0" fontId="104" fillId="96" borderId="0" xfId="0" applyFont="1" applyFill="1" applyAlignment="1">
      <alignment vertical="center"/>
    </xf>
    <xf numFmtId="0" fontId="143" fillId="51" borderId="1" xfId="0" applyFont="1" applyFill="1" applyBorder="1" applyAlignment="1">
      <alignment vertical="center"/>
    </xf>
    <xf numFmtId="0" fontId="29" fillId="97" borderId="0" xfId="0" applyFont="1" applyFill="1" applyAlignment="1">
      <alignment horizontal="center"/>
    </xf>
    <xf numFmtId="0" fontId="145" fillId="98" borderId="0" xfId="0" applyFont="1" applyFill="1" applyAlignment="1">
      <alignment vertical="center"/>
    </xf>
    <xf numFmtId="0" fontId="147" fillId="45" borderId="0" xfId="0" applyFont="1" applyFill="1"/>
    <xf numFmtId="0" fontId="58" fillId="99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149" fillId="103" borderId="0" xfId="0" applyFont="1" applyFill="1" applyAlignment="1">
      <alignment vertical="center"/>
    </xf>
    <xf numFmtId="0" fontId="29" fillId="104" borderId="0" xfId="0" applyFont="1" applyFill="1" applyAlignment="1">
      <alignment horizontal="center"/>
    </xf>
    <xf numFmtId="0" fontId="151" fillId="105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06" borderId="0" xfId="0" applyFont="1" applyFill="1" applyAlignment="1">
      <alignment horizontal="center"/>
    </xf>
    <xf numFmtId="0" fontId="155" fillId="100" borderId="0" xfId="0" applyFont="1" applyFill="1" applyAlignment="1">
      <alignment vertical="center"/>
    </xf>
    <xf numFmtId="0" fontId="29" fillId="108" borderId="0" xfId="0" applyFont="1" applyFill="1" applyAlignment="1">
      <alignment horizontal="center"/>
    </xf>
    <xf numFmtId="0" fontId="159" fillId="48" borderId="0" xfId="0" applyFont="1" applyFill="1" applyAlignment="1">
      <alignment vertical="center"/>
    </xf>
    <xf numFmtId="0" fontId="163" fillId="110" borderId="0" xfId="0" applyFont="1" applyFill="1" applyAlignment="1">
      <alignment vertical="center"/>
    </xf>
    <xf numFmtId="0" fontId="29" fillId="111" borderId="0" xfId="0" applyFont="1" applyFill="1" applyAlignment="1">
      <alignment horizontal="center"/>
    </xf>
    <xf numFmtId="0" fontId="67" fillId="113" borderId="0" xfId="0" applyFont="1" applyFill="1" applyAlignment="1">
      <alignment vertical="center"/>
    </xf>
    <xf numFmtId="0" fontId="45" fillId="112" borderId="0" xfId="0" applyFont="1" applyFill="1" applyAlignment="1">
      <alignment vertical="center"/>
    </xf>
    <xf numFmtId="0" fontId="157" fillId="107" borderId="0" xfId="0" applyFont="1" applyFill="1" applyAlignment="1">
      <alignment vertical="center"/>
    </xf>
    <xf numFmtId="0" fontId="161" fillId="109" borderId="2" xfId="0" applyFont="1" applyFill="1" applyBorder="1" applyAlignment="1">
      <alignment vertical="center"/>
    </xf>
    <xf numFmtId="10" fontId="0" fillId="47" borderId="0" xfId="0" applyNumberFormat="1" applyFill="1" applyAlignment="1">
      <alignment horizontal="right"/>
    </xf>
    <xf numFmtId="0" fontId="165" fillId="114" borderId="4" xfId="0" applyFont="1" applyFill="1" applyBorder="1" applyAlignment="1">
      <alignment vertical="center"/>
    </xf>
    <xf numFmtId="0" fontId="106" fillId="115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83" borderId="1" xfId="0" applyFont="1" applyFill="1" applyBorder="1" applyAlignment="1">
      <alignment vertical="center"/>
    </xf>
    <xf numFmtId="0" fontId="167" fillId="116" borderId="1" xfId="0" applyFont="1" applyFill="1" applyBorder="1" applyAlignment="1">
      <alignment vertical="center"/>
    </xf>
    <xf numFmtId="0" fontId="168" fillId="90" borderId="0" xfId="0" applyFont="1" applyFill="1" applyAlignment="1">
      <alignment vertical="center"/>
    </xf>
    <xf numFmtId="0" fontId="35" fillId="117" borderId="1" xfId="0" applyFont="1" applyFill="1" applyBorder="1"/>
    <xf numFmtId="0" fontId="170" fillId="118" borderId="4" xfId="0" applyFont="1" applyFill="1" applyBorder="1" applyAlignment="1">
      <alignment vertical="center"/>
    </xf>
    <xf numFmtId="0" fontId="29" fillId="119" borderId="0" xfId="0" applyFont="1" applyFill="1" applyAlignment="1">
      <alignment horizontal="center"/>
    </xf>
    <xf numFmtId="0" fontId="131" fillId="84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167" fillId="120" borderId="1" xfId="0" applyFont="1" applyFill="1" applyBorder="1" applyAlignment="1">
      <alignment vertic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</cellXfs>
  <cellStyles count="1">
    <cellStyle name="Normal" xfId="0" builtinId="0"/>
  </cellStyles>
  <dxfs count="685"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</dxfs>
  <tableStyles count="0" defaultTableStyle="TableStyleMedium2" defaultPivotStyle="PivotStyleLight16"/>
  <colors>
    <mruColors>
      <color rgb="FFDAE5E9"/>
      <color rgb="FF002E25"/>
      <color rgb="FF004639"/>
      <color rgb="FFB8F6F2"/>
      <color rgb="FFA7FFEE"/>
      <color rgb="FF00003E"/>
      <color rgb="FFE8ECE3"/>
      <color rgb="FFF6D5C0"/>
      <color rgb="FFCD9B69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0.2)</a:t>
          </a:r>
        </a:p>
        <a:p>
          <a:r>
            <a:rPr lang="es-ES_tradnl" sz="1100"/>
            <a:t>+ ((C - B) * 0.15)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J1" zoomScale="80" zoomScaleNormal="80" workbookViewId="0">
      <pane ySplit="1" topLeftCell="A2" activePane="bottomLeft" state="frozen"/>
      <selection pane="bottomLeft" activeCell="T138" sqref="T138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" customWidth="1"/>
    <col min="9" max="9" width="3.83203125" customWidth="1"/>
    <col min="10" max="10" width="34.832031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4.5" bestFit="1" customWidth="1"/>
    <col min="19" max="19" width="26.83203125" bestFit="1" customWidth="1"/>
    <col min="20" max="20" width="39" bestFit="1" customWidth="1"/>
    <col min="21" max="21" width="8.1640625" bestFit="1" customWidth="1"/>
    <col min="22" max="22" width="15.6640625" style="16" bestFit="1" customWidth="1"/>
    <col min="23" max="23" width="8.6640625" style="16" bestFit="1" customWidth="1"/>
    <col min="24" max="24" width="11.83203125" style="16" bestFit="1" customWidth="1"/>
    <col min="25" max="25" width="10" style="16" bestFit="1" customWidth="1"/>
    <col min="26" max="26" width="15.33203125" style="16" bestFit="1" customWidth="1"/>
    <col min="27" max="27" width="10.83203125" bestFit="1" customWidth="1"/>
    <col min="28" max="28" width="47.83203125" bestFit="1" customWidth="1"/>
    <col min="29" max="29" width="7.6640625" customWidth="1"/>
    <col min="30" max="30" width="27.1640625" hidden="1" customWidth="1"/>
    <col min="31" max="31" width="27.33203125" bestFit="1" customWidth="1"/>
    <col min="32" max="32" width="36" bestFit="1" customWidth="1"/>
    <col min="34" max="34" width="14" bestFit="1" customWidth="1"/>
    <col min="35" max="35" width="39.5" customWidth="1"/>
    <col min="36" max="36" width="6.1640625" bestFit="1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</cols>
  <sheetData>
    <row r="1" spans="1:47" ht="16" customHeight="1" thickBot="1" x14ac:dyDescent="0.3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13" t="s">
        <v>1387</v>
      </c>
      <c r="S1" s="213"/>
      <c r="T1" s="213"/>
      <c r="U1" s="213"/>
      <c r="V1" s="213"/>
      <c r="W1" s="213"/>
      <c r="X1" s="213"/>
      <c r="Y1" s="213"/>
      <c r="Z1" s="213"/>
      <c r="AA1" s="213"/>
      <c r="AB1" s="213"/>
      <c r="AE1" s="213" t="s">
        <v>1059</v>
      </c>
      <c r="AF1" s="213"/>
    </row>
    <row r="2" spans="1:47" ht="16" customHeight="1" thickBot="1" x14ac:dyDescent="0.25">
      <c r="A2" s="125" t="s">
        <v>917</v>
      </c>
      <c r="B2" s="3">
        <f>ROUND(SUM(B3:B14)/COUNT(B3:B14), 2)</f>
        <v>9.89</v>
      </c>
      <c r="C2" s="4"/>
      <c r="D2" s="126" t="s">
        <v>918</v>
      </c>
      <c r="E2" s="14">
        <f>ROUND(SUM(E3:E12)/COUNT(E3:E12), 2)</f>
        <v>9.6999999999999993</v>
      </c>
      <c r="F2" s="4"/>
      <c r="G2" s="170" t="s">
        <v>1225</v>
      </c>
      <c r="H2" s="3">
        <f>ROUND(SUM(H3:H15)/COUNT(H3:H15), 2)</f>
        <v>8.65</v>
      </c>
      <c r="I2" s="4"/>
      <c r="J2" s="70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1627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61" t="s">
        <v>1060</v>
      </c>
      <c r="AF2" s="161"/>
      <c r="AK2" t="s">
        <v>428</v>
      </c>
    </row>
    <row r="3" spans="1:47" ht="16" customHeight="1" x14ac:dyDescent="0.2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7">
        <v>1</v>
      </c>
      <c r="S3" s="57" t="s">
        <v>1022</v>
      </c>
      <c r="T3" s="57" t="s">
        <v>1020</v>
      </c>
      <c r="U3" s="76">
        <v>10.5</v>
      </c>
      <c r="V3" s="141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5" t="s">
        <v>1061</v>
      </c>
      <c r="AF3" s="162">
        <v>101</v>
      </c>
      <c r="AQ3" s="46"/>
      <c r="AR3" s="43"/>
      <c r="AS3" s="2" t="s">
        <v>252</v>
      </c>
      <c r="AT3" t="s">
        <v>281</v>
      </c>
    </row>
    <row r="4" spans="1:47" ht="16" customHeight="1" x14ac:dyDescent="0.2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8">
        <v>2</v>
      </c>
      <c r="S4" s="75" t="s">
        <v>342</v>
      </c>
      <c r="T4" s="75" t="s">
        <v>7</v>
      </c>
      <c r="U4" s="77">
        <v>9.89</v>
      </c>
      <c r="V4" s="141">
        <v>10.47</v>
      </c>
      <c r="W4" s="75">
        <v>10</v>
      </c>
      <c r="X4" s="75">
        <v>0.61</v>
      </c>
      <c r="Y4" s="75">
        <v>5</v>
      </c>
      <c r="Z4" s="75">
        <v>12</v>
      </c>
      <c r="AA4" s="75">
        <v>3</v>
      </c>
      <c r="AB4" s="75" t="s">
        <v>775</v>
      </c>
      <c r="AE4" s="57" t="s">
        <v>1062</v>
      </c>
      <c r="AF4" s="163">
        <v>68</v>
      </c>
      <c r="AQ4" s="44"/>
      <c r="AR4" s="43">
        <v>10</v>
      </c>
      <c r="AS4" s="2" t="s">
        <v>248</v>
      </c>
      <c r="AT4" t="s">
        <v>254</v>
      </c>
    </row>
    <row r="5" spans="1:47" ht="16" customHeight="1" x14ac:dyDescent="0.2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9">
        <v>3</v>
      </c>
      <c r="S5" s="57" t="s">
        <v>348</v>
      </c>
      <c r="T5" s="57" t="s">
        <v>1054</v>
      </c>
      <c r="U5" s="76">
        <v>10</v>
      </c>
      <c r="V5" s="141">
        <v>10.35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5" t="s">
        <v>1063</v>
      </c>
      <c r="AF5" s="162">
        <v>1112</v>
      </c>
      <c r="AQ5" s="48"/>
      <c r="AR5" s="43" t="s">
        <v>244</v>
      </c>
      <c r="AS5" s="2" t="s">
        <v>249</v>
      </c>
      <c r="AT5" t="s">
        <v>255</v>
      </c>
    </row>
    <row r="6" spans="1:47" ht="16" customHeight="1" x14ac:dyDescent="0.2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6">
        <v>4</v>
      </c>
      <c r="S6" s="75" t="s">
        <v>343</v>
      </c>
      <c r="T6" s="75" t="s">
        <v>344</v>
      </c>
      <c r="U6" s="77">
        <v>9.6999999999999993</v>
      </c>
      <c r="V6" s="141">
        <v>10.29</v>
      </c>
      <c r="W6" s="75">
        <v>10</v>
      </c>
      <c r="X6" s="75">
        <v>0.87</v>
      </c>
      <c r="Y6" s="75">
        <v>6</v>
      </c>
      <c r="Z6" s="75">
        <v>10</v>
      </c>
      <c r="AA6" s="75">
        <v>0</v>
      </c>
      <c r="AB6" s="75" t="s">
        <v>776</v>
      </c>
      <c r="AE6" s="57" t="s">
        <v>1064</v>
      </c>
      <c r="AF6" s="163">
        <v>1059</v>
      </c>
      <c r="AQ6" s="47"/>
      <c r="AR6" s="43" t="s">
        <v>245</v>
      </c>
      <c r="AS6" s="2" t="s">
        <v>250</v>
      </c>
      <c r="AT6" t="s">
        <v>256</v>
      </c>
    </row>
    <row r="7" spans="1:47" ht="16" customHeight="1" x14ac:dyDescent="0.2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6">
        <v>5</v>
      </c>
      <c r="S7" s="57" t="s">
        <v>695</v>
      </c>
      <c r="T7" s="57" t="s">
        <v>696</v>
      </c>
      <c r="U7" s="76">
        <v>9.8800000000000008</v>
      </c>
      <c r="V7" s="141">
        <v>10.16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5" t="s">
        <v>341</v>
      </c>
      <c r="AF7" s="162">
        <v>53</v>
      </c>
      <c r="AQ7" s="45"/>
      <c r="AR7" s="43" t="s">
        <v>246</v>
      </c>
      <c r="AS7" s="2" t="s">
        <v>251</v>
      </c>
      <c r="AT7" t="s">
        <v>257</v>
      </c>
    </row>
    <row r="8" spans="1:47" ht="16" customHeight="1" x14ac:dyDescent="0.2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6">
        <v>6</v>
      </c>
      <c r="S8" s="75" t="s">
        <v>342</v>
      </c>
      <c r="T8" s="75" t="s">
        <v>578</v>
      </c>
      <c r="U8" s="77">
        <v>9.61</v>
      </c>
      <c r="V8" s="219">
        <v>9.91</v>
      </c>
      <c r="W8" s="75">
        <v>10</v>
      </c>
      <c r="X8" s="75">
        <v>0.74</v>
      </c>
      <c r="Y8" s="75">
        <v>5</v>
      </c>
      <c r="Z8" s="75">
        <v>11</v>
      </c>
      <c r="AA8" s="75">
        <v>2</v>
      </c>
      <c r="AB8" s="75" t="s">
        <v>775</v>
      </c>
      <c r="AE8" s="57" t="s">
        <v>1065</v>
      </c>
      <c r="AF8" s="163">
        <v>11.01</v>
      </c>
      <c r="AQ8" s="55"/>
      <c r="AR8" s="43" t="s">
        <v>328</v>
      </c>
      <c r="AS8" s="2" t="s">
        <v>329</v>
      </c>
      <c r="AT8" t="s">
        <v>330</v>
      </c>
    </row>
    <row r="9" spans="1:47" ht="16" customHeight="1" x14ac:dyDescent="0.2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6">
        <v>7</v>
      </c>
      <c r="S9" s="57" t="s">
        <v>342</v>
      </c>
      <c r="T9" s="57" t="s">
        <v>158</v>
      </c>
      <c r="U9" s="76">
        <v>9.61</v>
      </c>
      <c r="V9" s="220">
        <v>9.89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5" t="s">
        <v>1066</v>
      </c>
      <c r="AF9" s="202">
        <v>4.7699999999999999E-2</v>
      </c>
      <c r="AQ9" s="49"/>
      <c r="AS9" s="2" t="s">
        <v>258</v>
      </c>
      <c r="AT9" t="s">
        <v>259</v>
      </c>
    </row>
    <row r="10" spans="1:47" ht="16" customHeight="1" x14ac:dyDescent="0.2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6">
        <v>8</v>
      </c>
      <c r="S10" s="75" t="s">
        <v>343</v>
      </c>
      <c r="T10" s="75" t="s">
        <v>345</v>
      </c>
      <c r="U10" s="77">
        <v>9.5500000000000007</v>
      </c>
      <c r="V10" s="221">
        <v>9.77</v>
      </c>
      <c r="W10" s="75">
        <v>9.5</v>
      </c>
      <c r="X10" s="75">
        <v>0.57999999999999996</v>
      </c>
      <c r="Y10" s="75">
        <v>3</v>
      </c>
      <c r="Z10" s="75">
        <v>12</v>
      </c>
      <c r="AA10" s="75">
        <v>1</v>
      </c>
      <c r="AB10" s="75" t="s">
        <v>776</v>
      </c>
    </row>
    <row r="11" spans="1:47" ht="16" customHeight="1" x14ac:dyDescent="0.2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6">
        <v>9</v>
      </c>
      <c r="S11" s="57" t="s">
        <v>348</v>
      </c>
      <c r="T11" s="57" t="s">
        <v>349</v>
      </c>
      <c r="U11" s="76">
        <v>9.44</v>
      </c>
      <c r="V11" s="222">
        <v>9.65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61" t="s">
        <v>1067</v>
      </c>
      <c r="AF11" s="161"/>
      <c r="AI11" s="86"/>
      <c r="AQ11" s="17" t="s">
        <v>163</v>
      </c>
      <c r="AR11" s="17"/>
      <c r="AU11" s="18" cm="1">
        <f t="array" ref="AU11">ROUND(CORREL(V3:V75,Z3:Z75-AA3:AA75),3)</f>
        <v>-0.43099999999999999</v>
      </c>
    </row>
    <row r="12" spans="1:47" ht="16" customHeight="1" thickBot="1" x14ac:dyDescent="0.25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7.5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6">
        <v>10</v>
      </c>
      <c r="S12" s="75" t="s">
        <v>342</v>
      </c>
      <c r="T12" s="75" t="s">
        <v>1293</v>
      </c>
      <c r="U12" s="77">
        <v>9.36</v>
      </c>
      <c r="V12" s="223">
        <v>9.61</v>
      </c>
      <c r="W12" s="75">
        <v>10</v>
      </c>
      <c r="X12" s="75">
        <v>1.1200000000000001</v>
      </c>
      <c r="Y12" s="75">
        <v>4</v>
      </c>
      <c r="Z12" s="75">
        <v>10</v>
      </c>
      <c r="AA12" s="75">
        <v>3</v>
      </c>
      <c r="AB12" s="75" t="s">
        <v>1306</v>
      </c>
      <c r="AE12" s="57" t="s">
        <v>1068</v>
      </c>
      <c r="AF12" s="163">
        <v>8.66</v>
      </c>
      <c r="AQ12" s="17" t="s">
        <v>164</v>
      </c>
      <c r="AR12" s="17"/>
      <c r="AS12" s="1"/>
      <c r="AT12" s="17"/>
      <c r="AU12" s="17"/>
    </row>
    <row r="13" spans="1:47" ht="16" customHeight="1" thickBot="1" x14ac:dyDescent="0.25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6">
        <v>11</v>
      </c>
      <c r="S13" s="57" t="s">
        <v>348</v>
      </c>
      <c r="T13" s="57" t="s">
        <v>792</v>
      </c>
      <c r="U13" s="76">
        <v>9.4</v>
      </c>
      <c r="V13" s="224">
        <v>9.49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5" t="s">
        <v>1069</v>
      </c>
      <c r="AF13" s="162">
        <v>8.5</v>
      </c>
      <c r="AQ13" t="s">
        <v>1058</v>
      </c>
      <c r="AR13" s="17"/>
      <c r="AS13" s="1"/>
      <c r="AT13" s="17"/>
      <c r="AU13" s="17"/>
    </row>
    <row r="14" spans="1:47" ht="16" customHeight="1" thickBot="1" x14ac:dyDescent="0.25">
      <c r="A14" s="6" t="s">
        <v>11</v>
      </c>
      <c r="B14" s="52"/>
      <c r="C14" s="4"/>
      <c r="D14" s="121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3" t="s">
        <v>915</v>
      </c>
      <c r="K14" s="3">
        <f>ROUND(SUM(K15:K23)/COUNT(K15:K23), 2)</f>
        <v>8.83</v>
      </c>
      <c r="L14" s="4"/>
      <c r="M14" s="124" t="s">
        <v>916</v>
      </c>
      <c r="N14" s="3">
        <f>ROUND(SUM(N15:N26)/COUNT(N15:N26), 2)</f>
        <v>8.67</v>
      </c>
      <c r="O14" s="22"/>
      <c r="R14" s="66">
        <v>12</v>
      </c>
      <c r="S14" s="75" t="s">
        <v>346</v>
      </c>
      <c r="T14" s="75" t="s">
        <v>280</v>
      </c>
      <c r="U14" s="77">
        <v>9.3800000000000008</v>
      </c>
      <c r="V14" s="225">
        <v>9.4600000000000009</v>
      </c>
      <c r="W14" s="75">
        <v>9.5</v>
      </c>
      <c r="X14" s="75">
        <v>0.78</v>
      </c>
      <c r="Y14" s="75">
        <v>3</v>
      </c>
      <c r="Z14" s="75">
        <v>8</v>
      </c>
      <c r="AA14" s="75">
        <v>0</v>
      </c>
      <c r="AB14" s="75" t="s">
        <v>777</v>
      </c>
      <c r="AE14" s="57" t="s">
        <v>1070</v>
      </c>
      <c r="AF14" s="163" t="s">
        <v>1660</v>
      </c>
    </row>
    <row r="15" spans="1:47" ht="16" customHeight="1" thickBot="1" x14ac:dyDescent="0.25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6">
        <v>13</v>
      </c>
      <c r="S15" s="57" t="s">
        <v>347</v>
      </c>
      <c r="T15" s="57" t="s">
        <v>1228</v>
      </c>
      <c r="U15" s="76">
        <v>9.4</v>
      </c>
      <c r="V15" s="226">
        <v>9.42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" customHeight="1" thickBot="1" x14ac:dyDescent="0.25">
      <c r="A16" s="122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6">
        <v>14</v>
      </c>
      <c r="S16" s="75" t="s">
        <v>351</v>
      </c>
      <c r="T16" s="75" t="s">
        <v>56</v>
      </c>
      <c r="U16" s="77">
        <v>9.25</v>
      </c>
      <c r="V16" s="227">
        <v>9.31</v>
      </c>
      <c r="W16" s="75">
        <v>9.25</v>
      </c>
      <c r="X16" s="75">
        <v>0.83</v>
      </c>
      <c r="Y16" s="75">
        <v>3</v>
      </c>
      <c r="Z16" s="75">
        <v>8</v>
      </c>
      <c r="AA16" s="75">
        <v>0</v>
      </c>
      <c r="AB16" s="75" t="s">
        <v>801</v>
      </c>
      <c r="AE16" s="161" t="s">
        <v>1071</v>
      </c>
      <c r="AF16" s="161"/>
    </row>
    <row r="17" spans="1:43" ht="16" customHeight="1" thickBot="1" x14ac:dyDescent="0.25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71" t="s">
        <v>1226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6">
        <v>15</v>
      </c>
      <c r="S17" s="57" t="s">
        <v>347</v>
      </c>
      <c r="T17" s="57" t="s">
        <v>1032</v>
      </c>
      <c r="U17" s="76">
        <v>9.3000000000000007</v>
      </c>
      <c r="V17" s="227">
        <v>9.31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5" t="s">
        <v>1072</v>
      </c>
      <c r="AF17" s="162">
        <v>0.99</v>
      </c>
    </row>
    <row r="18" spans="1:43" ht="16" customHeight="1" x14ac:dyDescent="0.2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6">
        <v>16</v>
      </c>
      <c r="S18" s="75" t="s">
        <v>352</v>
      </c>
      <c r="T18" s="75" t="s">
        <v>190</v>
      </c>
      <c r="U18" s="77">
        <v>9.2100000000000009</v>
      </c>
      <c r="V18" s="228">
        <v>9.27</v>
      </c>
      <c r="W18" s="75">
        <v>9.25</v>
      </c>
      <c r="X18" s="75">
        <v>0.85</v>
      </c>
      <c r="Y18" s="75">
        <v>5</v>
      </c>
      <c r="Z18" s="75">
        <v>13</v>
      </c>
      <c r="AA18" s="75">
        <v>1</v>
      </c>
      <c r="AB18" s="75" t="s">
        <v>781</v>
      </c>
      <c r="AE18" s="57" t="s">
        <v>1073</v>
      </c>
      <c r="AF18" s="164">
        <v>0.1147</v>
      </c>
    </row>
    <row r="19" spans="1:43" ht="16" customHeight="1" x14ac:dyDescent="0.2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6">
        <v>17</v>
      </c>
      <c r="S19" s="57" t="s">
        <v>350</v>
      </c>
      <c r="T19" s="57" t="s">
        <v>132</v>
      </c>
      <c r="U19" s="76">
        <v>9.2100000000000009</v>
      </c>
      <c r="V19" s="146">
        <v>9.23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5" t="s">
        <v>1074</v>
      </c>
      <c r="AF19" s="162" t="s">
        <v>1075</v>
      </c>
    </row>
    <row r="20" spans="1:43" ht="16" customHeight="1" x14ac:dyDescent="0.2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6">
        <v>18</v>
      </c>
      <c r="S20" s="75" t="s">
        <v>499</v>
      </c>
      <c r="T20" s="75" t="s">
        <v>517</v>
      </c>
      <c r="U20" s="77">
        <v>9.17</v>
      </c>
      <c r="V20" s="166">
        <v>9.19</v>
      </c>
      <c r="W20" s="75">
        <v>9</v>
      </c>
      <c r="X20" s="75">
        <v>0.69</v>
      </c>
      <c r="Y20" s="75">
        <v>1</v>
      </c>
      <c r="Z20" s="75">
        <v>6</v>
      </c>
      <c r="AA20" s="75">
        <v>0</v>
      </c>
      <c r="AB20" s="75" t="s">
        <v>780</v>
      </c>
      <c r="AE20" s="57" t="s">
        <v>1076</v>
      </c>
      <c r="AF20" s="163" t="s">
        <v>1077</v>
      </c>
    </row>
    <row r="21" spans="1:43" ht="16" customHeight="1" x14ac:dyDescent="0.2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6">
        <v>19</v>
      </c>
      <c r="S21" s="57" t="s">
        <v>463</v>
      </c>
      <c r="T21" s="57" t="s">
        <v>36</v>
      </c>
      <c r="U21" s="76">
        <v>9.15</v>
      </c>
      <c r="V21" s="229">
        <v>9.18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" customHeight="1" x14ac:dyDescent="0.2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6">
        <v>20</v>
      </c>
      <c r="S22" s="75" t="s">
        <v>351</v>
      </c>
      <c r="T22" s="75" t="s">
        <v>715</v>
      </c>
      <c r="U22" s="77">
        <v>9.1300000000000008</v>
      </c>
      <c r="V22" s="230">
        <v>9.15</v>
      </c>
      <c r="W22" s="75">
        <v>9</v>
      </c>
      <c r="X22" s="75">
        <v>0.93</v>
      </c>
      <c r="Y22" s="75">
        <v>3</v>
      </c>
      <c r="Z22" s="75">
        <v>8</v>
      </c>
      <c r="AA22" s="75">
        <v>0</v>
      </c>
      <c r="AB22" s="75" t="s">
        <v>801</v>
      </c>
      <c r="AE22" s="161" t="s">
        <v>1078</v>
      </c>
      <c r="AF22" s="161"/>
      <c r="AQ22" t="s">
        <v>284</v>
      </c>
    </row>
    <row r="23" spans="1:43" ht="16" customHeight="1" thickBot="1" x14ac:dyDescent="0.25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6">
        <v>21</v>
      </c>
      <c r="S23" s="57" t="s">
        <v>353</v>
      </c>
      <c r="T23" s="57" t="s">
        <v>159</v>
      </c>
      <c r="U23" s="76">
        <v>9.08</v>
      </c>
      <c r="V23" s="167">
        <v>9.1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5" t="s">
        <v>1079</v>
      </c>
      <c r="AF23" s="162" t="s">
        <v>1661</v>
      </c>
      <c r="AQ23" t="s">
        <v>285</v>
      </c>
    </row>
    <row r="24" spans="1:43" ht="16" customHeight="1" thickBot="1" x14ac:dyDescent="0.25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6">
        <v>22</v>
      </c>
      <c r="S24" s="75" t="s">
        <v>343</v>
      </c>
      <c r="T24" s="75" t="s">
        <v>297</v>
      </c>
      <c r="U24" s="77">
        <v>9.0500000000000007</v>
      </c>
      <c r="V24" s="231">
        <v>9.06</v>
      </c>
      <c r="W24" s="75">
        <v>9</v>
      </c>
      <c r="X24" s="75">
        <v>1.04</v>
      </c>
      <c r="Y24" s="75">
        <v>4</v>
      </c>
      <c r="Z24" s="75">
        <v>11</v>
      </c>
      <c r="AA24" s="75">
        <v>1</v>
      </c>
      <c r="AB24" s="75" t="s">
        <v>882</v>
      </c>
      <c r="AE24" s="57" t="s">
        <v>1080</v>
      </c>
      <c r="AF24" s="163" t="s">
        <v>1662</v>
      </c>
    </row>
    <row r="25" spans="1:43" ht="16" customHeight="1" thickBot="1" x14ac:dyDescent="0.25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0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6">
        <v>23</v>
      </c>
      <c r="S25" s="57" t="s">
        <v>934</v>
      </c>
      <c r="T25" s="57" t="s">
        <v>925</v>
      </c>
      <c r="U25" s="76">
        <v>9.06</v>
      </c>
      <c r="V25" s="58">
        <v>9.0500000000000007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" customHeight="1" thickBot="1" x14ac:dyDescent="0.25">
      <c r="A26" s="172" t="s">
        <v>1227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6">
        <v>24</v>
      </c>
      <c r="S26" s="75" t="s">
        <v>354</v>
      </c>
      <c r="T26" s="75" t="s">
        <v>270</v>
      </c>
      <c r="U26" s="77">
        <v>9</v>
      </c>
      <c r="V26" s="232">
        <v>9.0299999999999994</v>
      </c>
      <c r="W26" s="75">
        <v>9</v>
      </c>
      <c r="X26" s="75">
        <v>0.82</v>
      </c>
      <c r="Y26" s="75">
        <v>2</v>
      </c>
      <c r="Z26" s="75">
        <v>9</v>
      </c>
      <c r="AA26" s="75">
        <v>0</v>
      </c>
      <c r="AB26" s="75" t="s">
        <v>801</v>
      </c>
      <c r="AE26" s="161" t="s">
        <v>1081</v>
      </c>
      <c r="AF26" s="161"/>
      <c r="AQ26" t="s">
        <v>295</v>
      </c>
    </row>
    <row r="27" spans="1:43" ht="16" customHeight="1" thickBot="1" x14ac:dyDescent="0.25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6">
        <v>25</v>
      </c>
      <c r="S27" s="57" t="s">
        <v>351</v>
      </c>
      <c r="T27" s="57" t="s">
        <v>1170</v>
      </c>
      <c r="U27" s="76">
        <v>9</v>
      </c>
      <c r="V27" s="233">
        <v>9.02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5" t="s">
        <v>1082</v>
      </c>
      <c r="AF27" s="162" t="s">
        <v>1083</v>
      </c>
    </row>
    <row r="28" spans="1:43" ht="16" customHeight="1" thickBot="1" x14ac:dyDescent="0.25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6">
        <v>26</v>
      </c>
      <c r="S28" s="75" t="s">
        <v>499</v>
      </c>
      <c r="T28" s="75" t="s">
        <v>670</v>
      </c>
      <c r="U28" s="77">
        <v>8.94</v>
      </c>
      <c r="V28" s="234">
        <v>8.9700000000000006</v>
      </c>
      <c r="W28" s="75">
        <v>9</v>
      </c>
      <c r="X28" s="75">
        <v>0.86</v>
      </c>
      <c r="Y28" s="75">
        <v>2</v>
      </c>
      <c r="Z28" s="75">
        <v>9</v>
      </c>
      <c r="AA28" s="75">
        <v>0</v>
      </c>
      <c r="AB28" s="75" t="s">
        <v>780</v>
      </c>
      <c r="AE28" s="57" t="s">
        <v>1084</v>
      </c>
      <c r="AF28" s="163" t="s">
        <v>1663</v>
      </c>
      <c r="AQ28" s="15"/>
    </row>
    <row r="29" spans="1:43" ht="16" customHeight="1" thickBot="1" x14ac:dyDescent="0.25">
      <c r="A29" s="6" t="s">
        <v>449</v>
      </c>
      <c r="B29" s="51">
        <v>10.5</v>
      </c>
      <c r="C29" s="11"/>
      <c r="D29" s="117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6">
        <v>27</v>
      </c>
      <c r="S29" s="57" t="s">
        <v>343</v>
      </c>
      <c r="T29" s="57" t="s">
        <v>451</v>
      </c>
      <c r="U29" s="76">
        <v>8.9600000000000009</v>
      </c>
      <c r="V29" s="235">
        <v>8.9600000000000009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5" t="s">
        <v>1085</v>
      </c>
      <c r="AF29" s="162" t="s">
        <v>1664</v>
      </c>
      <c r="AQ29" s="74" t="s">
        <v>534</v>
      </c>
    </row>
    <row r="30" spans="1:43" ht="16" customHeight="1" thickBot="1" x14ac:dyDescent="0.25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5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6">
        <v>28</v>
      </c>
      <c r="S30" s="75" t="s">
        <v>1623</v>
      </c>
      <c r="T30" s="75" t="s">
        <v>1624</v>
      </c>
      <c r="U30" s="77">
        <v>8.67</v>
      </c>
      <c r="V30" s="87">
        <v>8.94</v>
      </c>
      <c r="W30" s="75">
        <v>8.5</v>
      </c>
      <c r="X30" s="75">
        <v>0.98</v>
      </c>
      <c r="Y30" s="75">
        <v>5</v>
      </c>
      <c r="Z30" s="75">
        <v>26</v>
      </c>
      <c r="AA30" s="75">
        <v>0</v>
      </c>
      <c r="AB30" s="75" t="s">
        <v>1626</v>
      </c>
      <c r="AE30" s="57" t="s">
        <v>1086</v>
      </c>
      <c r="AF30" s="163" t="s">
        <v>1665</v>
      </c>
      <c r="AQ30" s="15"/>
    </row>
    <row r="31" spans="1:43" ht="16" customHeight="1" thickBot="1" x14ac:dyDescent="0.25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6">
        <v>29</v>
      </c>
      <c r="S31" s="57" t="s">
        <v>739</v>
      </c>
      <c r="T31" s="57" t="s">
        <v>1491</v>
      </c>
      <c r="U31" s="76">
        <v>8.8800000000000008</v>
      </c>
      <c r="V31" s="236">
        <v>8.86</v>
      </c>
      <c r="W31" s="57">
        <v>8.5</v>
      </c>
      <c r="X31" s="57">
        <v>0.74</v>
      </c>
      <c r="Y31" s="57">
        <v>2</v>
      </c>
      <c r="Z31" s="57">
        <v>15</v>
      </c>
      <c r="AA31" s="57">
        <v>2</v>
      </c>
      <c r="AB31" s="57" t="s">
        <v>1493</v>
      </c>
      <c r="AE31" s="75" t="s">
        <v>1087</v>
      </c>
      <c r="AF31" s="162" t="s">
        <v>1666</v>
      </c>
      <c r="AQ31" s="60" t="s">
        <v>371</v>
      </c>
    </row>
    <row r="32" spans="1:43" ht="16" customHeight="1" thickBot="1" x14ac:dyDescent="0.25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6">
        <v>30</v>
      </c>
      <c r="S32" s="75" t="s">
        <v>350</v>
      </c>
      <c r="T32" s="75" t="s">
        <v>993</v>
      </c>
      <c r="U32" s="77">
        <v>8.8800000000000008</v>
      </c>
      <c r="V32" s="237">
        <v>8.85</v>
      </c>
      <c r="W32" s="75">
        <v>8.75</v>
      </c>
      <c r="X32" s="75">
        <v>0.89</v>
      </c>
      <c r="Y32" s="75">
        <v>1</v>
      </c>
      <c r="Z32" s="75">
        <v>8</v>
      </c>
      <c r="AA32" s="75">
        <v>0</v>
      </c>
      <c r="AB32" s="75" t="s">
        <v>802</v>
      </c>
      <c r="AE32" s="57" t="s">
        <v>1088</v>
      </c>
      <c r="AF32" s="163" t="s">
        <v>1667</v>
      </c>
      <c r="AQ32" t="s">
        <v>372</v>
      </c>
    </row>
    <row r="33" spans="1:43" ht="16" customHeight="1" thickBot="1" x14ac:dyDescent="0.25">
      <c r="A33" s="116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6">
        <v>31</v>
      </c>
      <c r="S33" s="57" t="s">
        <v>1224</v>
      </c>
      <c r="T33" s="57" t="s">
        <v>1622</v>
      </c>
      <c r="U33" s="76">
        <v>8.7200000000000006</v>
      </c>
      <c r="V33" s="238">
        <v>8.82</v>
      </c>
      <c r="W33" s="57">
        <v>8.5</v>
      </c>
      <c r="X33" s="57">
        <v>1.03</v>
      </c>
      <c r="Y33" s="57">
        <v>5</v>
      </c>
      <c r="Z33" s="57">
        <v>24</v>
      </c>
      <c r="AA33" s="57">
        <v>1</v>
      </c>
      <c r="AB33" s="57" t="s">
        <v>1626</v>
      </c>
      <c r="AQ33" t="s">
        <v>373</v>
      </c>
    </row>
    <row r="34" spans="1:43" ht="16" customHeight="1" x14ac:dyDescent="0.2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6">
        <v>32</v>
      </c>
      <c r="S34" s="75" t="s">
        <v>1559</v>
      </c>
      <c r="T34" s="75" t="s">
        <v>1560</v>
      </c>
      <c r="U34" s="77">
        <v>8.93</v>
      </c>
      <c r="V34" s="238">
        <v>8.82</v>
      </c>
      <c r="W34" s="75">
        <v>9</v>
      </c>
      <c r="X34" s="75">
        <v>0.73</v>
      </c>
      <c r="Y34" s="75">
        <v>1</v>
      </c>
      <c r="Z34" s="75">
        <v>7</v>
      </c>
      <c r="AA34" s="75">
        <v>0</v>
      </c>
      <c r="AB34" s="75" t="s">
        <v>1563</v>
      </c>
      <c r="AE34" s="161" t="s">
        <v>1089</v>
      </c>
      <c r="AF34" s="161"/>
      <c r="AQ34" t="s">
        <v>374</v>
      </c>
    </row>
    <row r="35" spans="1:43" ht="16" customHeight="1" x14ac:dyDescent="0.2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6">
        <v>33</v>
      </c>
      <c r="S35" s="57" t="s">
        <v>355</v>
      </c>
      <c r="T35" s="57" t="s">
        <v>356</v>
      </c>
      <c r="U35" s="76">
        <v>8.89</v>
      </c>
      <c r="V35" s="239">
        <v>8.81</v>
      </c>
      <c r="W35" s="57">
        <v>9</v>
      </c>
      <c r="X35" s="57">
        <v>0.7</v>
      </c>
      <c r="Y35" s="57">
        <v>2</v>
      </c>
      <c r="Z35" s="57">
        <v>9</v>
      </c>
      <c r="AA35" s="57">
        <v>0</v>
      </c>
      <c r="AB35" s="57" t="s">
        <v>783</v>
      </c>
      <c r="AE35" s="75" t="s">
        <v>1090</v>
      </c>
      <c r="AF35" s="162" t="s">
        <v>1091</v>
      </c>
      <c r="AQ35" t="s">
        <v>375</v>
      </c>
    </row>
    <row r="36" spans="1:43" ht="16" customHeight="1" thickBot="1" x14ac:dyDescent="0.25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6">
        <v>34</v>
      </c>
      <c r="S36" s="75" t="s">
        <v>357</v>
      </c>
      <c r="T36" s="75" t="s">
        <v>357</v>
      </c>
      <c r="U36" s="77">
        <v>8.83</v>
      </c>
      <c r="V36" s="239">
        <v>8.81</v>
      </c>
      <c r="W36" s="75">
        <v>8.5</v>
      </c>
      <c r="X36" s="75">
        <v>0.82</v>
      </c>
      <c r="Y36" s="75">
        <v>2</v>
      </c>
      <c r="Z36" s="75">
        <v>9</v>
      </c>
      <c r="AA36" s="75">
        <v>0</v>
      </c>
      <c r="AB36" s="75" t="s">
        <v>1256</v>
      </c>
      <c r="AE36" s="57" t="s">
        <v>1092</v>
      </c>
      <c r="AF36" s="163" t="s">
        <v>1093</v>
      </c>
      <c r="AQ36" t="s">
        <v>427</v>
      </c>
    </row>
    <row r="37" spans="1:43" ht="16" customHeight="1" thickBot="1" x14ac:dyDescent="0.25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6">
        <v>35</v>
      </c>
      <c r="S37" s="57" t="s">
        <v>1431</v>
      </c>
      <c r="T37" s="57" t="s">
        <v>1432</v>
      </c>
      <c r="U37" s="76">
        <v>8.82</v>
      </c>
      <c r="V37" s="239">
        <v>8.81</v>
      </c>
      <c r="W37" s="57">
        <v>8.75</v>
      </c>
      <c r="X37" s="57">
        <v>0.92</v>
      </c>
      <c r="Y37" s="57">
        <v>3</v>
      </c>
      <c r="Z37" s="57">
        <v>16</v>
      </c>
      <c r="AA37" s="57">
        <v>2</v>
      </c>
      <c r="AB37" s="57" t="s">
        <v>1435</v>
      </c>
      <c r="AE37" s="75" t="s">
        <v>1094</v>
      </c>
      <c r="AF37" s="162" t="s">
        <v>1460</v>
      </c>
      <c r="AQ37" t="s">
        <v>1305</v>
      </c>
    </row>
    <row r="38" spans="1:43" ht="16" customHeight="1" thickBot="1" x14ac:dyDescent="0.25">
      <c r="A38" s="6" t="s">
        <v>150</v>
      </c>
      <c r="B38" s="51">
        <v>10.5</v>
      </c>
      <c r="C38" s="4"/>
      <c r="D38" s="114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6">
        <v>36</v>
      </c>
      <c r="S38" s="75" t="s">
        <v>1388</v>
      </c>
      <c r="T38" s="75" t="s">
        <v>1379</v>
      </c>
      <c r="U38" s="77">
        <v>8.86</v>
      </c>
      <c r="V38" s="158">
        <v>8.8000000000000007</v>
      </c>
      <c r="W38" s="75">
        <v>9</v>
      </c>
      <c r="X38" s="75">
        <v>0.53</v>
      </c>
      <c r="Y38" s="75">
        <v>1</v>
      </c>
      <c r="Z38" s="75">
        <v>11</v>
      </c>
      <c r="AA38" s="75">
        <v>0</v>
      </c>
      <c r="AB38" s="75" t="s">
        <v>1393</v>
      </c>
      <c r="AE38" s="57" t="s">
        <v>1095</v>
      </c>
      <c r="AF38" s="163" t="s">
        <v>1412</v>
      </c>
    </row>
    <row r="39" spans="1:43" ht="16" customHeight="1" thickBot="1" x14ac:dyDescent="0.25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6">
        <v>37</v>
      </c>
      <c r="S39" s="57" t="s">
        <v>357</v>
      </c>
      <c r="T39" s="57" t="s">
        <v>95</v>
      </c>
      <c r="U39" s="76">
        <v>8.83</v>
      </c>
      <c r="V39" s="240">
        <v>8.7899999999999991</v>
      </c>
      <c r="W39" s="57">
        <v>8.5</v>
      </c>
      <c r="X39" s="57">
        <v>0.94</v>
      </c>
      <c r="Y39" s="57">
        <v>2</v>
      </c>
      <c r="Z39" s="57">
        <v>9</v>
      </c>
      <c r="AA39" s="57">
        <v>0</v>
      </c>
      <c r="AB39" s="57" t="s">
        <v>784</v>
      </c>
      <c r="AQ39" t="s">
        <v>810</v>
      </c>
    </row>
    <row r="40" spans="1:43" ht="16" customHeight="1" thickBot="1" x14ac:dyDescent="0.25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8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6">
        <v>38</v>
      </c>
      <c r="S40" s="75" t="s">
        <v>1593</v>
      </c>
      <c r="T40" s="75" t="s">
        <v>1594</v>
      </c>
      <c r="U40" s="77">
        <v>8.82</v>
      </c>
      <c r="V40" s="240">
        <v>8.7899999999999991</v>
      </c>
      <c r="W40" s="75">
        <v>8.5</v>
      </c>
      <c r="X40" s="75">
        <v>0.81</v>
      </c>
      <c r="Y40" s="75">
        <v>2</v>
      </c>
      <c r="Z40" s="75">
        <v>12</v>
      </c>
      <c r="AA40" s="75">
        <v>1</v>
      </c>
      <c r="AB40" s="75" t="s">
        <v>802</v>
      </c>
      <c r="AE40" s="161" t="s">
        <v>1096</v>
      </c>
      <c r="AF40" s="161"/>
    </row>
    <row r="41" spans="1:43" ht="16" customHeight="1" x14ac:dyDescent="0.2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6">
        <v>39</v>
      </c>
      <c r="S41" s="57" t="s">
        <v>1444</v>
      </c>
      <c r="T41" s="57" t="s">
        <v>1437</v>
      </c>
      <c r="U41" s="76">
        <v>8.86</v>
      </c>
      <c r="V41" s="241">
        <v>8.77</v>
      </c>
      <c r="W41" s="57">
        <v>9</v>
      </c>
      <c r="X41" s="57">
        <v>0.69</v>
      </c>
      <c r="Y41" s="57">
        <v>1</v>
      </c>
      <c r="Z41" s="57">
        <v>7</v>
      </c>
      <c r="AA41" s="57">
        <v>0</v>
      </c>
      <c r="AB41" s="57" t="s">
        <v>1446</v>
      </c>
      <c r="AE41" s="75" t="s">
        <v>1097</v>
      </c>
      <c r="AF41" s="162" t="s">
        <v>1670</v>
      </c>
    </row>
    <row r="42" spans="1:43" ht="16" customHeight="1" x14ac:dyDescent="0.2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6">
        <v>40</v>
      </c>
      <c r="S42" s="75" t="s">
        <v>361</v>
      </c>
      <c r="T42" s="75" t="s">
        <v>1018</v>
      </c>
      <c r="U42" s="77">
        <v>8.73</v>
      </c>
      <c r="V42" s="147">
        <v>8.76</v>
      </c>
      <c r="W42" s="75">
        <v>9</v>
      </c>
      <c r="X42" s="75">
        <v>0.96</v>
      </c>
      <c r="Y42" s="75">
        <v>2</v>
      </c>
      <c r="Z42" s="75">
        <v>11</v>
      </c>
      <c r="AA42" s="75">
        <v>0</v>
      </c>
      <c r="AB42" s="75" t="s">
        <v>1024</v>
      </c>
      <c r="AE42" s="57" t="s">
        <v>1098</v>
      </c>
      <c r="AF42" s="163">
        <v>77</v>
      </c>
      <c r="AQ42" t="s">
        <v>1030</v>
      </c>
    </row>
    <row r="43" spans="1:43" ht="16" customHeight="1" x14ac:dyDescent="0.2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6">
        <v>41</v>
      </c>
      <c r="S43" s="57" t="s">
        <v>606</v>
      </c>
      <c r="T43" s="57" t="s">
        <v>607</v>
      </c>
      <c r="U43" s="76">
        <v>8.7799999999999994</v>
      </c>
      <c r="V43" s="242">
        <v>8.74</v>
      </c>
      <c r="W43" s="57">
        <v>8.5</v>
      </c>
      <c r="X43" s="57">
        <v>0.97</v>
      </c>
      <c r="Y43" s="57">
        <v>2</v>
      </c>
      <c r="Z43" s="57">
        <v>9</v>
      </c>
      <c r="AA43" s="57">
        <v>0</v>
      </c>
      <c r="AB43" s="57" t="s">
        <v>845</v>
      </c>
      <c r="AE43" s="75" t="s">
        <v>1099</v>
      </c>
      <c r="AF43" s="162" t="s">
        <v>1671</v>
      </c>
    </row>
    <row r="44" spans="1:43" ht="16" customHeight="1" x14ac:dyDescent="0.2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6">
        <v>42</v>
      </c>
      <c r="S44" s="75" t="s">
        <v>353</v>
      </c>
      <c r="T44" s="75" t="s">
        <v>649</v>
      </c>
      <c r="U44" s="77">
        <v>8.77</v>
      </c>
      <c r="V44" s="243">
        <v>8.73</v>
      </c>
      <c r="W44" s="75">
        <v>8.5</v>
      </c>
      <c r="X44" s="75">
        <v>0.99</v>
      </c>
      <c r="Y44" s="75">
        <v>3</v>
      </c>
      <c r="Z44" s="75">
        <v>13</v>
      </c>
      <c r="AA44" s="75">
        <v>0</v>
      </c>
      <c r="AB44" s="75" t="s">
        <v>782</v>
      </c>
      <c r="AE44" s="57" t="s">
        <v>1100</v>
      </c>
      <c r="AF44" s="163" t="s">
        <v>1101</v>
      </c>
    </row>
    <row r="45" spans="1:43" ht="16" customHeight="1" thickBot="1" x14ac:dyDescent="0.25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6">
        <v>43</v>
      </c>
      <c r="S45" s="57" t="s">
        <v>347</v>
      </c>
      <c r="T45" s="57" t="s">
        <v>1454</v>
      </c>
      <c r="U45" s="76">
        <v>8.83</v>
      </c>
      <c r="V45" s="243">
        <v>8.73</v>
      </c>
      <c r="W45" s="57">
        <v>8.75</v>
      </c>
      <c r="X45" s="57">
        <v>0.62</v>
      </c>
      <c r="Y45" s="57">
        <v>1</v>
      </c>
      <c r="Z45" s="57">
        <v>6</v>
      </c>
      <c r="AA45" s="57">
        <v>0</v>
      </c>
      <c r="AB45" s="57" t="s">
        <v>1458</v>
      </c>
      <c r="AE45" s="75" t="s">
        <v>1102</v>
      </c>
      <c r="AF45" s="162" t="s">
        <v>1103</v>
      </c>
    </row>
    <row r="46" spans="1:43" ht="16" customHeight="1" thickBot="1" x14ac:dyDescent="0.25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6">
        <v>44</v>
      </c>
      <c r="S46" s="75" t="s">
        <v>842</v>
      </c>
      <c r="T46" s="75" t="s">
        <v>843</v>
      </c>
      <c r="U46" s="77">
        <v>8.82</v>
      </c>
      <c r="V46" s="174">
        <v>8.7200000000000006</v>
      </c>
      <c r="W46" s="75">
        <v>9</v>
      </c>
      <c r="X46" s="75">
        <v>0.86</v>
      </c>
      <c r="Y46" s="75">
        <v>3</v>
      </c>
      <c r="Z46" s="75">
        <v>13</v>
      </c>
      <c r="AA46" s="75">
        <v>2</v>
      </c>
      <c r="AB46" s="75" t="s">
        <v>844</v>
      </c>
    </row>
    <row r="47" spans="1:43" ht="16" customHeight="1" thickBot="1" x14ac:dyDescent="0.25">
      <c r="A47" s="113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9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6">
        <v>45</v>
      </c>
      <c r="S47" s="57" t="s">
        <v>739</v>
      </c>
      <c r="T47" s="57" t="s">
        <v>735</v>
      </c>
      <c r="U47" s="76">
        <v>8.67</v>
      </c>
      <c r="V47" s="169">
        <v>8.7100000000000009</v>
      </c>
      <c r="W47" s="57">
        <v>8</v>
      </c>
      <c r="X47" s="57">
        <v>1.04</v>
      </c>
      <c r="Y47" s="57">
        <v>4</v>
      </c>
      <c r="Z47" s="57">
        <v>16</v>
      </c>
      <c r="AA47" s="57">
        <v>1</v>
      </c>
      <c r="AB47" s="57" t="s">
        <v>803</v>
      </c>
      <c r="AE47" s="161" t="s">
        <v>1104</v>
      </c>
      <c r="AF47" s="161"/>
    </row>
    <row r="48" spans="1:43" ht="16" customHeight="1" x14ac:dyDescent="0.2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6">
        <v>46</v>
      </c>
      <c r="S48" s="75" t="s">
        <v>863</v>
      </c>
      <c r="T48" s="75" t="s">
        <v>858</v>
      </c>
      <c r="U48" s="77">
        <v>8.7100000000000009</v>
      </c>
      <c r="V48" s="169">
        <v>8.7100000000000009</v>
      </c>
      <c r="W48" s="75">
        <v>8.5</v>
      </c>
      <c r="X48" s="75">
        <v>0.75</v>
      </c>
      <c r="Y48" s="75">
        <v>2</v>
      </c>
      <c r="Z48" s="75">
        <v>14</v>
      </c>
      <c r="AA48" s="75">
        <v>0</v>
      </c>
      <c r="AB48" s="75" t="s">
        <v>864</v>
      </c>
      <c r="AE48" s="57" t="s">
        <v>1105</v>
      </c>
      <c r="AF48" s="163" t="s">
        <v>1106</v>
      </c>
    </row>
    <row r="49" spans="1:32" ht="16" customHeight="1" x14ac:dyDescent="0.2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6">
        <v>47</v>
      </c>
      <c r="S49" s="57" t="s">
        <v>1548</v>
      </c>
      <c r="T49" s="57" t="s">
        <v>1549</v>
      </c>
      <c r="U49" s="76">
        <v>8.73</v>
      </c>
      <c r="V49" s="169">
        <v>8.7100000000000009</v>
      </c>
      <c r="W49" s="57">
        <v>8.5</v>
      </c>
      <c r="X49" s="57">
        <v>0.75</v>
      </c>
      <c r="Y49" s="57">
        <v>1</v>
      </c>
      <c r="Z49" s="57">
        <v>13</v>
      </c>
      <c r="AA49" s="57">
        <v>0</v>
      </c>
      <c r="AB49" s="57" t="s">
        <v>1550</v>
      </c>
      <c r="AE49" s="75" t="s">
        <v>1108</v>
      </c>
      <c r="AF49" s="162" t="s">
        <v>1178</v>
      </c>
    </row>
    <row r="50" spans="1:32" ht="16" customHeight="1" x14ac:dyDescent="0.2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6">
        <v>48</v>
      </c>
      <c r="S50" s="75" t="s">
        <v>1331</v>
      </c>
      <c r="T50" s="75" t="s">
        <v>1332</v>
      </c>
      <c r="U50" s="77">
        <v>8.67</v>
      </c>
      <c r="V50" s="175">
        <v>8.6999999999999993</v>
      </c>
      <c r="W50" s="75">
        <v>9</v>
      </c>
      <c r="X50" s="75">
        <v>1.08</v>
      </c>
      <c r="Y50" s="75">
        <v>2</v>
      </c>
      <c r="Z50" s="75">
        <v>9</v>
      </c>
      <c r="AA50" s="75">
        <v>0</v>
      </c>
      <c r="AB50" s="75" t="s">
        <v>1336</v>
      </c>
      <c r="AE50" s="57" t="s">
        <v>1107</v>
      </c>
      <c r="AF50" s="163" t="s">
        <v>1455</v>
      </c>
    </row>
    <row r="51" spans="1:32" ht="16" customHeight="1" thickBot="1" x14ac:dyDescent="0.25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6">
        <v>49</v>
      </c>
      <c r="S51" s="57" t="s">
        <v>358</v>
      </c>
      <c r="T51" s="57" t="s">
        <v>282</v>
      </c>
      <c r="U51" s="76">
        <v>8.7799999999999994</v>
      </c>
      <c r="V51" s="244">
        <v>8.69</v>
      </c>
      <c r="W51" s="57">
        <v>9</v>
      </c>
      <c r="X51" s="57">
        <v>0.79</v>
      </c>
      <c r="Y51" s="57">
        <v>2</v>
      </c>
      <c r="Z51" s="57">
        <v>10</v>
      </c>
      <c r="AA51" s="57">
        <v>1</v>
      </c>
      <c r="AB51" s="57" t="s">
        <v>785</v>
      </c>
      <c r="AE51" s="75" t="s">
        <v>1114</v>
      </c>
      <c r="AF51" s="162" t="s">
        <v>1179</v>
      </c>
    </row>
    <row r="52" spans="1:32" ht="16" customHeight="1" thickBot="1" x14ac:dyDescent="0.25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6">
        <v>50</v>
      </c>
      <c r="S52" s="75" t="s">
        <v>1504</v>
      </c>
      <c r="T52" s="75" t="s">
        <v>1505</v>
      </c>
      <c r="U52" s="77">
        <v>8.83</v>
      </c>
      <c r="V52" s="244">
        <v>8.69</v>
      </c>
      <c r="W52" s="75">
        <v>8.5</v>
      </c>
      <c r="X52" s="75">
        <v>0.57999999999999996</v>
      </c>
      <c r="Y52" s="75">
        <v>1</v>
      </c>
      <c r="Z52" s="75">
        <v>9</v>
      </c>
      <c r="AA52" s="75">
        <v>0</v>
      </c>
      <c r="AB52" s="75" t="s">
        <v>1509</v>
      </c>
      <c r="AE52" s="57" t="s">
        <v>1110</v>
      </c>
      <c r="AF52" s="163" t="s">
        <v>1111</v>
      </c>
    </row>
    <row r="53" spans="1:32" ht="16" customHeight="1" thickBot="1" x14ac:dyDescent="0.25">
      <c r="A53" s="8" t="s">
        <v>265</v>
      </c>
      <c r="B53" s="51">
        <v>8</v>
      </c>
      <c r="C53" s="22"/>
      <c r="D53" s="112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6">
        <v>51</v>
      </c>
      <c r="S53" s="57" t="s">
        <v>350</v>
      </c>
      <c r="T53" s="57" t="s">
        <v>923</v>
      </c>
      <c r="U53" s="76">
        <v>8.7100000000000009</v>
      </c>
      <c r="V53" s="245">
        <v>8.67</v>
      </c>
      <c r="W53" s="57">
        <v>8.5</v>
      </c>
      <c r="X53" s="57">
        <v>0.96</v>
      </c>
      <c r="Y53" s="57">
        <v>1</v>
      </c>
      <c r="Z53" s="57">
        <v>7</v>
      </c>
      <c r="AA53" s="57">
        <v>0</v>
      </c>
      <c r="AB53" s="57" t="s">
        <v>802</v>
      </c>
      <c r="AE53" s="75" t="s">
        <v>1112</v>
      </c>
      <c r="AF53" s="162" t="s">
        <v>1461</v>
      </c>
    </row>
    <row r="54" spans="1:32" ht="16" customHeight="1" thickBot="1" x14ac:dyDescent="0.25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4" t="s">
        <v>414</v>
      </c>
      <c r="K54" s="3">
        <f>ROUND(SUM(K55:K64)/COUNT(K55:K64), 2)</f>
        <v>8.35</v>
      </c>
      <c r="L54" s="4"/>
      <c r="M54" s="111" t="s">
        <v>903</v>
      </c>
      <c r="N54" s="14">
        <f>ROUND(SUM(N55:N65)/COUNT(N55:N65), 2)</f>
        <v>9.0500000000000007</v>
      </c>
      <c r="O54" s="22"/>
      <c r="R54" s="66">
        <v>52</v>
      </c>
      <c r="S54" s="75" t="s">
        <v>426</v>
      </c>
      <c r="T54" s="75" t="s">
        <v>424</v>
      </c>
      <c r="U54" s="77">
        <v>8.67</v>
      </c>
      <c r="V54" s="197">
        <v>8.66</v>
      </c>
      <c r="W54" s="75">
        <v>8.5</v>
      </c>
      <c r="X54" s="75">
        <v>0.85</v>
      </c>
      <c r="Y54" s="75">
        <v>2</v>
      </c>
      <c r="Z54" s="75">
        <v>12</v>
      </c>
      <c r="AA54" s="75">
        <v>0</v>
      </c>
      <c r="AB54" s="75" t="s">
        <v>845</v>
      </c>
      <c r="AE54" s="57" t="s">
        <v>798</v>
      </c>
      <c r="AF54" s="163" t="s">
        <v>1492</v>
      </c>
    </row>
    <row r="55" spans="1:32" ht="16" customHeight="1" thickBot="1" x14ac:dyDescent="0.25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6">
        <v>53</v>
      </c>
      <c r="S55" s="57" t="s">
        <v>413</v>
      </c>
      <c r="T55" s="57" t="s">
        <v>407</v>
      </c>
      <c r="U55" s="76">
        <v>8.6999999999999993</v>
      </c>
      <c r="V55" s="148">
        <v>8.64</v>
      </c>
      <c r="W55" s="57">
        <v>8.5</v>
      </c>
      <c r="X55" s="57">
        <v>1.08</v>
      </c>
      <c r="Y55" s="57">
        <v>2</v>
      </c>
      <c r="Z55" s="57">
        <v>10</v>
      </c>
      <c r="AA55" s="57">
        <v>0</v>
      </c>
      <c r="AB55" s="57" t="s">
        <v>786</v>
      </c>
      <c r="AE55" s="75" t="s">
        <v>1109</v>
      </c>
      <c r="AF55" s="162" t="s">
        <v>1576</v>
      </c>
    </row>
    <row r="56" spans="1:32" ht="16" customHeight="1" thickBot="1" x14ac:dyDescent="0.25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6">
        <v>54</v>
      </c>
      <c r="S56" s="75" t="s">
        <v>1525</v>
      </c>
      <c r="T56" s="75" t="s">
        <v>1531</v>
      </c>
      <c r="U56" s="77">
        <v>8.8000000000000007</v>
      </c>
      <c r="V56" s="148">
        <v>8.64</v>
      </c>
      <c r="W56" s="75">
        <v>8.5</v>
      </c>
      <c r="X56" s="75">
        <v>0.7</v>
      </c>
      <c r="Y56" s="75">
        <v>2</v>
      </c>
      <c r="Z56" s="75">
        <v>15</v>
      </c>
      <c r="AA56" s="75">
        <v>0</v>
      </c>
      <c r="AB56" s="75" t="s">
        <v>1528</v>
      </c>
      <c r="AE56" s="57" t="s">
        <v>1113</v>
      </c>
      <c r="AF56" s="163" t="s">
        <v>1395</v>
      </c>
    </row>
    <row r="57" spans="1:32" ht="16" customHeight="1" thickBot="1" x14ac:dyDescent="0.25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6">
        <v>55</v>
      </c>
      <c r="S57" s="57" t="s">
        <v>1574</v>
      </c>
      <c r="T57" s="57" t="s">
        <v>1575</v>
      </c>
      <c r="U57" s="76">
        <v>8.75</v>
      </c>
      <c r="V57" s="148">
        <v>8.64</v>
      </c>
      <c r="W57" s="57">
        <v>8.75</v>
      </c>
      <c r="X57" s="57">
        <v>0.75</v>
      </c>
      <c r="Y57" s="57">
        <v>2</v>
      </c>
      <c r="Z57" s="57">
        <v>10</v>
      </c>
      <c r="AA57" s="57">
        <v>0</v>
      </c>
      <c r="AB57" s="57" t="s">
        <v>1577</v>
      </c>
      <c r="AE57" s="75" t="s">
        <v>1115</v>
      </c>
      <c r="AF57" s="162" t="s">
        <v>1116</v>
      </c>
    </row>
    <row r="58" spans="1:32" ht="16" customHeight="1" thickBot="1" x14ac:dyDescent="0.25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6">
        <v>56</v>
      </c>
      <c r="S58" s="75" t="s">
        <v>343</v>
      </c>
      <c r="T58" s="75" t="s">
        <v>579</v>
      </c>
      <c r="U58" s="77">
        <v>8.68</v>
      </c>
      <c r="V58" s="149">
        <v>8.61</v>
      </c>
      <c r="W58" s="75">
        <v>9</v>
      </c>
      <c r="X58" s="75">
        <v>0.61</v>
      </c>
      <c r="Y58" s="75">
        <v>0</v>
      </c>
      <c r="Z58" s="75">
        <v>11</v>
      </c>
      <c r="AA58" s="75">
        <v>0</v>
      </c>
      <c r="AB58" s="75" t="s">
        <v>776</v>
      </c>
      <c r="AE58" s="57" t="s">
        <v>1117</v>
      </c>
      <c r="AF58" s="163" t="s">
        <v>1116</v>
      </c>
    </row>
    <row r="59" spans="1:32" ht="16" customHeight="1" thickBot="1" x14ac:dyDescent="0.25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6">
        <v>57</v>
      </c>
      <c r="S59" s="57" t="s">
        <v>762</v>
      </c>
      <c r="T59" s="57" t="s">
        <v>763</v>
      </c>
      <c r="U59" s="76">
        <v>8.77</v>
      </c>
      <c r="V59" s="149">
        <v>8.61</v>
      </c>
      <c r="W59" s="57">
        <v>8.5</v>
      </c>
      <c r="X59" s="57">
        <v>0.86</v>
      </c>
      <c r="Y59" s="57">
        <v>3</v>
      </c>
      <c r="Z59" s="57">
        <v>11</v>
      </c>
      <c r="AA59" s="57">
        <v>0</v>
      </c>
      <c r="AB59" s="57" t="s">
        <v>865</v>
      </c>
      <c r="AE59" s="75" t="s">
        <v>1292</v>
      </c>
      <c r="AF59" s="162" t="s">
        <v>1526</v>
      </c>
    </row>
    <row r="60" spans="1:32" ht="16" customHeight="1" x14ac:dyDescent="0.2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6">
        <v>58</v>
      </c>
      <c r="S60" s="75" t="s">
        <v>1389</v>
      </c>
      <c r="T60" s="75" t="s">
        <v>1390</v>
      </c>
      <c r="U60" s="77">
        <v>8.77</v>
      </c>
      <c r="V60" s="149">
        <v>8.61</v>
      </c>
      <c r="W60" s="75">
        <v>8.5</v>
      </c>
      <c r="X60" s="75">
        <v>0.75</v>
      </c>
      <c r="Y60" s="75">
        <v>2</v>
      </c>
      <c r="Z60" s="75">
        <v>14</v>
      </c>
      <c r="AA60" s="75">
        <v>1</v>
      </c>
      <c r="AB60" s="75" t="s">
        <v>1394</v>
      </c>
      <c r="AE60" s="57" t="s">
        <v>784</v>
      </c>
      <c r="AF60" s="163" t="s">
        <v>1180</v>
      </c>
    </row>
    <row r="61" spans="1:32" ht="16" customHeight="1" x14ac:dyDescent="0.2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6">
        <v>59</v>
      </c>
      <c r="S61" s="57" t="s">
        <v>1286</v>
      </c>
      <c r="T61" s="57" t="s">
        <v>1280</v>
      </c>
      <c r="U61" s="76">
        <v>8.75</v>
      </c>
      <c r="V61" s="246">
        <v>8.58</v>
      </c>
      <c r="W61" s="57">
        <v>8.5</v>
      </c>
      <c r="X61" s="57">
        <v>0.8</v>
      </c>
      <c r="Y61" s="57">
        <v>1</v>
      </c>
      <c r="Z61" s="57">
        <v>7</v>
      </c>
      <c r="AA61" s="57">
        <v>1</v>
      </c>
      <c r="AB61" s="57" t="s">
        <v>1289</v>
      </c>
      <c r="AE61" s="75" t="s">
        <v>1119</v>
      </c>
      <c r="AF61" s="162" t="s">
        <v>1120</v>
      </c>
    </row>
    <row r="62" spans="1:32" ht="16" customHeight="1" thickBot="1" x14ac:dyDescent="0.25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6">
        <v>60</v>
      </c>
      <c r="S62" s="75" t="s">
        <v>621</v>
      </c>
      <c r="T62" s="75" t="s">
        <v>622</v>
      </c>
      <c r="U62" s="77">
        <v>8.73</v>
      </c>
      <c r="V62" s="150">
        <v>8.56</v>
      </c>
      <c r="W62" s="75">
        <v>8.5</v>
      </c>
      <c r="X62" s="75">
        <v>0.89</v>
      </c>
      <c r="Y62" s="75">
        <v>3</v>
      </c>
      <c r="Z62" s="75">
        <v>13</v>
      </c>
      <c r="AA62" s="75">
        <v>2</v>
      </c>
      <c r="AB62" s="75" t="s">
        <v>846</v>
      </c>
      <c r="AE62" s="57" t="s">
        <v>1124</v>
      </c>
      <c r="AF62" s="163" t="s">
        <v>1644</v>
      </c>
    </row>
    <row r="63" spans="1:32" ht="16" customHeight="1" thickBot="1" x14ac:dyDescent="0.25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6">
        <v>61</v>
      </c>
      <c r="S63" s="57" t="s">
        <v>351</v>
      </c>
      <c r="T63" s="57" t="s">
        <v>351</v>
      </c>
      <c r="U63" s="76">
        <v>8.4600000000000009</v>
      </c>
      <c r="V63" s="247">
        <v>8.5500000000000007</v>
      </c>
      <c r="W63" s="57">
        <v>8.5</v>
      </c>
      <c r="X63" s="57">
        <v>1.33</v>
      </c>
      <c r="Y63" s="57">
        <v>3</v>
      </c>
      <c r="Z63" s="57">
        <v>12</v>
      </c>
      <c r="AA63" s="57">
        <v>0</v>
      </c>
      <c r="AB63" s="57" t="s">
        <v>1413</v>
      </c>
      <c r="AE63" s="75" t="s">
        <v>1456</v>
      </c>
      <c r="AF63" s="162" t="s">
        <v>1457</v>
      </c>
    </row>
    <row r="64" spans="1:32" ht="16" customHeight="1" thickBot="1" x14ac:dyDescent="0.25">
      <c r="A64" s="8" t="s">
        <v>290</v>
      </c>
      <c r="B64" s="51">
        <v>9</v>
      </c>
      <c r="C64" s="22"/>
      <c r="D64" s="110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6">
        <v>62</v>
      </c>
      <c r="S64" s="75" t="s">
        <v>749</v>
      </c>
      <c r="T64" s="75" t="s">
        <v>750</v>
      </c>
      <c r="U64" s="77">
        <v>8.67</v>
      </c>
      <c r="V64" s="248">
        <v>8.5399999999999991</v>
      </c>
      <c r="W64" s="75">
        <v>8.5</v>
      </c>
      <c r="X64" s="75">
        <v>0.62</v>
      </c>
      <c r="Y64" s="75">
        <v>1</v>
      </c>
      <c r="Z64" s="75">
        <v>9</v>
      </c>
      <c r="AA64" s="75">
        <v>0</v>
      </c>
      <c r="AB64" s="75" t="s">
        <v>804</v>
      </c>
      <c r="AE64" s="57" t="s">
        <v>801</v>
      </c>
      <c r="AF64" s="163" t="s">
        <v>1181</v>
      </c>
    </row>
    <row r="65" spans="1:32" ht="16" customHeight="1" thickBot="1" x14ac:dyDescent="0.25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6">
        <v>63</v>
      </c>
      <c r="S65" s="57" t="s">
        <v>1271</v>
      </c>
      <c r="T65" s="57" t="s">
        <v>1272</v>
      </c>
      <c r="U65" s="76">
        <v>8.57</v>
      </c>
      <c r="V65" s="248">
        <v>8.5399999999999991</v>
      </c>
      <c r="W65" s="57">
        <v>8.5</v>
      </c>
      <c r="X65" s="57">
        <v>1.01</v>
      </c>
      <c r="Y65" s="57">
        <v>3</v>
      </c>
      <c r="Z65" s="57">
        <v>15</v>
      </c>
      <c r="AA65" s="57">
        <v>0</v>
      </c>
      <c r="AB65" s="57" t="s">
        <v>1276</v>
      </c>
      <c r="AE65" s="75" t="s">
        <v>1273</v>
      </c>
      <c r="AF65" s="162" t="s">
        <v>1274</v>
      </c>
    </row>
    <row r="66" spans="1:32" ht="16" customHeight="1" thickBot="1" x14ac:dyDescent="0.25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2" t="s">
        <v>401</v>
      </c>
      <c r="K66" s="3">
        <f>ROUND(SUM(K67:K75)/COUNT(K67:K75), 2)</f>
        <v>8</v>
      </c>
      <c r="L66" s="4"/>
      <c r="M66" s="21"/>
      <c r="N66" s="21"/>
      <c r="O66" s="22"/>
      <c r="R66" s="66">
        <v>64</v>
      </c>
      <c r="S66" s="75" t="s">
        <v>359</v>
      </c>
      <c r="T66" s="75" t="s">
        <v>247</v>
      </c>
      <c r="U66" s="77">
        <v>8.68</v>
      </c>
      <c r="V66" s="151">
        <v>8.5299999999999994</v>
      </c>
      <c r="W66" s="75">
        <v>8.5</v>
      </c>
      <c r="X66" s="75">
        <v>0.81</v>
      </c>
      <c r="Y66" s="75">
        <v>2</v>
      </c>
      <c r="Z66" s="75">
        <v>11</v>
      </c>
      <c r="AA66" s="75">
        <v>0</v>
      </c>
      <c r="AB66" s="75" t="s">
        <v>787</v>
      </c>
      <c r="AE66" s="57" t="s">
        <v>1275</v>
      </c>
      <c r="AF66" s="163" t="s">
        <v>1274</v>
      </c>
    </row>
    <row r="67" spans="1:32" ht="16" customHeight="1" thickBot="1" x14ac:dyDescent="0.25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4" t="s">
        <v>1027</v>
      </c>
      <c r="N67" s="3">
        <f>ROUND(SUM(N68:N77)/COUNT(N68:N77), 2)</f>
        <v>8.6999999999999993</v>
      </c>
      <c r="O67" s="22"/>
      <c r="R67" s="66">
        <v>65</v>
      </c>
      <c r="S67" s="57" t="s">
        <v>793</v>
      </c>
      <c r="T67" s="57" t="s">
        <v>794</v>
      </c>
      <c r="U67" s="76">
        <v>8.67</v>
      </c>
      <c r="V67" s="151">
        <v>8.5299999999999994</v>
      </c>
      <c r="W67" s="57">
        <v>8.5</v>
      </c>
      <c r="X67" s="57">
        <v>0.75</v>
      </c>
      <c r="Y67" s="57">
        <v>1</v>
      </c>
      <c r="Z67" s="57">
        <v>6</v>
      </c>
      <c r="AA67" s="57">
        <v>0</v>
      </c>
      <c r="AB67" s="57" t="s">
        <v>797</v>
      </c>
      <c r="AE67" s="75" t="s">
        <v>1462</v>
      </c>
      <c r="AF67" s="162" t="s">
        <v>1274</v>
      </c>
    </row>
    <row r="68" spans="1:32" ht="16" customHeight="1" thickBot="1" x14ac:dyDescent="0.25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6">
        <v>66</v>
      </c>
      <c r="S68" s="75" t="s">
        <v>957</v>
      </c>
      <c r="T68" s="75" t="s">
        <v>938</v>
      </c>
      <c r="U68" s="77">
        <v>8.5500000000000007</v>
      </c>
      <c r="V68" s="151">
        <v>8.5299999999999994</v>
      </c>
      <c r="W68" s="75">
        <v>8.5</v>
      </c>
      <c r="X68" s="75">
        <v>0.96</v>
      </c>
      <c r="Y68" s="75">
        <v>3</v>
      </c>
      <c r="Z68" s="75">
        <v>19</v>
      </c>
      <c r="AA68" s="75">
        <v>0</v>
      </c>
      <c r="AB68" s="75" t="s">
        <v>958</v>
      </c>
      <c r="AE68" s="57" t="s">
        <v>1527</v>
      </c>
      <c r="AF68" s="163" t="s">
        <v>1274</v>
      </c>
    </row>
    <row r="69" spans="1:32" ht="16" customHeight="1" thickBot="1" x14ac:dyDescent="0.25">
      <c r="A69" s="21"/>
      <c r="B69" s="21"/>
      <c r="C69" s="22"/>
      <c r="D69" s="5" t="s">
        <v>380</v>
      </c>
      <c r="E69" s="51">
        <v>10</v>
      </c>
      <c r="F69" s="22"/>
      <c r="G69" s="109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6">
        <v>67</v>
      </c>
      <c r="S69" s="57" t="s">
        <v>360</v>
      </c>
      <c r="T69" s="57" t="s">
        <v>161</v>
      </c>
      <c r="U69" s="76">
        <v>8.67</v>
      </c>
      <c r="V69" s="192">
        <v>8.52</v>
      </c>
      <c r="W69" s="57">
        <v>8.5</v>
      </c>
      <c r="X69" s="57">
        <v>0.77</v>
      </c>
      <c r="Y69" s="57">
        <v>2</v>
      </c>
      <c r="Z69" s="57">
        <v>12</v>
      </c>
      <c r="AA69" s="57">
        <v>0</v>
      </c>
      <c r="AB69" s="57" t="s">
        <v>788</v>
      </c>
      <c r="AE69" s="75" t="s">
        <v>1445</v>
      </c>
      <c r="AF69" s="162" t="s">
        <v>1122</v>
      </c>
    </row>
    <row r="70" spans="1:32" ht="16" customHeight="1" thickBot="1" x14ac:dyDescent="0.25">
      <c r="A70" s="71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6">
        <v>68</v>
      </c>
      <c r="S70" s="75" t="s">
        <v>361</v>
      </c>
      <c r="T70" s="75" t="s">
        <v>160</v>
      </c>
      <c r="U70" s="77">
        <v>8.65</v>
      </c>
      <c r="V70" s="192">
        <v>8.52</v>
      </c>
      <c r="W70" s="75">
        <v>8.5</v>
      </c>
      <c r="X70" s="75">
        <v>0.72</v>
      </c>
      <c r="Y70" s="75">
        <v>2</v>
      </c>
      <c r="Z70" s="75">
        <v>13</v>
      </c>
      <c r="AA70" s="75">
        <v>0</v>
      </c>
      <c r="AB70" s="75" t="s">
        <v>808</v>
      </c>
      <c r="AE70" s="57" t="s">
        <v>1121</v>
      </c>
      <c r="AF70" s="163" t="s">
        <v>1122</v>
      </c>
    </row>
    <row r="71" spans="1:32" ht="16" customHeight="1" x14ac:dyDescent="0.2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6">
        <v>69</v>
      </c>
      <c r="S71" s="57" t="s">
        <v>982</v>
      </c>
      <c r="T71" s="57" t="s">
        <v>980</v>
      </c>
      <c r="U71" s="76">
        <v>8.67</v>
      </c>
      <c r="V71" s="192">
        <v>8.52</v>
      </c>
      <c r="W71" s="57">
        <v>8.5</v>
      </c>
      <c r="X71" s="57">
        <v>0.71</v>
      </c>
      <c r="Y71" s="57">
        <v>1</v>
      </c>
      <c r="Z71" s="57">
        <v>10</v>
      </c>
      <c r="AA71" s="57">
        <v>1</v>
      </c>
      <c r="AB71" s="57" t="s">
        <v>983</v>
      </c>
      <c r="AE71" s="75" t="s">
        <v>1123</v>
      </c>
      <c r="AF71" s="162" t="s">
        <v>1122</v>
      </c>
    </row>
    <row r="72" spans="1:32" ht="16" customHeight="1" x14ac:dyDescent="0.2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6">
        <v>70</v>
      </c>
      <c r="S72" s="75" t="s">
        <v>499</v>
      </c>
      <c r="T72" s="75" t="s">
        <v>500</v>
      </c>
      <c r="U72" s="77">
        <v>8.67</v>
      </c>
      <c r="V72" s="212">
        <v>8.51</v>
      </c>
      <c r="W72" s="75">
        <v>8.5</v>
      </c>
      <c r="X72" s="75">
        <v>0.92</v>
      </c>
      <c r="Y72" s="75">
        <v>3</v>
      </c>
      <c r="Z72" s="75">
        <v>12</v>
      </c>
      <c r="AA72" s="75">
        <v>0</v>
      </c>
      <c r="AB72" s="75" t="s">
        <v>780</v>
      </c>
      <c r="AE72" s="57" t="s">
        <v>1125</v>
      </c>
      <c r="AF72" s="163" t="s">
        <v>1625</v>
      </c>
    </row>
    <row r="73" spans="1:32" ht="16" customHeight="1" x14ac:dyDescent="0.2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6">
        <v>71</v>
      </c>
      <c r="S73" s="57" t="s">
        <v>362</v>
      </c>
      <c r="T73" s="57" t="s">
        <v>1229</v>
      </c>
      <c r="U73" s="76">
        <v>8.65</v>
      </c>
      <c r="V73" s="181">
        <v>8.49</v>
      </c>
      <c r="W73" s="57">
        <v>8.5</v>
      </c>
      <c r="X73" s="57">
        <v>0.84</v>
      </c>
      <c r="Y73" s="57">
        <v>2</v>
      </c>
      <c r="Z73" s="57">
        <v>13</v>
      </c>
      <c r="AA73" s="57">
        <v>0</v>
      </c>
      <c r="AB73" s="57" t="s">
        <v>1231</v>
      </c>
      <c r="AE73" s="75" t="s">
        <v>1529</v>
      </c>
      <c r="AF73" s="162" t="s">
        <v>1532</v>
      </c>
    </row>
    <row r="74" spans="1:32" ht="16" customHeight="1" x14ac:dyDescent="0.2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6">
        <v>72</v>
      </c>
      <c r="S74" s="75" t="s">
        <v>343</v>
      </c>
      <c r="T74" s="75" t="s">
        <v>881</v>
      </c>
      <c r="U74" s="77">
        <v>8.5</v>
      </c>
      <c r="V74" s="181">
        <v>8.49</v>
      </c>
      <c r="W74" s="75">
        <v>8.5</v>
      </c>
      <c r="X74" s="75">
        <v>0.96</v>
      </c>
      <c r="Y74" s="75">
        <v>2</v>
      </c>
      <c r="Z74" s="75">
        <v>14</v>
      </c>
      <c r="AA74" s="75">
        <v>1</v>
      </c>
      <c r="AB74" s="75" t="s">
        <v>776</v>
      </c>
      <c r="AE74" s="57" t="s">
        <v>1118</v>
      </c>
      <c r="AF74" s="163" t="s">
        <v>1199</v>
      </c>
    </row>
    <row r="75" spans="1:32" ht="16" customHeight="1" thickBot="1" x14ac:dyDescent="0.25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6">
        <v>73</v>
      </c>
      <c r="S75" s="57" t="s">
        <v>1049</v>
      </c>
      <c r="T75" s="57" t="s">
        <v>1050</v>
      </c>
      <c r="U75" s="76">
        <v>8.5500000000000007</v>
      </c>
      <c r="V75" s="194">
        <v>8.42</v>
      </c>
      <c r="W75" s="57">
        <v>8.5</v>
      </c>
      <c r="X75" s="57">
        <v>0.69</v>
      </c>
      <c r="Y75" s="57">
        <v>1</v>
      </c>
      <c r="Z75" s="57">
        <v>12</v>
      </c>
      <c r="AA75" s="57">
        <v>1</v>
      </c>
      <c r="AB75" s="57" t="s">
        <v>800</v>
      </c>
      <c r="AE75" s="75" t="s">
        <v>800</v>
      </c>
      <c r="AF75" s="162" t="s">
        <v>1672</v>
      </c>
    </row>
    <row r="76" spans="1:32" ht="16" customHeight="1" thickBot="1" x14ac:dyDescent="0.25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6">
        <v>74</v>
      </c>
      <c r="S76" s="75" t="s">
        <v>553</v>
      </c>
      <c r="T76" s="75" t="s">
        <v>554</v>
      </c>
      <c r="U76" s="77">
        <v>8.5</v>
      </c>
      <c r="V76" s="249">
        <v>8.3800000000000008</v>
      </c>
      <c r="W76" s="75">
        <v>8.5</v>
      </c>
      <c r="X76" s="75">
        <v>0.59</v>
      </c>
      <c r="Y76" s="75">
        <v>0</v>
      </c>
      <c r="Z76" s="75">
        <v>17</v>
      </c>
      <c r="AA76" s="75">
        <v>4</v>
      </c>
      <c r="AB76" s="75" t="s">
        <v>809</v>
      </c>
      <c r="AE76" s="57" t="s">
        <v>1129</v>
      </c>
      <c r="AF76" s="163" t="s">
        <v>1533</v>
      </c>
    </row>
    <row r="77" spans="1:32" ht="16" customHeight="1" thickBot="1" x14ac:dyDescent="0.25">
      <c r="A77" s="9" t="s">
        <v>435</v>
      </c>
      <c r="B77" s="52">
        <v>7</v>
      </c>
      <c r="C77" s="22"/>
      <c r="D77" s="61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7" t="s">
        <v>919</v>
      </c>
      <c r="K77" s="3">
        <f>ROUND(SUM(K78:K88)/COUNT(K78:K88), 2)</f>
        <v>7.77</v>
      </c>
      <c r="L77" s="22"/>
      <c r="M77" s="63" t="s">
        <v>412</v>
      </c>
      <c r="N77" s="52">
        <v>9.5</v>
      </c>
      <c r="O77" s="22"/>
      <c r="R77" s="66">
        <v>75</v>
      </c>
      <c r="S77" s="57" t="s">
        <v>350</v>
      </c>
      <c r="T77" s="57" t="s">
        <v>531</v>
      </c>
      <c r="U77" s="76">
        <v>8.5</v>
      </c>
      <c r="V77" s="250">
        <v>8.34</v>
      </c>
      <c r="W77" s="57">
        <v>8.5</v>
      </c>
      <c r="X77" s="57">
        <v>0.94</v>
      </c>
      <c r="Y77" s="57">
        <v>1</v>
      </c>
      <c r="Z77" s="57">
        <v>8</v>
      </c>
      <c r="AA77" s="57">
        <v>0</v>
      </c>
      <c r="AB77" s="57" t="s">
        <v>802</v>
      </c>
      <c r="AE77" s="75" t="s">
        <v>1396</v>
      </c>
      <c r="AF77" s="162" t="s">
        <v>1397</v>
      </c>
    </row>
    <row r="78" spans="1:32" ht="16" customHeight="1" thickBot="1" x14ac:dyDescent="0.25">
      <c r="A78" s="21"/>
      <c r="B78" s="21"/>
      <c r="C78" s="4"/>
      <c r="D78" s="21"/>
      <c r="E78" s="21"/>
      <c r="F78" s="22"/>
      <c r="G78" s="5" t="s">
        <v>423</v>
      </c>
      <c r="H78" s="65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6">
        <v>76</v>
      </c>
      <c r="S78" s="75" t="s">
        <v>389</v>
      </c>
      <c r="T78" s="75" t="s">
        <v>390</v>
      </c>
      <c r="U78" s="77">
        <v>8.4600000000000009</v>
      </c>
      <c r="V78" s="251">
        <v>8.33</v>
      </c>
      <c r="W78" s="75">
        <v>8.5</v>
      </c>
      <c r="X78" s="75">
        <v>0.84</v>
      </c>
      <c r="Y78" s="75">
        <v>2</v>
      </c>
      <c r="Z78" s="75">
        <v>13</v>
      </c>
      <c r="AA78" s="75">
        <v>0</v>
      </c>
      <c r="AB78" s="75" t="s">
        <v>806</v>
      </c>
      <c r="AE78" s="57" t="s">
        <v>1578</v>
      </c>
      <c r="AF78" s="163" t="s">
        <v>1291</v>
      </c>
    </row>
    <row r="79" spans="1:32" ht="16" customHeight="1" thickBot="1" x14ac:dyDescent="0.25">
      <c r="A79" s="72" t="s">
        <v>498</v>
      </c>
      <c r="B79" s="3">
        <f>ROUND(SUM(B80:B91)/COUNT(B80:B91), 2)</f>
        <v>8.9600000000000009</v>
      </c>
      <c r="C79" s="22"/>
      <c r="D79" s="108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3" t="s">
        <v>1026</v>
      </c>
      <c r="N79" s="3">
        <f>ROUND(SUM(N80:N91)/COUNT(N80:N91), 2)</f>
        <v>8.67</v>
      </c>
      <c r="O79" s="22"/>
      <c r="R79" s="66">
        <v>77</v>
      </c>
      <c r="S79" s="57" t="s">
        <v>1320</v>
      </c>
      <c r="T79" s="57" t="s">
        <v>1310</v>
      </c>
      <c r="U79" s="76">
        <v>8.4499999999999993</v>
      </c>
      <c r="V79" s="153">
        <v>8.32</v>
      </c>
      <c r="W79" s="57">
        <v>8.5</v>
      </c>
      <c r="X79" s="57">
        <v>0.78</v>
      </c>
      <c r="Y79" s="57">
        <v>1</v>
      </c>
      <c r="Z79" s="57">
        <v>11</v>
      </c>
      <c r="AA79" s="57">
        <v>0</v>
      </c>
      <c r="AB79" s="57" t="s">
        <v>1321</v>
      </c>
      <c r="AE79" s="75" t="s">
        <v>1290</v>
      </c>
      <c r="AF79" s="162" t="s">
        <v>1291</v>
      </c>
    </row>
    <row r="80" spans="1:32" ht="16" customHeight="1" x14ac:dyDescent="0.2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6">
        <v>78</v>
      </c>
      <c r="S80" s="75" t="s">
        <v>365</v>
      </c>
      <c r="T80" s="75" t="s">
        <v>366</v>
      </c>
      <c r="U80" s="77">
        <v>8.42</v>
      </c>
      <c r="V80" s="252">
        <v>8.26</v>
      </c>
      <c r="W80" s="75">
        <v>8.5</v>
      </c>
      <c r="X80" s="75">
        <v>0.91</v>
      </c>
      <c r="Y80" s="75">
        <v>1</v>
      </c>
      <c r="Z80" s="75">
        <v>13</v>
      </c>
      <c r="AA80" s="75">
        <v>1</v>
      </c>
      <c r="AB80" s="75" t="s">
        <v>790</v>
      </c>
      <c r="AE80" s="57" t="s">
        <v>1126</v>
      </c>
      <c r="AF80" s="163" t="s">
        <v>1127</v>
      </c>
    </row>
    <row r="81" spans="1:32" ht="16" customHeight="1" thickBot="1" x14ac:dyDescent="0.25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1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6">
        <v>79</v>
      </c>
      <c r="S81" s="57" t="s">
        <v>1593</v>
      </c>
      <c r="T81" s="57" t="s">
        <v>1655</v>
      </c>
      <c r="U81" s="76">
        <v>8.44</v>
      </c>
      <c r="V81" s="152">
        <v>8.24</v>
      </c>
      <c r="W81" s="57">
        <v>8.5</v>
      </c>
      <c r="X81" s="57">
        <v>1.28</v>
      </c>
      <c r="Y81" s="57">
        <v>2</v>
      </c>
      <c r="Z81" s="57">
        <v>10</v>
      </c>
      <c r="AA81" s="57">
        <v>1</v>
      </c>
      <c r="AB81" s="57" t="s">
        <v>1668</v>
      </c>
      <c r="AE81" s="75" t="s">
        <v>1561</v>
      </c>
      <c r="AF81" s="162" t="s">
        <v>1127</v>
      </c>
    </row>
    <row r="82" spans="1:32" ht="16" customHeight="1" thickBot="1" x14ac:dyDescent="0.25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6">
        <v>80</v>
      </c>
      <c r="S82" s="75" t="s">
        <v>1196</v>
      </c>
      <c r="T82" s="75" t="s">
        <v>1197</v>
      </c>
      <c r="U82" s="77">
        <v>8.4600000000000009</v>
      </c>
      <c r="V82" s="253">
        <v>8.2100000000000009</v>
      </c>
      <c r="W82" s="75">
        <v>8</v>
      </c>
      <c r="X82" s="75">
        <v>1.1299999999999999</v>
      </c>
      <c r="Y82" s="75">
        <v>3</v>
      </c>
      <c r="Z82" s="75">
        <v>13</v>
      </c>
      <c r="AA82" s="75">
        <v>1</v>
      </c>
      <c r="AB82" s="75" t="s">
        <v>1198</v>
      </c>
      <c r="AE82" s="57" t="s">
        <v>1562</v>
      </c>
      <c r="AF82" s="163" t="s">
        <v>1127</v>
      </c>
    </row>
    <row r="83" spans="1:32" ht="16" customHeight="1" thickBot="1" x14ac:dyDescent="0.25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3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6">
        <v>81</v>
      </c>
      <c r="S83" s="57" t="s">
        <v>363</v>
      </c>
      <c r="T83" s="57" t="s">
        <v>162</v>
      </c>
      <c r="U83" s="76">
        <v>8.3800000000000008</v>
      </c>
      <c r="V83" s="187">
        <v>8.18</v>
      </c>
      <c r="W83" s="57">
        <v>8.25</v>
      </c>
      <c r="X83" s="57">
        <v>1.06</v>
      </c>
      <c r="Y83" s="57">
        <v>2</v>
      </c>
      <c r="Z83" s="57">
        <v>12</v>
      </c>
      <c r="AA83" s="57">
        <v>0</v>
      </c>
      <c r="AB83" s="57" t="s">
        <v>847</v>
      </c>
      <c r="AE83" s="75" t="s">
        <v>1128</v>
      </c>
      <c r="AF83" s="162" t="s">
        <v>1127</v>
      </c>
    </row>
    <row r="84" spans="1:32" ht="16" customHeight="1" x14ac:dyDescent="0.2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6">
        <v>82</v>
      </c>
      <c r="S84" s="75" t="s">
        <v>364</v>
      </c>
      <c r="T84" s="75" t="s">
        <v>317</v>
      </c>
      <c r="U84" s="77">
        <v>8.35</v>
      </c>
      <c r="V84" s="254">
        <v>8.16</v>
      </c>
      <c r="W84" s="75">
        <v>8</v>
      </c>
      <c r="X84" s="75">
        <v>0.78</v>
      </c>
      <c r="Y84" s="75">
        <v>1</v>
      </c>
      <c r="Z84" s="75">
        <v>10</v>
      </c>
      <c r="AA84" s="75">
        <v>0</v>
      </c>
      <c r="AB84" s="75" t="s">
        <v>849</v>
      </c>
      <c r="AE84" s="57" t="s">
        <v>1134</v>
      </c>
      <c r="AF84" s="163" t="s">
        <v>1579</v>
      </c>
    </row>
    <row r="85" spans="1:32" ht="16" customHeight="1" x14ac:dyDescent="0.2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6">
        <v>83</v>
      </c>
      <c r="S85" s="57" t="s">
        <v>342</v>
      </c>
      <c r="T85" s="57" t="s">
        <v>324</v>
      </c>
      <c r="U85" s="76">
        <v>8.35</v>
      </c>
      <c r="V85" s="255">
        <v>8.1300000000000008</v>
      </c>
      <c r="W85" s="57">
        <v>8.25</v>
      </c>
      <c r="X85" s="57">
        <v>1.32</v>
      </c>
      <c r="Y85" s="57">
        <v>3</v>
      </c>
      <c r="Z85" s="57">
        <v>10</v>
      </c>
      <c r="AA85" s="57">
        <v>0</v>
      </c>
      <c r="AB85" s="57" t="s">
        <v>798</v>
      </c>
      <c r="AE85" s="75" t="s">
        <v>799</v>
      </c>
      <c r="AF85" s="162" t="s">
        <v>1507</v>
      </c>
    </row>
    <row r="86" spans="1:32" ht="16" customHeight="1" x14ac:dyDescent="0.2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6">
        <v>84</v>
      </c>
      <c r="S86" s="75" t="s">
        <v>369</v>
      </c>
      <c r="T86" s="75" t="s">
        <v>370</v>
      </c>
      <c r="U86" s="77">
        <v>8.33</v>
      </c>
      <c r="V86" s="256">
        <v>8.1199999999999992</v>
      </c>
      <c r="W86" s="75">
        <v>8</v>
      </c>
      <c r="X86" s="75">
        <v>0.94</v>
      </c>
      <c r="Y86" s="75">
        <v>1</v>
      </c>
      <c r="Z86" s="75">
        <v>9</v>
      </c>
      <c r="AA86" s="75">
        <v>0</v>
      </c>
      <c r="AB86" s="75" t="s">
        <v>785</v>
      </c>
      <c r="AE86" s="57" t="s">
        <v>1131</v>
      </c>
      <c r="AF86" s="163" t="s">
        <v>1130</v>
      </c>
    </row>
    <row r="87" spans="1:32" ht="16" customHeight="1" x14ac:dyDescent="0.2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6">
        <v>85</v>
      </c>
      <c r="S87" s="57" t="s">
        <v>594</v>
      </c>
      <c r="T87" s="57" t="s">
        <v>595</v>
      </c>
      <c r="U87" s="76">
        <v>8.31</v>
      </c>
      <c r="V87" s="218">
        <v>8.11</v>
      </c>
      <c r="W87" s="57">
        <v>8</v>
      </c>
      <c r="X87" s="57">
        <v>0.89</v>
      </c>
      <c r="Y87" s="57">
        <v>2</v>
      </c>
      <c r="Z87" s="57">
        <v>14</v>
      </c>
      <c r="AA87" s="57">
        <v>1</v>
      </c>
      <c r="AB87" s="57" t="s">
        <v>789</v>
      </c>
      <c r="AE87" s="75" t="s">
        <v>1230</v>
      </c>
      <c r="AF87" s="162" t="s">
        <v>1629</v>
      </c>
    </row>
    <row r="88" spans="1:32" ht="16" customHeight="1" thickBot="1" x14ac:dyDescent="0.25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6">
        <v>86</v>
      </c>
      <c r="S88" s="75" t="s">
        <v>827</v>
      </c>
      <c r="T88" s="75" t="s">
        <v>828</v>
      </c>
      <c r="U88" s="77">
        <v>8.33</v>
      </c>
      <c r="V88" s="257">
        <v>8.09</v>
      </c>
      <c r="W88" s="75">
        <v>8</v>
      </c>
      <c r="X88" s="75">
        <v>1.1599999999999999</v>
      </c>
      <c r="Y88" s="75">
        <v>3</v>
      </c>
      <c r="Z88" s="75">
        <v>15</v>
      </c>
      <c r="AA88" s="75">
        <v>0</v>
      </c>
      <c r="AB88" s="75" t="s">
        <v>848</v>
      </c>
      <c r="AE88" s="57" t="s">
        <v>1630</v>
      </c>
      <c r="AF88" s="163" t="s">
        <v>1629</v>
      </c>
    </row>
    <row r="89" spans="1:32" ht="16" customHeight="1" thickBot="1" x14ac:dyDescent="0.25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6">
        <v>87</v>
      </c>
      <c r="S89" s="57" t="s">
        <v>343</v>
      </c>
      <c r="T89" s="57" t="s">
        <v>634</v>
      </c>
      <c r="U89" s="76">
        <v>8.0500000000000007</v>
      </c>
      <c r="V89" s="154">
        <v>8.01</v>
      </c>
      <c r="W89" s="57">
        <v>8.25</v>
      </c>
      <c r="X89" s="57">
        <v>1.19</v>
      </c>
      <c r="Y89" s="57">
        <v>1</v>
      </c>
      <c r="Z89" s="57">
        <v>11</v>
      </c>
      <c r="AA89" s="57">
        <v>1</v>
      </c>
      <c r="AB89" s="57" t="s">
        <v>776</v>
      </c>
      <c r="AE89" s="75" t="s">
        <v>1132</v>
      </c>
      <c r="AF89" s="162" t="s">
        <v>1133</v>
      </c>
    </row>
    <row r="90" spans="1:32" ht="16" customHeight="1" thickBot="1" x14ac:dyDescent="0.25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0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6">
        <v>88</v>
      </c>
      <c r="S90" s="75" t="s">
        <v>484</v>
      </c>
      <c r="T90" s="75" t="s">
        <v>485</v>
      </c>
      <c r="U90" s="77">
        <v>8.18</v>
      </c>
      <c r="V90" s="258">
        <v>8</v>
      </c>
      <c r="W90" s="75">
        <v>8</v>
      </c>
      <c r="X90" s="75">
        <v>0.89</v>
      </c>
      <c r="Y90" s="75">
        <v>2</v>
      </c>
      <c r="Z90" s="75">
        <v>19</v>
      </c>
      <c r="AA90" s="75">
        <v>0</v>
      </c>
      <c r="AB90" s="75" t="s">
        <v>805</v>
      </c>
      <c r="AE90" s="57" t="s">
        <v>1337</v>
      </c>
      <c r="AF90" s="163" t="s">
        <v>1136</v>
      </c>
    </row>
    <row r="91" spans="1:32" ht="16" customHeight="1" thickBot="1" x14ac:dyDescent="0.25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1" t="s">
        <v>497</v>
      </c>
      <c r="N91" s="52">
        <v>10</v>
      </c>
      <c r="O91" s="22"/>
      <c r="R91" s="66">
        <v>89</v>
      </c>
      <c r="S91" s="57" t="s">
        <v>739</v>
      </c>
      <c r="T91" s="57" t="s">
        <v>1341</v>
      </c>
      <c r="U91" s="76">
        <v>8.11</v>
      </c>
      <c r="V91" s="259">
        <v>7.95</v>
      </c>
      <c r="W91" s="57">
        <v>8</v>
      </c>
      <c r="X91" s="57">
        <v>0.71</v>
      </c>
      <c r="Y91" s="57">
        <v>0</v>
      </c>
      <c r="Z91" s="57">
        <v>15</v>
      </c>
      <c r="AA91" s="57">
        <v>1</v>
      </c>
      <c r="AB91" s="57" t="s">
        <v>1357</v>
      </c>
      <c r="AE91" s="75" t="s">
        <v>804</v>
      </c>
      <c r="AF91" s="162" t="s">
        <v>1136</v>
      </c>
    </row>
    <row r="92" spans="1:32" ht="16" customHeight="1" thickBot="1" x14ac:dyDescent="0.25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6">
        <v>90</v>
      </c>
      <c r="S92" s="75" t="s">
        <v>402</v>
      </c>
      <c r="T92" s="75" t="s">
        <v>395</v>
      </c>
      <c r="U92" s="77">
        <v>8</v>
      </c>
      <c r="V92" s="260">
        <v>7.93</v>
      </c>
      <c r="W92" s="75">
        <v>8.25</v>
      </c>
      <c r="X92" s="75">
        <v>0.56000000000000005</v>
      </c>
      <c r="Y92" s="75">
        <v>0</v>
      </c>
      <c r="Z92" s="75">
        <v>9</v>
      </c>
      <c r="AA92" s="75">
        <v>1</v>
      </c>
      <c r="AB92" s="75" t="s">
        <v>780</v>
      </c>
      <c r="AE92" s="57" t="s">
        <v>1138</v>
      </c>
      <c r="AF92" s="163" t="s">
        <v>1136</v>
      </c>
    </row>
    <row r="93" spans="1:32" ht="16" customHeight="1" thickBot="1" x14ac:dyDescent="0.25">
      <c r="A93" s="128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2" t="s">
        <v>1025</v>
      </c>
      <c r="N93" s="3">
        <f>ROUND(SUM(N94:N110)/COUNT(N94:N110), 2)</f>
        <v>8.5</v>
      </c>
      <c r="O93" s="22"/>
      <c r="R93" s="66">
        <v>91</v>
      </c>
      <c r="S93" s="57" t="s">
        <v>1473</v>
      </c>
      <c r="T93" s="57" t="s">
        <v>1474</v>
      </c>
      <c r="U93" s="76">
        <v>8.0500000000000007</v>
      </c>
      <c r="V93" s="155">
        <v>7.9</v>
      </c>
      <c r="W93" s="57">
        <v>8</v>
      </c>
      <c r="X93" s="57">
        <v>0.72</v>
      </c>
      <c r="Y93" s="57">
        <v>0</v>
      </c>
      <c r="Z93" s="57">
        <v>10</v>
      </c>
      <c r="AA93" s="57">
        <v>0</v>
      </c>
      <c r="AB93" s="57" t="s">
        <v>775</v>
      </c>
      <c r="AE93" s="75" t="s">
        <v>1137</v>
      </c>
      <c r="AF93" s="162" t="s">
        <v>1136</v>
      </c>
    </row>
    <row r="94" spans="1:32" ht="16" customHeight="1" x14ac:dyDescent="0.2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6">
        <v>92</v>
      </c>
      <c r="S94" s="75" t="s">
        <v>353</v>
      </c>
      <c r="T94" s="75" t="s">
        <v>713</v>
      </c>
      <c r="U94" s="77">
        <v>8.07</v>
      </c>
      <c r="V94" s="189">
        <v>7.87</v>
      </c>
      <c r="W94" s="75">
        <v>8</v>
      </c>
      <c r="X94" s="75">
        <v>1.07</v>
      </c>
      <c r="Y94" s="75">
        <v>2</v>
      </c>
      <c r="Z94" s="75">
        <v>16</v>
      </c>
      <c r="AA94" s="75">
        <v>2</v>
      </c>
      <c r="AB94" s="75" t="s">
        <v>782</v>
      </c>
      <c r="AE94" s="57" t="s">
        <v>1140</v>
      </c>
      <c r="AF94" s="163" t="s">
        <v>1141</v>
      </c>
    </row>
    <row r="95" spans="1:32" ht="16" customHeight="1" thickBot="1" x14ac:dyDescent="0.25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6">
        <v>93</v>
      </c>
      <c r="S95" s="57" t="s">
        <v>353</v>
      </c>
      <c r="T95" s="57" t="s">
        <v>1631</v>
      </c>
      <c r="U95" s="76">
        <v>8</v>
      </c>
      <c r="V95" s="261">
        <v>7.75</v>
      </c>
      <c r="W95" s="57">
        <v>7.5</v>
      </c>
      <c r="X95" s="57">
        <v>0.88</v>
      </c>
      <c r="Y95" s="57">
        <v>0</v>
      </c>
      <c r="Z95" s="57">
        <v>10</v>
      </c>
      <c r="AA95" s="57">
        <v>1</v>
      </c>
      <c r="AB95" s="57" t="s">
        <v>1642</v>
      </c>
      <c r="AE95" s="75" t="s">
        <v>1243</v>
      </c>
      <c r="AF95" s="162" t="s">
        <v>1141</v>
      </c>
    </row>
    <row r="96" spans="1:32" ht="16" customHeight="1" thickBot="1" x14ac:dyDescent="0.25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6">
        <v>94</v>
      </c>
      <c r="S96" s="75" t="s">
        <v>343</v>
      </c>
      <c r="T96" s="75" t="s">
        <v>968</v>
      </c>
      <c r="U96" s="77">
        <v>7.88</v>
      </c>
      <c r="V96" s="262">
        <v>7.68</v>
      </c>
      <c r="W96" s="75">
        <v>7.75</v>
      </c>
      <c r="X96" s="75">
        <v>0.86</v>
      </c>
      <c r="Y96" s="75">
        <v>0</v>
      </c>
      <c r="Z96" s="75">
        <v>8</v>
      </c>
      <c r="AA96" s="75">
        <v>0</v>
      </c>
      <c r="AB96" s="75" t="s">
        <v>969</v>
      </c>
      <c r="AE96" s="57" t="s">
        <v>1142</v>
      </c>
      <c r="AF96" s="163" t="s">
        <v>1645</v>
      </c>
    </row>
    <row r="97" spans="1:32" ht="16" customHeight="1" thickBot="1" x14ac:dyDescent="0.25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8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6">
        <v>95</v>
      </c>
      <c r="S97" s="57" t="s">
        <v>668</v>
      </c>
      <c r="T97" s="57" t="s">
        <v>669</v>
      </c>
      <c r="U97" s="76">
        <v>7.72</v>
      </c>
      <c r="V97" s="263">
        <v>7.65</v>
      </c>
      <c r="W97" s="57">
        <v>8</v>
      </c>
      <c r="X97" s="57">
        <v>0.57999999999999996</v>
      </c>
      <c r="Y97" s="57">
        <v>0</v>
      </c>
      <c r="Z97" s="57">
        <v>18</v>
      </c>
      <c r="AA97" s="57">
        <v>0</v>
      </c>
      <c r="AB97" s="57" t="s">
        <v>806</v>
      </c>
      <c r="AE97" s="75" t="s">
        <v>1143</v>
      </c>
      <c r="AF97" s="162" t="s">
        <v>1338</v>
      </c>
    </row>
    <row r="98" spans="1:32" ht="16" customHeight="1" thickBot="1" x14ac:dyDescent="0.25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9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6">
        <v>96</v>
      </c>
      <c r="S98" s="75" t="s">
        <v>354</v>
      </c>
      <c r="T98" s="75" t="s">
        <v>354</v>
      </c>
      <c r="U98" s="77">
        <v>7.77</v>
      </c>
      <c r="V98" s="264">
        <v>7.61</v>
      </c>
      <c r="W98" s="75">
        <v>7.5</v>
      </c>
      <c r="X98" s="75">
        <v>0.62</v>
      </c>
      <c r="Y98" s="75">
        <v>0</v>
      </c>
      <c r="Z98" s="75">
        <v>11</v>
      </c>
      <c r="AA98" s="75">
        <v>0</v>
      </c>
      <c r="AB98" s="75" t="s">
        <v>801</v>
      </c>
      <c r="AE98" s="57" t="s">
        <v>1135</v>
      </c>
      <c r="AF98" s="163" t="s">
        <v>1287</v>
      </c>
    </row>
    <row r="99" spans="1:32" ht="16" customHeight="1" thickBot="1" x14ac:dyDescent="0.25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6">
        <v>97</v>
      </c>
      <c r="S99" s="57" t="s">
        <v>514</v>
      </c>
      <c r="T99" s="57" t="s">
        <v>515</v>
      </c>
      <c r="U99" s="76">
        <v>7.67</v>
      </c>
      <c r="V99" s="157">
        <v>7.6</v>
      </c>
      <c r="W99" s="57">
        <v>8</v>
      </c>
      <c r="X99" s="57">
        <v>0.59</v>
      </c>
      <c r="Y99" s="57">
        <v>0</v>
      </c>
      <c r="Z99" s="57">
        <v>12</v>
      </c>
      <c r="AA99" s="57">
        <v>0</v>
      </c>
      <c r="AB99" s="57" t="s">
        <v>791</v>
      </c>
      <c r="AE99" s="75" t="s">
        <v>1144</v>
      </c>
      <c r="AF99" s="162" t="s">
        <v>1145</v>
      </c>
    </row>
    <row r="100" spans="1:32" ht="16" customHeight="1" thickBot="1" x14ac:dyDescent="0.25">
      <c r="A100" s="6" t="s">
        <v>529</v>
      </c>
      <c r="B100" s="51">
        <v>9</v>
      </c>
      <c r="C100" s="22"/>
      <c r="D100" s="107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6">
        <v>98</v>
      </c>
      <c r="S100" s="75" t="s">
        <v>1241</v>
      </c>
      <c r="T100" s="75" t="s">
        <v>1242</v>
      </c>
      <c r="U100" s="77">
        <v>7.71</v>
      </c>
      <c r="V100" s="156">
        <v>7.59</v>
      </c>
      <c r="W100" s="75">
        <v>7.5</v>
      </c>
      <c r="X100" s="75">
        <v>0.45</v>
      </c>
      <c r="Y100" s="75">
        <v>0</v>
      </c>
      <c r="Z100" s="75">
        <v>8</v>
      </c>
      <c r="AA100" s="75">
        <v>1</v>
      </c>
      <c r="AB100" s="75" t="s">
        <v>1244</v>
      </c>
      <c r="AE100" s="57" t="s">
        <v>1139</v>
      </c>
      <c r="AF100" s="163" t="s">
        <v>1508</v>
      </c>
    </row>
    <row r="101" spans="1:32" ht="16" customHeight="1" thickBot="1" x14ac:dyDescent="0.25">
      <c r="A101" s="9" t="s">
        <v>530</v>
      </c>
      <c r="B101" s="52">
        <v>7</v>
      </c>
      <c r="C101" s="4"/>
      <c r="D101" s="7" t="s">
        <v>581</v>
      </c>
      <c r="E101" s="81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6">
        <v>99</v>
      </c>
      <c r="S101" s="57" t="s">
        <v>343</v>
      </c>
      <c r="T101" s="57" t="s">
        <v>1007</v>
      </c>
      <c r="U101" s="76">
        <v>7.5</v>
      </c>
      <c r="V101" s="265">
        <v>7.35</v>
      </c>
      <c r="W101" s="57">
        <v>7.5</v>
      </c>
      <c r="X101" s="57">
        <v>0.76</v>
      </c>
      <c r="Y101" s="57">
        <v>0</v>
      </c>
      <c r="Z101" s="57">
        <v>12</v>
      </c>
      <c r="AA101" s="57">
        <v>0</v>
      </c>
      <c r="AB101" s="57" t="s">
        <v>799</v>
      </c>
      <c r="AE101" s="75" t="s">
        <v>1146</v>
      </c>
      <c r="AF101" s="162" t="s">
        <v>1339</v>
      </c>
    </row>
    <row r="102" spans="1:32" ht="16" customHeight="1" thickBot="1" x14ac:dyDescent="0.25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6">
        <v>100</v>
      </c>
      <c r="S102" s="75" t="s">
        <v>436</v>
      </c>
      <c r="T102" s="75" t="s">
        <v>437</v>
      </c>
      <c r="U102" s="77">
        <v>7.29</v>
      </c>
      <c r="V102" s="266">
        <v>7.14</v>
      </c>
      <c r="W102" s="75">
        <v>7</v>
      </c>
      <c r="X102" s="75">
        <v>0.52</v>
      </c>
      <c r="Y102" s="75">
        <v>0</v>
      </c>
      <c r="Z102" s="75">
        <v>7</v>
      </c>
      <c r="AA102" s="75">
        <v>0</v>
      </c>
      <c r="AB102" s="75" t="s">
        <v>807</v>
      </c>
      <c r="AE102" s="57" t="s">
        <v>1147</v>
      </c>
      <c r="AF102" s="163" t="s">
        <v>1148</v>
      </c>
    </row>
    <row r="103" spans="1:32" ht="16" customHeight="1" thickBot="1" x14ac:dyDescent="0.25">
      <c r="A103" s="82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6">
        <v>101</v>
      </c>
      <c r="S103" s="57" t="s">
        <v>689</v>
      </c>
      <c r="T103" s="57" t="s">
        <v>690</v>
      </c>
      <c r="U103" s="76">
        <v>7.06</v>
      </c>
      <c r="V103" s="267">
        <v>6.96</v>
      </c>
      <c r="W103" s="57">
        <v>7</v>
      </c>
      <c r="X103" s="57">
        <v>0.44</v>
      </c>
      <c r="Y103" s="57">
        <v>0</v>
      </c>
      <c r="Z103" s="57">
        <v>10</v>
      </c>
      <c r="AA103" s="57">
        <v>1</v>
      </c>
      <c r="AB103" s="57" t="s">
        <v>800</v>
      </c>
      <c r="AE103" s="75" t="s">
        <v>1149</v>
      </c>
      <c r="AF103" s="162" t="s">
        <v>1148</v>
      </c>
    </row>
    <row r="104" spans="1:32" ht="16" customHeight="1" x14ac:dyDescent="0.2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V104"/>
      <c r="W104"/>
      <c r="X104"/>
      <c r="Y104"/>
      <c r="Z104"/>
      <c r="AE104" s="57" t="s">
        <v>1150</v>
      </c>
      <c r="AF104" s="163" t="s">
        <v>1151</v>
      </c>
    </row>
    <row r="105" spans="1:32" ht="16" customHeight="1" x14ac:dyDescent="0.25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213" t="s">
        <v>1391</v>
      </c>
      <c r="S105" s="213"/>
      <c r="T105" s="213"/>
      <c r="U105" s="213"/>
      <c r="V105" s="213"/>
      <c r="W105" s="213"/>
      <c r="X105" s="213"/>
      <c r="Y105" s="213"/>
      <c r="Z105" s="213"/>
      <c r="AA105" s="213"/>
      <c r="AB105" s="213"/>
      <c r="AE105" s="75" t="s">
        <v>1152</v>
      </c>
      <c r="AF105" s="162" t="s">
        <v>1153</v>
      </c>
    </row>
    <row r="106" spans="1:32" ht="16" customHeight="1" x14ac:dyDescent="0.2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56" t="s">
        <v>368</v>
      </c>
      <c r="S106" s="56" t="s">
        <v>335</v>
      </c>
      <c r="T106" s="56" t="s">
        <v>535</v>
      </c>
      <c r="U106" s="56" t="s">
        <v>532</v>
      </c>
      <c r="V106" s="56" t="s">
        <v>1029</v>
      </c>
      <c r="W106" s="56" t="s">
        <v>533</v>
      </c>
      <c r="X106" s="56" t="s">
        <v>338</v>
      </c>
      <c r="Y106" s="56" t="s">
        <v>339</v>
      </c>
      <c r="Z106" s="56" t="s">
        <v>340</v>
      </c>
      <c r="AA106" s="56" t="s">
        <v>341</v>
      </c>
      <c r="AB106" s="56" t="s">
        <v>936</v>
      </c>
      <c r="AE106" s="57" t="s">
        <v>1413</v>
      </c>
      <c r="AF106" s="163" t="s">
        <v>1434</v>
      </c>
    </row>
    <row r="107" spans="1:32" ht="16" customHeight="1" x14ac:dyDescent="0.2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5">
        <v>8.5</v>
      </c>
      <c r="L107" s="4"/>
      <c r="M107" s="8" t="s">
        <v>548</v>
      </c>
      <c r="N107" s="51">
        <v>9</v>
      </c>
      <c r="O107" s="22"/>
      <c r="R107" s="67">
        <v>1</v>
      </c>
      <c r="S107" s="57" t="s">
        <v>348</v>
      </c>
      <c r="T107" s="76">
        <v>3</v>
      </c>
      <c r="U107" s="76">
        <v>9.61</v>
      </c>
      <c r="V107" s="145">
        <v>9.83</v>
      </c>
      <c r="W107" s="57">
        <v>9.67</v>
      </c>
      <c r="X107" s="57">
        <v>0.76</v>
      </c>
      <c r="Y107" s="57">
        <v>10</v>
      </c>
      <c r="Z107" s="57">
        <v>20</v>
      </c>
      <c r="AA107" s="57">
        <v>1</v>
      </c>
      <c r="AB107" s="57" t="s">
        <v>1057</v>
      </c>
      <c r="AE107" s="75" t="s">
        <v>1333</v>
      </c>
      <c r="AF107" s="162" t="s">
        <v>1334</v>
      </c>
    </row>
    <row r="108" spans="1:32" ht="16" customHeight="1" thickBot="1" x14ac:dyDescent="0.25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8">
        <v>2</v>
      </c>
      <c r="S108" s="75" t="s">
        <v>342</v>
      </c>
      <c r="T108" s="77">
        <v>5</v>
      </c>
      <c r="U108" s="77">
        <v>9.36</v>
      </c>
      <c r="V108" s="268">
        <v>9.6</v>
      </c>
      <c r="W108" s="75">
        <v>9.65</v>
      </c>
      <c r="X108" s="75">
        <v>0.91</v>
      </c>
      <c r="Y108" s="75">
        <v>22</v>
      </c>
      <c r="Z108" s="75">
        <v>58</v>
      </c>
      <c r="AA108" s="75">
        <v>14</v>
      </c>
      <c r="AB108" s="75" t="s">
        <v>1307</v>
      </c>
      <c r="AE108" s="57" t="s">
        <v>1335</v>
      </c>
      <c r="AF108" s="163" t="s">
        <v>1334</v>
      </c>
    </row>
    <row r="109" spans="1:32" ht="16" customHeight="1" thickBot="1" x14ac:dyDescent="0.25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9">
        <v>3</v>
      </c>
      <c r="S109" s="57" t="s">
        <v>347</v>
      </c>
      <c r="T109" s="76">
        <v>3</v>
      </c>
      <c r="U109" s="76">
        <v>9.18</v>
      </c>
      <c r="V109" s="230">
        <v>9.15</v>
      </c>
      <c r="W109" s="57">
        <v>8.92</v>
      </c>
      <c r="X109" s="57">
        <v>0.74</v>
      </c>
      <c r="Y109" s="57">
        <v>5</v>
      </c>
      <c r="Z109" s="57">
        <v>16</v>
      </c>
      <c r="AA109" s="57">
        <v>0</v>
      </c>
      <c r="AB109" s="57" t="s">
        <v>1459</v>
      </c>
      <c r="AE109" s="75" t="s">
        <v>789</v>
      </c>
      <c r="AF109" s="162" t="s">
        <v>1288</v>
      </c>
    </row>
    <row r="110" spans="1:32" ht="16" customHeight="1" thickBot="1" x14ac:dyDescent="0.25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6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6">
        <v>4</v>
      </c>
      <c r="S110" s="75" t="s">
        <v>351</v>
      </c>
      <c r="T110" s="77">
        <v>4</v>
      </c>
      <c r="U110" s="77">
        <v>8.9600000000000009</v>
      </c>
      <c r="V110" s="186">
        <v>9.01</v>
      </c>
      <c r="W110" s="75">
        <v>8.94</v>
      </c>
      <c r="X110" s="75">
        <v>0.99</v>
      </c>
      <c r="Y110" s="75">
        <v>11</v>
      </c>
      <c r="Z110" s="75">
        <v>37</v>
      </c>
      <c r="AA110" s="75">
        <v>0</v>
      </c>
      <c r="AB110" s="75" t="s">
        <v>1433</v>
      </c>
      <c r="AE110" s="57" t="s">
        <v>1673</v>
      </c>
      <c r="AF110" s="163" t="s">
        <v>1674</v>
      </c>
    </row>
    <row r="111" spans="1:32" ht="16" customHeight="1" thickBot="1" x14ac:dyDescent="0.25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5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6">
        <v>5</v>
      </c>
      <c r="S111" s="57" t="s">
        <v>499</v>
      </c>
      <c r="T111" s="76">
        <v>3</v>
      </c>
      <c r="U111" s="76">
        <v>8.93</v>
      </c>
      <c r="V111" s="59">
        <v>8.89</v>
      </c>
      <c r="W111" s="57">
        <v>8.83</v>
      </c>
      <c r="X111" s="57">
        <v>0.82</v>
      </c>
      <c r="Y111" s="57">
        <v>6</v>
      </c>
      <c r="Z111" s="57">
        <v>27</v>
      </c>
      <c r="AA111" s="57">
        <v>0</v>
      </c>
      <c r="AB111" s="57" t="s">
        <v>780</v>
      </c>
      <c r="AE111" s="75" t="s">
        <v>1157</v>
      </c>
      <c r="AF111" s="162" t="s">
        <v>1340</v>
      </c>
    </row>
    <row r="112" spans="1:32" ht="16" customHeight="1" thickBot="1" x14ac:dyDescent="0.25">
      <c r="A112" s="63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4" t="s">
        <v>635</v>
      </c>
      <c r="N112" s="3">
        <f>ROUND(SUM(N113:N125)/COUNT(N113:N125), 2)</f>
        <v>8.77</v>
      </c>
      <c r="O112" s="22"/>
      <c r="R112" s="66">
        <v>6</v>
      </c>
      <c r="S112" s="75" t="s">
        <v>350</v>
      </c>
      <c r="T112" s="77">
        <v>4</v>
      </c>
      <c r="U112" s="77">
        <v>8.83</v>
      </c>
      <c r="V112" s="241">
        <v>8.77</v>
      </c>
      <c r="W112" s="75">
        <v>8.69</v>
      </c>
      <c r="X112" s="75">
        <v>0.9</v>
      </c>
      <c r="Y112" s="75">
        <v>5</v>
      </c>
      <c r="Z112" s="75">
        <v>30</v>
      </c>
      <c r="AA112" s="75">
        <v>0</v>
      </c>
      <c r="AB112" s="75" t="s">
        <v>802</v>
      </c>
      <c r="AE112" s="57" t="s">
        <v>1158</v>
      </c>
      <c r="AF112" s="163" t="s">
        <v>1340</v>
      </c>
    </row>
    <row r="113" spans="1:32" ht="16" customHeight="1" thickBot="1" x14ac:dyDescent="0.25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6">
        <v>7</v>
      </c>
      <c r="S113" s="57" t="s">
        <v>357</v>
      </c>
      <c r="T113" s="76">
        <v>2</v>
      </c>
      <c r="U113" s="76">
        <v>8.83</v>
      </c>
      <c r="V113" s="158">
        <v>8.8000000000000007</v>
      </c>
      <c r="W113" s="57">
        <v>8.5</v>
      </c>
      <c r="X113" s="57">
        <v>0.88</v>
      </c>
      <c r="Y113" s="57">
        <v>4</v>
      </c>
      <c r="Z113" s="57">
        <v>18</v>
      </c>
      <c r="AA113" s="57">
        <v>0</v>
      </c>
      <c r="AB113" s="57" t="s">
        <v>1628</v>
      </c>
      <c r="AE113" s="75" t="s">
        <v>1154</v>
      </c>
      <c r="AF113" s="162" t="s">
        <v>1155</v>
      </c>
    </row>
    <row r="114" spans="1:32" ht="16" customHeight="1" thickBot="1" x14ac:dyDescent="0.25">
      <c r="A114" s="104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6">
        <v>8</v>
      </c>
      <c r="S114" s="75" t="s">
        <v>361</v>
      </c>
      <c r="T114" s="77">
        <v>2</v>
      </c>
      <c r="U114" s="77">
        <v>8.69</v>
      </c>
      <c r="V114" s="148">
        <v>8.64</v>
      </c>
      <c r="W114" s="75">
        <v>8.75</v>
      </c>
      <c r="X114" s="75">
        <v>0.84</v>
      </c>
      <c r="Y114" s="75">
        <v>4</v>
      </c>
      <c r="Z114" s="75">
        <v>24</v>
      </c>
      <c r="AA114" s="75">
        <v>0</v>
      </c>
      <c r="AB114" s="75" t="s">
        <v>1028</v>
      </c>
      <c r="AE114" s="57" t="s">
        <v>1156</v>
      </c>
      <c r="AF114" s="163" t="s">
        <v>1155</v>
      </c>
    </row>
    <row r="115" spans="1:32" ht="16" customHeight="1" thickBot="1" x14ac:dyDescent="0.25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6">
        <v>9</v>
      </c>
      <c r="S115" s="57" t="s">
        <v>343</v>
      </c>
      <c r="T115" s="76">
        <v>9</v>
      </c>
      <c r="U115" s="76">
        <v>8.65</v>
      </c>
      <c r="V115" s="244">
        <v>8.69</v>
      </c>
      <c r="W115" s="57">
        <v>8.69</v>
      </c>
      <c r="X115" s="57">
        <v>0.86</v>
      </c>
      <c r="Y115" s="57">
        <v>19</v>
      </c>
      <c r="Z115" s="57">
        <v>101</v>
      </c>
      <c r="AA115" s="57">
        <v>4</v>
      </c>
      <c r="AB115" s="57" t="s">
        <v>970</v>
      </c>
      <c r="AE115" s="75" t="s">
        <v>806</v>
      </c>
      <c r="AF115" s="162" t="s">
        <v>1159</v>
      </c>
    </row>
    <row r="116" spans="1:32" ht="16" customHeight="1" thickBot="1" x14ac:dyDescent="0.25">
      <c r="A116" s="8" t="s">
        <v>651</v>
      </c>
      <c r="B116" s="51">
        <v>8</v>
      </c>
      <c r="C116" s="22"/>
      <c r="D116" s="103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6">
        <v>10</v>
      </c>
      <c r="S116" s="75" t="s">
        <v>1593</v>
      </c>
      <c r="T116" s="77">
        <v>2</v>
      </c>
      <c r="U116" s="77">
        <v>8.6300000000000008</v>
      </c>
      <c r="V116" s="192">
        <v>8.52</v>
      </c>
      <c r="W116" s="75">
        <v>8.5</v>
      </c>
      <c r="X116" s="75">
        <v>1.05</v>
      </c>
      <c r="Y116" s="75">
        <v>4</v>
      </c>
      <c r="Z116" s="75">
        <v>22</v>
      </c>
      <c r="AA116" s="75">
        <v>2</v>
      </c>
      <c r="AB116" s="75" t="s">
        <v>1669</v>
      </c>
      <c r="AE116" s="57" t="s">
        <v>1160</v>
      </c>
      <c r="AF116" s="163" t="s">
        <v>1161</v>
      </c>
    </row>
    <row r="117" spans="1:32" ht="16" customHeight="1" x14ac:dyDescent="0.2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6">
        <v>11</v>
      </c>
      <c r="S117" s="57" t="s">
        <v>739</v>
      </c>
      <c r="T117" s="76">
        <v>3</v>
      </c>
      <c r="U117" s="76">
        <v>8.5500000000000007</v>
      </c>
      <c r="V117" s="212">
        <v>8.51</v>
      </c>
      <c r="W117" s="57">
        <v>8.17</v>
      </c>
      <c r="X117" s="57">
        <v>0.83</v>
      </c>
      <c r="Y117" s="57">
        <v>6</v>
      </c>
      <c r="Z117" s="57">
        <v>46</v>
      </c>
      <c r="AA117" s="57">
        <v>4</v>
      </c>
      <c r="AB117" s="57" t="s">
        <v>1506</v>
      </c>
      <c r="AE117" s="75" t="s">
        <v>1358</v>
      </c>
      <c r="AF117" s="162" t="s">
        <v>1359</v>
      </c>
    </row>
    <row r="118" spans="1:32" ht="16" customHeight="1" x14ac:dyDescent="0.2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6">
        <v>12</v>
      </c>
      <c r="S118" s="75" t="s">
        <v>353</v>
      </c>
      <c r="T118" s="77">
        <v>4</v>
      </c>
      <c r="U118" s="77">
        <v>8.48</v>
      </c>
      <c r="V118" s="269">
        <v>8.36</v>
      </c>
      <c r="W118" s="75">
        <v>8.25</v>
      </c>
      <c r="X118" s="75">
        <v>0.95</v>
      </c>
      <c r="Y118" s="75">
        <v>8</v>
      </c>
      <c r="Z118" s="75">
        <v>52</v>
      </c>
      <c r="AA118" s="75">
        <v>4</v>
      </c>
      <c r="AB118" s="75" t="s">
        <v>1643</v>
      </c>
      <c r="AE118" s="57" t="s">
        <v>1646</v>
      </c>
      <c r="AF118" s="163" t="s">
        <v>1647</v>
      </c>
    </row>
    <row r="119" spans="1:32" ht="16" customHeight="1" x14ac:dyDescent="0.2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6">
        <v>13</v>
      </c>
      <c r="S119" s="57" t="s">
        <v>354</v>
      </c>
      <c r="T119" s="76">
        <v>2</v>
      </c>
      <c r="U119" s="76">
        <v>8.39</v>
      </c>
      <c r="V119" s="153">
        <v>8.32</v>
      </c>
      <c r="W119" s="57">
        <v>8.25</v>
      </c>
      <c r="X119" s="57">
        <v>0.72</v>
      </c>
      <c r="Y119" s="57">
        <v>2</v>
      </c>
      <c r="Z119" s="57">
        <v>20</v>
      </c>
      <c r="AA119" s="57">
        <v>0</v>
      </c>
      <c r="AB119" s="57" t="s">
        <v>801</v>
      </c>
      <c r="AE119" s="75" t="s">
        <v>1648</v>
      </c>
      <c r="AF119" s="162" t="s">
        <v>1647</v>
      </c>
    </row>
    <row r="120" spans="1:32" ht="16" customHeight="1" x14ac:dyDescent="0.2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3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V120"/>
      <c r="W120"/>
      <c r="X120"/>
      <c r="Y120"/>
      <c r="Z120"/>
      <c r="AE120" s="57" t="s">
        <v>1162</v>
      </c>
      <c r="AF120" s="163" t="s">
        <v>1163</v>
      </c>
    </row>
    <row r="121" spans="1:32" ht="16" customHeight="1" x14ac:dyDescent="0.25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213" t="s">
        <v>1392</v>
      </c>
      <c r="S121" s="213"/>
      <c r="T121" s="213"/>
      <c r="U121" s="213"/>
      <c r="V121" s="213"/>
      <c r="W121"/>
      <c r="X121"/>
      <c r="Y121"/>
      <c r="Z121"/>
      <c r="AE121" s="75" t="s">
        <v>1244</v>
      </c>
      <c r="AF121" s="162" t="s">
        <v>1255</v>
      </c>
    </row>
    <row r="122" spans="1:32" ht="16" customHeight="1" thickBot="1" x14ac:dyDescent="0.25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56" t="s">
        <v>368</v>
      </c>
      <c r="S122" s="56" t="s">
        <v>335</v>
      </c>
      <c r="T122" s="56" t="s">
        <v>336</v>
      </c>
      <c r="U122" s="56" t="s">
        <v>337</v>
      </c>
      <c r="V122" s="56" t="s">
        <v>1029</v>
      </c>
      <c r="W122"/>
      <c r="X122"/>
      <c r="Y122"/>
      <c r="Z122"/>
      <c r="AE122" s="57" t="s">
        <v>1164</v>
      </c>
      <c r="AF122" s="163" t="s">
        <v>1165</v>
      </c>
    </row>
    <row r="123" spans="1:32" ht="16" customHeight="1" thickBot="1" x14ac:dyDescent="0.25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7">
        <v>1</v>
      </c>
      <c r="S123" s="57" t="s">
        <v>1022</v>
      </c>
      <c r="T123" s="57" t="s">
        <v>1020</v>
      </c>
      <c r="U123" s="76">
        <v>10.5</v>
      </c>
      <c r="V123" s="141">
        <v>10.85</v>
      </c>
      <c r="W123"/>
      <c r="X123"/>
      <c r="Y123"/>
      <c r="Z123"/>
      <c r="AE123" s="75" t="s">
        <v>1166</v>
      </c>
      <c r="AF123" s="162" t="s">
        <v>1165</v>
      </c>
    </row>
    <row r="124" spans="1:32" ht="16" customHeight="1" thickBot="1" x14ac:dyDescent="0.25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8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8">
        <v>2</v>
      </c>
      <c r="S124" s="75" t="s">
        <v>342</v>
      </c>
      <c r="T124" s="75" t="s">
        <v>7</v>
      </c>
      <c r="U124" s="77">
        <v>9.89</v>
      </c>
      <c r="V124" s="141">
        <v>10.47</v>
      </c>
      <c r="W124"/>
      <c r="X124"/>
      <c r="Y124"/>
      <c r="Z124"/>
      <c r="AE124" s="57" t="s">
        <v>807</v>
      </c>
      <c r="AF124" s="163" t="s">
        <v>1167</v>
      </c>
    </row>
    <row r="125" spans="1:32" ht="16" customHeight="1" thickBot="1" x14ac:dyDescent="0.25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80" t="s">
        <v>1285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1" t="s">
        <v>648</v>
      </c>
      <c r="N125" s="52">
        <v>7</v>
      </c>
      <c r="O125" s="22"/>
      <c r="R125" s="69">
        <v>3</v>
      </c>
      <c r="S125" s="57" t="s">
        <v>348</v>
      </c>
      <c r="T125" s="57" t="s">
        <v>1054</v>
      </c>
      <c r="U125" s="76">
        <v>10</v>
      </c>
      <c r="V125" s="141">
        <v>10.35</v>
      </c>
      <c r="W125"/>
      <c r="X125"/>
      <c r="Y125"/>
      <c r="Z125"/>
    </row>
    <row r="126" spans="1:32" ht="16" customHeight="1" thickBot="1" x14ac:dyDescent="0.25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6">
        <v>4</v>
      </c>
      <c r="S126" s="75" t="s">
        <v>343</v>
      </c>
      <c r="T126" s="75" t="s">
        <v>344</v>
      </c>
      <c r="U126" s="77">
        <v>9.6999999999999993</v>
      </c>
      <c r="V126" s="141">
        <v>10.29</v>
      </c>
      <c r="W126"/>
      <c r="X126"/>
      <c r="Y126"/>
      <c r="Z126"/>
    </row>
    <row r="127" spans="1:32" ht="16" customHeight="1" thickBot="1" x14ac:dyDescent="0.25">
      <c r="A127" s="8" t="s">
        <v>662</v>
      </c>
      <c r="B127" s="51">
        <v>7</v>
      </c>
      <c r="C127" s="22"/>
      <c r="D127" s="102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9" t="s">
        <v>722</v>
      </c>
      <c r="N127" s="3">
        <f>ROUND(SUM(N128:N135)/COUNT(N128:N135), 2)</f>
        <v>9.1300000000000008</v>
      </c>
      <c r="O127" s="22"/>
      <c r="R127" s="66">
        <v>5</v>
      </c>
      <c r="S127" s="57" t="s">
        <v>695</v>
      </c>
      <c r="T127" s="57" t="s">
        <v>696</v>
      </c>
      <c r="U127" s="76">
        <v>9.8800000000000008</v>
      </c>
      <c r="V127" s="141">
        <v>10.16</v>
      </c>
      <c r="W127"/>
      <c r="X127"/>
      <c r="Y127"/>
      <c r="Z127"/>
    </row>
    <row r="128" spans="1:32" ht="16" customHeight="1" x14ac:dyDescent="0.2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6">
        <v>6</v>
      </c>
      <c r="S128" s="75" t="s">
        <v>346</v>
      </c>
      <c r="T128" s="75" t="s">
        <v>280</v>
      </c>
      <c r="U128" s="77">
        <v>9.3800000000000008</v>
      </c>
      <c r="V128" s="225">
        <v>9.4600000000000009</v>
      </c>
      <c r="W128"/>
      <c r="X128"/>
      <c r="Y128"/>
      <c r="Z128"/>
    </row>
    <row r="129" spans="1:26" ht="16" customHeight="1" thickBot="1" x14ac:dyDescent="0.25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6">
        <v>7</v>
      </c>
      <c r="S129" s="57" t="s">
        <v>347</v>
      </c>
      <c r="T129" s="57" t="s">
        <v>1228</v>
      </c>
      <c r="U129" s="76">
        <v>9.4</v>
      </c>
      <c r="V129" s="226">
        <v>9.42</v>
      </c>
      <c r="W129"/>
      <c r="X129"/>
      <c r="Y129"/>
      <c r="Z129"/>
    </row>
    <row r="130" spans="1:26" ht="16" customHeight="1" thickBot="1" x14ac:dyDescent="0.25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6">
        <v>8</v>
      </c>
      <c r="S130" s="75" t="s">
        <v>351</v>
      </c>
      <c r="T130" s="75" t="s">
        <v>56</v>
      </c>
      <c r="U130" s="77">
        <v>9.25</v>
      </c>
      <c r="V130" s="227">
        <v>9.31</v>
      </c>
      <c r="W130"/>
      <c r="X130"/>
      <c r="Y130"/>
      <c r="Z130"/>
    </row>
    <row r="131" spans="1:26" ht="16" customHeight="1" thickBot="1" x14ac:dyDescent="0.25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1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6">
        <v>9</v>
      </c>
      <c r="S131" s="57" t="s">
        <v>352</v>
      </c>
      <c r="T131" s="57" t="s">
        <v>190</v>
      </c>
      <c r="U131" s="76">
        <v>9.2100000000000009</v>
      </c>
      <c r="V131" s="228">
        <v>9.27</v>
      </c>
      <c r="W131"/>
      <c r="X131"/>
      <c r="Y131"/>
      <c r="Z131"/>
    </row>
    <row r="132" spans="1:26" ht="16" customHeight="1" thickBot="1" x14ac:dyDescent="0.25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6">
        <v>10</v>
      </c>
      <c r="S132" s="75" t="s">
        <v>350</v>
      </c>
      <c r="T132" s="75" t="s">
        <v>132</v>
      </c>
      <c r="U132" s="77">
        <v>9.2100000000000009</v>
      </c>
      <c r="V132" s="146">
        <v>9.23</v>
      </c>
      <c r="W132"/>
      <c r="X132"/>
      <c r="Y132"/>
      <c r="Z132"/>
    </row>
    <row r="133" spans="1:26" ht="16" customHeight="1" thickBot="1" x14ac:dyDescent="0.25">
      <c r="A133" s="85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6">
        <v>11</v>
      </c>
      <c r="S133" s="57" t="s">
        <v>499</v>
      </c>
      <c r="T133" s="57" t="s">
        <v>517</v>
      </c>
      <c r="U133" s="76">
        <v>9.17</v>
      </c>
      <c r="V133" s="166">
        <v>9.19</v>
      </c>
      <c r="W133"/>
      <c r="X133"/>
      <c r="Y133"/>
      <c r="Z133"/>
    </row>
    <row r="134" spans="1:26" ht="16" customHeight="1" thickBot="1" x14ac:dyDescent="0.25">
      <c r="A134" s="129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6">
        <v>12</v>
      </c>
      <c r="S134" s="75" t="s">
        <v>463</v>
      </c>
      <c r="T134" s="75" t="s">
        <v>36</v>
      </c>
      <c r="U134" s="77">
        <v>9.15</v>
      </c>
      <c r="V134" s="229">
        <v>9.18</v>
      </c>
      <c r="W134"/>
      <c r="X134"/>
      <c r="Y134"/>
      <c r="Z134"/>
    </row>
    <row r="135" spans="1:26" ht="16" customHeight="1" thickBot="1" x14ac:dyDescent="0.25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6">
        <v>13</v>
      </c>
      <c r="S135" s="57" t="s">
        <v>353</v>
      </c>
      <c r="T135" s="57" t="s">
        <v>159</v>
      </c>
      <c r="U135" s="76">
        <v>9.08</v>
      </c>
      <c r="V135" s="167">
        <v>9.1</v>
      </c>
      <c r="W135"/>
      <c r="X135"/>
      <c r="Y135"/>
      <c r="Z135"/>
    </row>
    <row r="136" spans="1:26" ht="16" customHeight="1" thickBot="1" x14ac:dyDescent="0.25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0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6">
        <v>14</v>
      </c>
      <c r="S136" s="75" t="s">
        <v>934</v>
      </c>
      <c r="T136" s="75" t="s">
        <v>925</v>
      </c>
      <c r="U136" s="77">
        <v>9.06</v>
      </c>
      <c r="V136" s="58">
        <v>9.0500000000000007</v>
      </c>
      <c r="W136"/>
      <c r="X136"/>
      <c r="Y136"/>
      <c r="Z136"/>
    </row>
    <row r="137" spans="1:26" ht="16" customHeight="1" thickBot="1" x14ac:dyDescent="0.25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0" t="s">
        <v>892</v>
      </c>
      <c r="N137" s="14">
        <f>ROUND(SUM(N138:N142)/COUNT(N138:N142), 2)</f>
        <v>9.4</v>
      </c>
      <c r="O137" s="22"/>
      <c r="R137" s="66">
        <v>15</v>
      </c>
      <c r="S137" s="57" t="s">
        <v>354</v>
      </c>
      <c r="T137" s="57" t="s">
        <v>270</v>
      </c>
      <c r="U137" s="76">
        <v>9</v>
      </c>
      <c r="V137" s="232">
        <v>9.0299999999999994</v>
      </c>
      <c r="W137"/>
      <c r="X137"/>
      <c r="Y137"/>
      <c r="Z137"/>
    </row>
    <row r="138" spans="1:26" ht="16" customHeight="1" x14ac:dyDescent="0.2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6">
        <v>16</v>
      </c>
      <c r="S138" s="75" t="s">
        <v>1623</v>
      </c>
      <c r="T138" s="75" t="s">
        <v>1624</v>
      </c>
      <c r="U138" s="77">
        <v>8.67</v>
      </c>
      <c r="V138" s="87">
        <v>8.94</v>
      </c>
      <c r="W138"/>
      <c r="X138"/>
      <c r="Y138"/>
      <c r="Z138"/>
    </row>
    <row r="139" spans="1:26" ht="16" customHeight="1" x14ac:dyDescent="0.2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6">
        <v>17</v>
      </c>
      <c r="S139" s="57" t="s">
        <v>739</v>
      </c>
      <c r="T139" s="57" t="s">
        <v>1491</v>
      </c>
      <c r="U139" s="76">
        <v>8.8800000000000008</v>
      </c>
      <c r="V139" s="236">
        <v>8.86</v>
      </c>
      <c r="W139"/>
      <c r="X139"/>
      <c r="Y139"/>
      <c r="Z139"/>
    </row>
    <row r="140" spans="1:26" ht="16" customHeight="1" x14ac:dyDescent="0.2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6">
        <v>18</v>
      </c>
      <c r="S140" s="75" t="s">
        <v>1224</v>
      </c>
      <c r="T140" s="75" t="s">
        <v>1622</v>
      </c>
      <c r="U140" s="77">
        <v>8.7200000000000006</v>
      </c>
      <c r="V140" s="238">
        <v>8.82</v>
      </c>
      <c r="W140"/>
      <c r="X140"/>
      <c r="Y140"/>
      <c r="Z140"/>
    </row>
    <row r="141" spans="1:26" ht="16" customHeight="1" x14ac:dyDescent="0.2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6">
        <v>19</v>
      </c>
      <c r="S141" s="57" t="s">
        <v>1559</v>
      </c>
      <c r="T141" s="57" t="s">
        <v>1560</v>
      </c>
      <c r="U141" s="76">
        <v>8.93</v>
      </c>
      <c r="V141" s="238">
        <v>8.82</v>
      </c>
      <c r="W141"/>
      <c r="X141"/>
      <c r="Y141"/>
      <c r="Z141"/>
    </row>
    <row r="142" spans="1:26" ht="16" customHeight="1" thickBot="1" x14ac:dyDescent="0.25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6">
        <v>20</v>
      </c>
      <c r="S142" s="75" t="s">
        <v>355</v>
      </c>
      <c r="T142" s="75" t="s">
        <v>356</v>
      </c>
      <c r="U142" s="77">
        <v>8.89</v>
      </c>
      <c r="V142" s="239">
        <v>8.81</v>
      </c>
      <c r="W142"/>
      <c r="X142"/>
      <c r="Y142"/>
      <c r="Z142"/>
    </row>
    <row r="143" spans="1:26" ht="16" customHeight="1" thickBot="1" x14ac:dyDescent="0.25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V143"/>
      <c r="W143"/>
      <c r="X143"/>
      <c r="Y143"/>
      <c r="Z143"/>
    </row>
    <row r="144" spans="1:26" ht="16" customHeight="1" thickBot="1" x14ac:dyDescent="0.25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3" t="s">
        <v>811</v>
      </c>
      <c r="N144" s="14">
        <f>ROUND(SUM(N145:N150)/COUNT(N145:N150), 2)</f>
        <v>8.67</v>
      </c>
      <c r="O144" s="22"/>
      <c r="V144"/>
      <c r="W144"/>
      <c r="X144"/>
      <c r="Y144"/>
      <c r="Z144"/>
    </row>
    <row r="145" spans="1:26" ht="16" customHeight="1" thickBot="1" x14ac:dyDescent="0.25">
      <c r="A145" s="99" t="s">
        <v>891</v>
      </c>
      <c r="B145" s="14">
        <f>ROUND(SUM(B146:B160)/COUNT(B146:B160), 2)</f>
        <v>8.33</v>
      </c>
      <c r="C145" s="22"/>
      <c r="D145" s="94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V145"/>
      <c r="W145"/>
      <c r="X145"/>
      <c r="Y145"/>
      <c r="Z145"/>
    </row>
    <row r="146" spans="1:26" ht="16" customHeight="1" x14ac:dyDescent="0.2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1" t="s">
        <v>770</v>
      </c>
      <c r="N146" s="51">
        <v>8</v>
      </c>
      <c r="O146" s="22"/>
      <c r="V146"/>
      <c r="W146"/>
      <c r="X146"/>
      <c r="Y146"/>
      <c r="Z146"/>
    </row>
    <row r="147" spans="1:26" ht="16" customHeight="1" thickBot="1" x14ac:dyDescent="0.25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V147"/>
      <c r="W147"/>
      <c r="X147"/>
      <c r="Y147"/>
      <c r="Z147"/>
    </row>
    <row r="148" spans="1:26" ht="16" customHeight="1" thickBot="1" x14ac:dyDescent="0.25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1" t="s">
        <v>772</v>
      </c>
      <c r="N148" s="51">
        <v>8</v>
      </c>
      <c r="O148" s="22"/>
      <c r="V148"/>
      <c r="W148"/>
      <c r="X148"/>
      <c r="Y148"/>
      <c r="Z148"/>
    </row>
    <row r="149" spans="1:26" ht="16" customHeight="1" thickBot="1" x14ac:dyDescent="0.25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8" t="s">
        <v>890</v>
      </c>
      <c r="H149" s="14">
        <f>ROUND(SUM(H150:H163)/COUNT(H150:H163), 2)</f>
        <v>8.7100000000000009</v>
      </c>
      <c r="I149" s="22"/>
      <c r="J149" s="95" t="s">
        <v>866</v>
      </c>
      <c r="K149" s="14">
        <f>ROUND(SUM(K150:K163)/COUNT(K150:K163), 2)</f>
        <v>8.5</v>
      </c>
      <c r="L149" s="4"/>
      <c r="M149" s="91" t="s">
        <v>773</v>
      </c>
      <c r="N149" s="51">
        <v>8</v>
      </c>
      <c r="O149" s="22"/>
      <c r="V149"/>
      <c r="W149"/>
      <c r="X149"/>
      <c r="Y149"/>
      <c r="Z149"/>
    </row>
    <row r="150" spans="1:26" ht="16" customHeight="1" thickBot="1" x14ac:dyDescent="0.25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2" t="s">
        <v>774</v>
      </c>
      <c r="N150" s="52">
        <v>9</v>
      </c>
      <c r="O150" s="22"/>
      <c r="V150"/>
      <c r="W150"/>
      <c r="X150"/>
      <c r="Y150"/>
      <c r="Z150"/>
    </row>
    <row r="151" spans="1:26" ht="16" customHeight="1" thickBot="1" x14ac:dyDescent="0.25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" customHeight="1" thickBot="1" x14ac:dyDescent="0.25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7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" customHeight="1" x14ac:dyDescent="0.2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6" t="s">
        <v>884</v>
      </c>
      <c r="N153" s="50">
        <v>9</v>
      </c>
      <c r="O153" s="22"/>
      <c r="V153"/>
      <c r="W153"/>
      <c r="X153"/>
      <c r="Y153"/>
      <c r="Z153"/>
    </row>
    <row r="154" spans="1:26" ht="16" customHeight="1" x14ac:dyDescent="0.2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1" t="s">
        <v>885</v>
      </c>
      <c r="N154" s="51">
        <v>8</v>
      </c>
      <c r="O154" s="22"/>
      <c r="V154"/>
      <c r="W154"/>
      <c r="X154"/>
      <c r="Y154"/>
      <c r="Z154"/>
    </row>
    <row r="155" spans="1:26" ht="16" customHeight="1" x14ac:dyDescent="0.2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1" t="s">
        <v>886</v>
      </c>
      <c r="N155" s="51">
        <v>9.5</v>
      </c>
      <c r="O155" s="22"/>
      <c r="V155"/>
      <c r="W155"/>
      <c r="X155"/>
      <c r="Y155"/>
      <c r="Z155"/>
    </row>
    <row r="156" spans="1:26" ht="16" customHeight="1" x14ac:dyDescent="0.2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1" t="s">
        <v>887</v>
      </c>
      <c r="N156" s="51">
        <v>8.5</v>
      </c>
      <c r="O156" s="22"/>
      <c r="V156"/>
      <c r="W156"/>
      <c r="X156"/>
      <c r="Y156"/>
      <c r="Z156"/>
    </row>
    <row r="157" spans="1:26" ht="16" customHeight="1" x14ac:dyDescent="0.2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1" t="s">
        <v>922</v>
      </c>
      <c r="N157" s="51">
        <v>10.5</v>
      </c>
      <c r="O157" s="22"/>
      <c r="V157"/>
      <c r="W157"/>
      <c r="X157"/>
      <c r="Y157"/>
      <c r="Z157"/>
    </row>
    <row r="158" spans="1:26" ht="16" customHeight="1" thickBot="1" x14ac:dyDescent="0.25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1" t="s">
        <v>888</v>
      </c>
      <c r="N158" s="51">
        <v>8</v>
      </c>
      <c r="O158" s="22"/>
      <c r="V158"/>
      <c r="W158"/>
      <c r="X158"/>
      <c r="Y158"/>
      <c r="Z158"/>
    </row>
    <row r="159" spans="1:26" ht="16" customHeight="1" thickBot="1" x14ac:dyDescent="0.25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2" t="s">
        <v>889</v>
      </c>
      <c r="N159" s="52">
        <v>7.5</v>
      </c>
      <c r="O159" s="22"/>
      <c r="V159"/>
      <c r="W159"/>
      <c r="X159"/>
      <c r="Y159"/>
      <c r="Z159"/>
    </row>
    <row r="160" spans="1:26" ht="16" customHeight="1" thickBot="1" x14ac:dyDescent="0.25">
      <c r="A160" s="9" t="s">
        <v>826</v>
      </c>
      <c r="B160" s="52">
        <v>8.5</v>
      </c>
      <c r="C160" s="22"/>
      <c r="D160" s="130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" customHeight="1" thickBot="1" x14ac:dyDescent="0.25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1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" customHeight="1" thickBot="1" x14ac:dyDescent="0.25">
      <c r="A162" s="132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6" t="s">
        <v>938</v>
      </c>
      <c r="N162" s="50">
        <v>10</v>
      </c>
      <c r="O162" s="22"/>
      <c r="V162"/>
      <c r="W162"/>
      <c r="X162"/>
      <c r="Y162"/>
      <c r="Z162"/>
    </row>
    <row r="163" spans="1:26" ht="16" customHeight="1" thickBot="1" x14ac:dyDescent="0.25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1" t="s">
        <v>939</v>
      </c>
      <c r="N163" s="51">
        <v>9</v>
      </c>
      <c r="O163" s="22"/>
      <c r="V163"/>
      <c r="W163"/>
      <c r="X163"/>
      <c r="Y163"/>
      <c r="Z163"/>
    </row>
    <row r="164" spans="1:26" ht="16" customHeight="1" thickBot="1" x14ac:dyDescent="0.25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1" t="s">
        <v>940</v>
      </c>
      <c r="N164" s="51">
        <v>9</v>
      </c>
      <c r="O164" s="22"/>
      <c r="V164"/>
      <c r="W164"/>
      <c r="X164"/>
      <c r="Y164"/>
      <c r="Z164"/>
    </row>
    <row r="165" spans="1:26" ht="16" customHeight="1" thickBot="1" x14ac:dyDescent="0.25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3" t="s">
        <v>971</v>
      </c>
      <c r="H165" s="14">
        <f>ROUND(SUM(H166:H175)/COUNT(H166:H175), 2)</f>
        <v>8.67</v>
      </c>
      <c r="I165" s="22"/>
      <c r="J165" s="134" t="s">
        <v>984</v>
      </c>
      <c r="K165" s="14">
        <f>ROUND(SUM(K166:K173)/COUNT(K166:K173), 2)</f>
        <v>8.8800000000000008</v>
      </c>
      <c r="L165" s="4"/>
      <c r="M165" s="91" t="s">
        <v>941</v>
      </c>
      <c r="N165" s="51">
        <v>10</v>
      </c>
      <c r="O165" s="22"/>
      <c r="V165"/>
      <c r="W165"/>
      <c r="X165"/>
      <c r="Y165"/>
      <c r="Z165"/>
    </row>
    <row r="166" spans="1:26" ht="16" customHeight="1" x14ac:dyDescent="0.2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1" t="s">
        <v>942</v>
      </c>
      <c r="N166" s="51">
        <v>8.5</v>
      </c>
      <c r="O166" s="22"/>
      <c r="V166"/>
      <c r="W166"/>
      <c r="X166"/>
      <c r="Y166"/>
      <c r="Z166"/>
    </row>
    <row r="167" spans="1:26" ht="16" customHeight="1" x14ac:dyDescent="0.2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1" t="s">
        <v>943</v>
      </c>
      <c r="N167" s="51">
        <v>9.5</v>
      </c>
      <c r="O167" s="22"/>
      <c r="V167"/>
      <c r="W167"/>
      <c r="X167"/>
      <c r="Y167"/>
      <c r="Z167"/>
    </row>
    <row r="168" spans="1:26" ht="16" customHeight="1" x14ac:dyDescent="0.2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1" t="s">
        <v>944</v>
      </c>
      <c r="N168" s="51">
        <v>8</v>
      </c>
      <c r="O168" s="22"/>
      <c r="V168"/>
      <c r="W168"/>
      <c r="X168"/>
      <c r="Y168"/>
      <c r="Z168"/>
    </row>
    <row r="169" spans="1:26" ht="16" customHeight="1" thickBot="1" x14ac:dyDescent="0.25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1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1" t="s">
        <v>945</v>
      </c>
      <c r="N169" s="51">
        <v>9</v>
      </c>
      <c r="O169" s="22"/>
      <c r="V169"/>
      <c r="W169"/>
      <c r="X169"/>
      <c r="Y169"/>
      <c r="Z169"/>
    </row>
    <row r="170" spans="1:26" ht="16" customHeight="1" thickBot="1" x14ac:dyDescent="0.25">
      <c r="A170" s="9" t="s">
        <v>967</v>
      </c>
      <c r="B170" s="52">
        <v>8</v>
      </c>
      <c r="C170" s="4"/>
      <c r="D170" s="21"/>
      <c r="E170" s="21"/>
      <c r="F170" s="4"/>
      <c r="G170" s="91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1" t="s">
        <v>946</v>
      </c>
      <c r="N170" s="51">
        <v>8</v>
      </c>
      <c r="O170" s="22"/>
      <c r="V170"/>
      <c r="W170"/>
      <c r="X170"/>
      <c r="Y170"/>
      <c r="Z170"/>
    </row>
    <row r="171" spans="1:26" ht="16" customHeight="1" thickBot="1" x14ac:dyDescent="0.25">
      <c r="A171" s="21"/>
      <c r="B171" s="21"/>
      <c r="C171" s="22"/>
      <c r="D171" s="135" t="s">
        <v>994</v>
      </c>
      <c r="E171" s="14">
        <f>ROUND(SUM(E172:E183)/COUNT(E172:E183), 2)</f>
        <v>7.5</v>
      </c>
      <c r="F171" s="4"/>
      <c r="G171" s="91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1" t="s">
        <v>947</v>
      </c>
      <c r="N171" s="51">
        <v>8</v>
      </c>
      <c r="O171" s="22"/>
      <c r="V171"/>
      <c r="W171"/>
      <c r="X171"/>
      <c r="Y171"/>
      <c r="Z171"/>
    </row>
    <row r="172" spans="1:26" ht="16" customHeight="1" thickBot="1" x14ac:dyDescent="0.25">
      <c r="A172" s="137" t="s">
        <v>1008</v>
      </c>
      <c r="B172" s="14">
        <f>ROUND(SUM(B173:B183)/COUNT(B173:B183), 2)</f>
        <v>8.73</v>
      </c>
      <c r="C172" s="22"/>
      <c r="D172" s="136" t="s">
        <v>995</v>
      </c>
      <c r="E172" s="50">
        <v>8</v>
      </c>
      <c r="F172" s="4"/>
      <c r="G172" s="91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1" t="s">
        <v>948</v>
      </c>
      <c r="N172" s="51">
        <v>7.5</v>
      </c>
      <c r="O172" s="22"/>
      <c r="V172"/>
      <c r="W172"/>
      <c r="X172"/>
      <c r="Y172"/>
      <c r="Z172"/>
    </row>
    <row r="173" spans="1:26" ht="16" customHeight="1" thickBot="1" x14ac:dyDescent="0.25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1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1" t="s">
        <v>949</v>
      </c>
      <c r="N173" s="51">
        <v>8.5</v>
      </c>
      <c r="O173" s="22"/>
      <c r="V173"/>
      <c r="W173"/>
      <c r="X173"/>
      <c r="Y173"/>
      <c r="Z173"/>
    </row>
    <row r="174" spans="1:26" ht="16" customHeight="1" thickBot="1" x14ac:dyDescent="0.25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1" t="s">
        <v>980</v>
      </c>
      <c r="H174" s="51">
        <v>8.5</v>
      </c>
      <c r="I174" s="4"/>
      <c r="J174" s="19"/>
      <c r="K174" s="19"/>
      <c r="L174" s="4"/>
      <c r="M174" s="91" t="s">
        <v>950</v>
      </c>
      <c r="N174" s="51">
        <v>8.5</v>
      </c>
      <c r="O174" s="22"/>
      <c r="V174"/>
      <c r="W174"/>
      <c r="X174"/>
      <c r="Y174"/>
      <c r="Z174"/>
    </row>
    <row r="175" spans="1:26" ht="16" customHeight="1" thickBot="1" x14ac:dyDescent="0.25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2" t="s">
        <v>981</v>
      </c>
      <c r="H175" s="52">
        <v>7.5</v>
      </c>
      <c r="I175" s="22"/>
      <c r="J175" s="159" t="s">
        <v>1031</v>
      </c>
      <c r="K175" s="14">
        <f>ROUND(SUM(K176:K180)/COUNT(K176:K180), 2)</f>
        <v>9.3000000000000007</v>
      </c>
      <c r="L175" s="4"/>
      <c r="M175" s="91" t="s">
        <v>951</v>
      </c>
      <c r="N175" s="51">
        <v>9</v>
      </c>
      <c r="O175" s="22"/>
      <c r="V175"/>
      <c r="W175"/>
      <c r="X175"/>
      <c r="Y175"/>
      <c r="Z175"/>
    </row>
    <row r="176" spans="1:26" ht="16" customHeight="1" thickBot="1" x14ac:dyDescent="0.25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1032</v>
      </c>
      <c r="K176" s="50">
        <v>9</v>
      </c>
      <c r="L176" s="4"/>
      <c r="M176" s="91" t="s">
        <v>952</v>
      </c>
      <c r="N176" s="51">
        <v>7.5</v>
      </c>
      <c r="O176" s="22"/>
      <c r="V176"/>
      <c r="W176"/>
      <c r="X176"/>
      <c r="Y176"/>
      <c r="Z176"/>
    </row>
    <row r="177" spans="1:26" ht="16" customHeight="1" thickBot="1" x14ac:dyDescent="0.25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83" t="s">
        <v>1304</v>
      </c>
      <c r="H177" s="14">
        <f>ROUND(SUM(H178:H189)/COUNT(H178:H189), 2)</f>
        <v>8.5500000000000007</v>
      </c>
      <c r="I177" s="4"/>
      <c r="J177" s="6" t="s">
        <v>1033</v>
      </c>
      <c r="K177" s="51">
        <v>10</v>
      </c>
      <c r="L177" s="4"/>
      <c r="M177" s="91" t="s">
        <v>953</v>
      </c>
      <c r="N177" s="51">
        <v>7</v>
      </c>
      <c r="O177" s="22"/>
      <c r="V177"/>
      <c r="W177"/>
      <c r="X177"/>
      <c r="Y177"/>
      <c r="Z177"/>
    </row>
    <row r="178" spans="1:26" ht="16" customHeight="1" x14ac:dyDescent="0.2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6" t="s">
        <v>1037</v>
      </c>
      <c r="H178" s="50"/>
      <c r="I178" s="4"/>
      <c r="J178" s="6" t="s">
        <v>1034</v>
      </c>
      <c r="K178" s="51">
        <v>9</v>
      </c>
      <c r="L178" s="4"/>
      <c r="M178" s="91" t="s">
        <v>954</v>
      </c>
      <c r="N178" s="51">
        <v>7.5</v>
      </c>
      <c r="O178" s="22"/>
      <c r="V178"/>
      <c r="W178"/>
      <c r="X178"/>
      <c r="Y178"/>
      <c r="Z178"/>
    </row>
    <row r="179" spans="1:26" ht="16" customHeight="1" x14ac:dyDescent="0.2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1" t="s">
        <v>1038</v>
      </c>
      <c r="H179" s="51">
        <v>8.5</v>
      </c>
      <c r="I179" s="4"/>
      <c r="J179" s="6" t="s">
        <v>1035</v>
      </c>
      <c r="K179" s="51">
        <v>8</v>
      </c>
      <c r="L179" s="4"/>
      <c r="M179" s="91" t="s">
        <v>955</v>
      </c>
      <c r="N179" s="51">
        <v>7.5</v>
      </c>
      <c r="O179" s="22"/>
      <c r="V179"/>
      <c r="W179"/>
      <c r="X179"/>
      <c r="Y179"/>
      <c r="Z179"/>
    </row>
    <row r="180" spans="1:26" ht="16" customHeight="1" thickBot="1" x14ac:dyDescent="0.25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1" t="s">
        <v>1039</v>
      </c>
      <c r="H180" s="51">
        <v>9</v>
      </c>
      <c r="I180" s="4"/>
      <c r="J180" s="9" t="s">
        <v>1036</v>
      </c>
      <c r="K180" s="52">
        <v>10.5</v>
      </c>
      <c r="L180" s="4"/>
      <c r="M180" s="92" t="s">
        <v>956</v>
      </c>
      <c r="N180" s="52">
        <v>10.5</v>
      </c>
      <c r="O180" s="22"/>
      <c r="V180"/>
      <c r="W180"/>
      <c r="X180"/>
      <c r="Y180"/>
      <c r="Z180"/>
    </row>
    <row r="181" spans="1:26" ht="16" customHeight="1" thickBot="1" x14ac:dyDescent="0.25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1" t="s">
        <v>1040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" customHeight="1" thickBot="1" x14ac:dyDescent="0.25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1" t="s">
        <v>1041</v>
      </c>
      <c r="H182" s="51">
        <v>8.5</v>
      </c>
      <c r="I182" s="22"/>
      <c r="J182" s="160" t="s">
        <v>1056</v>
      </c>
      <c r="K182" s="14">
        <f>ROUND(SUM(K183:K187)/COUNT(K183:K187), 2)</f>
        <v>10</v>
      </c>
      <c r="L182" s="4"/>
      <c r="M182" s="140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" customHeight="1" thickBot="1" x14ac:dyDescent="0.25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1" t="s">
        <v>1042</v>
      </c>
      <c r="H183" s="51">
        <v>8</v>
      </c>
      <c r="I183" s="22"/>
      <c r="J183" s="13" t="s">
        <v>1051</v>
      </c>
      <c r="K183" s="50">
        <v>10.5</v>
      </c>
      <c r="L183" s="4"/>
      <c r="M183" s="138" t="s">
        <v>1020</v>
      </c>
      <c r="N183" s="139">
        <v>10.5</v>
      </c>
      <c r="O183" s="22"/>
      <c r="V183"/>
      <c r="W183"/>
      <c r="X183"/>
      <c r="Y183"/>
      <c r="Z183"/>
    </row>
    <row r="184" spans="1:26" ht="16" customHeight="1" thickBot="1" x14ac:dyDescent="0.25">
      <c r="A184" s="21"/>
      <c r="B184" s="21"/>
      <c r="C184" s="4"/>
      <c r="D184" s="21"/>
      <c r="E184" s="21"/>
      <c r="F184" s="4"/>
      <c r="G184" s="91" t="s">
        <v>1043</v>
      </c>
      <c r="H184" s="51">
        <v>7.5</v>
      </c>
      <c r="I184" s="22"/>
      <c r="J184" s="6" t="s">
        <v>1052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" customHeight="1" thickBot="1" x14ac:dyDescent="0.25">
      <c r="A185" s="165" t="s">
        <v>1168</v>
      </c>
      <c r="B185" s="14">
        <f>ROUND(SUM(B186:B194)/COUNT(B186:B194), 2)</f>
        <v>9</v>
      </c>
      <c r="C185" s="22"/>
      <c r="D185" s="168" t="s">
        <v>1182</v>
      </c>
      <c r="E185" s="14">
        <f>ROUND(SUM(E186:E198)/COUNT(E186:E198), 2)</f>
        <v>8.4600000000000009</v>
      </c>
      <c r="F185" s="4"/>
      <c r="G185" s="91" t="s">
        <v>1044</v>
      </c>
      <c r="H185" s="51">
        <v>8</v>
      </c>
      <c r="I185" s="22"/>
      <c r="J185" s="6" t="s">
        <v>1053</v>
      </c>
      <c r="K185" s="51">
        <v>10</v>
      </c>
      <c r="L185" s="22"/>
      <c r="M185" s="209" t="s">
        <v>1595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" customHeight="1" x14ac:dyDescent="0.2">
      <c r="A186" s="13" t="s">
        <v>1169</v>
      </c>
      <c r="B186" s="50">
        <v>9.5</v>
      </c>
      <c r="C186" s="4"/>
      <c r="D186" s="13" t="s">
        <v>1183</v>
      </c>
      <c r="E186" s="50">
        <v>9</v>
      </c>
      <c r="F186" s="4"/>
      <c r="G186" s="91" t="s">
        <v>1045</v>
      </c>
      <c r="H186" s="51">
        <v>9.5</v>
      </c>
      <c r="I186" s="22"/>
      <c r="J186" s="6" t="s">
        <v>1054</v>
      </c>
      <c r="K186" s="51">
        <v>10.5</v>
      </c>
      <c r="L186" s="4"/>
      <c r="M186" s="96" t="s">
        <v>1200</v>
      </c>
      <c r="N186" s="50">
        <v>8</v>
      </c>
      <c r="O186" s="22"/>
      <c r="V186"/>
      <c r="W186"/>
      <c r="X186"/>
      <c r="Y186"/>
      <c r="Z186"/>
    </row>
    <row r="187" spans="1:26" ht="16" customHeight="1" thickBot="1" x14ac:dyDescent="0.25">
      <c r="A187" s="6" t="s">
        <v>1170</v>
      </c>
      <c r="B187" s="51">
        <v>9</v>
      </c>
      <c r="C187" s="4"/>
      <c r="D187" s="6" t="s">
        <v>1184</v>
      </c>
      <c r="E187" s="51">
        <v>8</v>
      </c>
      <c r="F187" s="4"/>
      <c r="G187" s="91" t="s">
        <v>1046</v>
      </c>
      <c r="H187" s="51">
        <v>10</v>
      </c>
      <c r="I187" s="22"/>
      <c r="J187" s="9" t="s">
        <v>1055</v>
      </c>
      <c r="K187" s="52">
        <v>10</v>
      </c>
      <c r="L187" s="4"/>
      <c r="M187" s="91" t="s">
        <v>1201</v>
      </c>
      <c r="N187" s="51">
        <v>8.5</v>
      </c>
      <c r="O187" s="22"/>
      <c r="V187"/>
      <c r="W187"/>
      <c r="X187"/>
      <c r="Y187"/>
      <c r="Z187"/>
    </row>
    <row r="188" spans="1:26" ht="16" customHeight="1" thickBot="1" x14ac:dyDescent="0.25">
      <c r="A188" s="6" t="s">
        <v>1171</v>
      </c>
      <c r="B188" s="51">
        <v>10</v>
      </c>
      <c r="C188" s="4"/>
      <c r="D188" s="6" t="s">
        <v>1185</v>
      </c>
      <c r="E188" s="51">
        <v>10</v>
      </c>
      <c r="F188" s="4"/>
      <c r="G188" s="91" t="s">
        <v>1047</v>
      </c>
      <c r="H188" s="51">
        <v>8.5</v>
      </c>
      <c r="I188" s="4"/>
      <c r="J188" s="21"/>
      <c r="K188" s="21"/>
      <c r="L188" s="4"/>
      <c r="M188" s="91" t="s">
        <v>1202</v>
      </c>
      <c r="N188" s="51">
        <v>10</v>
      </c>
      <c r="O188" s="22"/>
      <c r="V188"/>
      <c r="W188"/>
      <c r="X188"/>
      <c r="Y188"/>
      <c r="Z188"/>
    </row>
    <row r="189" spans="1:26" ht="16" customHeight="1" thickBot="1" x14ac:dyDescent="0.25">
      <c r="A189" s="6" t="s">
        <v>1172</v>
      </c>
      <c r="B189" s="51">
        <v>10.5</v>
      </c>
      <c r="C189" s="4"/>
      <c r="D189" s="6" t="s">
        <v>1186</v>
      </c>
      <c r="E189" s="51">
        <v>7.5</v>
      </c>
      <c r="F189" s="4"/>
      <c r="G189" s="92" t="s">
        <v>1048</v>
      </c>
      <c r="H189" s="52">
        <v>8.5</v>
      </c>
      <c r="I189" s="22"/>
      <c r="J189" s="173" t="s">
        <v>1232</v>
      </c>
      <c r="K189" s="14">
        <f>ROUND(SUM(K190:K197)/COUNT(K190:K197), 2)</f>
        <v>7.71</v>
      </c>
      <c r="L189" s="4"/>
      <c r="M189" s="91" t="s">
        <v>1203</v>
      </c>
      <c r="N189" s="51"/>
      <c r="O189" s="22"/>
      <c r="V189"/>
      <c r="W189"/>
      <c r="X189"/>
      <c r="Y189"/>
      <c r="Z189"/>
    </row>
    <row r="190" spans="1:26" ht="16" customHeight="1" thickBot="1" x14ac:dyDescent="0.25">
      <c r="A190" s="6" t="s">
        <v>1173</v>
      </c>
      <c r="B190" s="51">
        <v>8</v>
      </c>
      <c r="C190" s="4"/>
      <c r="D190" s="6" t="s">
        <v>1187</v>
      </c>
      <c r="E190" s="51">
        <v>7</v>
      </c>
      <c r="F190" s="4"/>
      <c r="G190" s="21"/>
      <c r="H190" s="21"/>
      <c r="I190" s="4"/>
      <c r="J190" s="13" t="s">
        <v>1233</v>
      </c>
      <c r="K190" s="50"/>
      <c r="L190" s="4"/>
      <c r="M190" s="91" t="s">
        <v>1204</v>
      </c>
      <c r="N190" s="51">
        <v>10.5</v>
      </c>
      <c r="O190" s="22"/>
      <c r="V190"/>
      <c r="W190"/>
      <c r="X190"/>
      <c r="Y190"/>
      <c r="Z190"/>
    </row>
    <row r="191" spans="1:26" ht="16" customHeight="1" thickBot="1" x14ac:dyDescent="0.25">
      <c r="A191" s="6" t="s">
        <v>1174</v>
      </c>
      <c r="B191" s="51">
        <v>8.5</v>
      </c>
      <c r="C191" s="4"/>
      <c r="D191" s="6" t="s">
        <v>1188</v>
      </c>
      <c r="E191" s="51">
        <v>9.5</v>
      </c>
      <c r="F191" s="22"/>
      <c r="G191" s="178" t="s">
        <v>1245</v>
      </c>
      <c r="H191" s="14">
        <f>ROUND(SUM(H192:H200)/COUNT(H192:H200), 2)</f>
        <v>8.83</v>
      </c>
      <c r="I191" s="4"/>
      <c r="J191" s="6" t="s">
        <v>1234</v>
      </c>
      <c r="K191" s="51">
        <v>7</v>
      </c>
      <c r="L191" s="4"/>
      <c r="M191" s="91" t="s">
        <v>1205</v>
      </c>
      <c r="N191" s="51">
        <v>10</v>
      </c>
      <c r="O191" s="22"/>
      <c r="V191"/>
      <c r="W191"/>
      <c r="X191"/>
      <c r="Y191"/>
      <c r="Z191"/>
    </row>
    <row r="192" spans="1:26" ht="16" customHeight="1" x14ac:dyDescent="0.2">
      <c r="A192" s="6" t="s">
        <v>1175</v>
      </c>
      <c r="B192" s="51">
        <v>8</v>
      </c>
      <c r="C192" s="4"/>
      <c r="D192" s="6" t="s">
        <v>1189</v>
      </c>
      <c r="E192" s="51">
        <v>8</v>
      </c>
      <c r="F192" s="4"/>
      <c r="G192" s="96" t="s">
        <v>1246</v>
      </c>
      <c r="H192" s="50">
        <v>9</v>
      </c>
      <c r="I192" s="4"/>
      <c r="J192" s="6" t="s">
        <v>1235</v>
      </c>
      <c r="K192" s="51">
        <v>7.5</v>
      </c>
      <c r="L192" s="4"/>
      <c r="M192" s="91" t="s">
        <v>1206</v>
      </c>
      <c r="N192" s="51">
        <v>9</v>
      </c>
      <c r="O192" s="22"/>
      <c r="V192"/>
      <c r="W192"/>
      <c r="X192"/>
      <c r="Y192"/>
      <c r="Z192"/>
    </row>
    <row r="193" spans="1:26" ht="16" customHeight="1" x14ac:dyDescent="0.2">
      <c r="A193" s="6" t="s">
        <v>1176</v>
      </c>
      <c r="B193" s="51">
        <v>9.5</v>
      </c>
      <c r="C193" s="4"/>
      <c r="D193" s="6" t="s">
        <v>1190</v>
      </c>
      <c r="E193" s="51">
        <v>7.5</v>
      </c>
      <c r="F193" s="4"/>
      <c r="G193" s="91" t="s">
        <v>1247</v>
      </c>
      <c r="H193" s="51">
        <v>8.5</v>
      </c>
      <c r="I193" s="4"/>
      <c r="J193" s="6" t="s">
        <v>1236</v>
      </c>
      <c r="K193" s="51">
        <v>8</v>
      </c>
      <c r="L193" s="4"/>
      <c r="M193" s="91" t="s">
        <v>1207</v>
      </c>
      <c r="N193" s="51">
        <v>9</v>
      </c>
      <c r="O193" s="22"/>
      <c r="V193"/>
      <c r="W193"/>
      <c r="X193"/>
      <c r="Y193"/>
      <c r="Z193"/>
    </row>
    <row r="194" spans="1:26" ht="16" customHeight="1" thickBot="1" x14ac:dyDescent="0.25">
      <c r="A194" s="9" t="s">
        <v>1177</v>
      </c>
      <c r="B194" s="52">
        <v>8</v>
      </c>
      <c r="C194" s="4"/>
      <c r="D194" s="6" t="s">
        <v>1191</v>
      </c>
      <c r="E194" s="51">
        <v>10</v>
      </c>
      <c r="F194" s="4"/>
      <c r="G194" s="91" t="s">
        <v>1248</v>
      </c>
      <c r="H194" s="51">
        <v>8.5</v>
      </c>
      <c r="I194" s="4"/>
      <c r="J194" s="6" t="s">
        <v>1237</v>
      </c>
      <c r="K194" s="51">
        <v>7.5</v>
      </c>
      <c r="L194" s="4"/>
      <c r="M194" s="91" t="s">
        <v>1208</v>
      </c>
      <c r="N194" s="51">
        <v>8.5</v>
      </c>
      <c r="O194" s="22"/>
      <c r="V194"/>
      <c r="W194"/>
      <c r="X194"/>
      <c r="Y194"/>
      <c r="Z194"/>
    </row>
    <row r="195" spans="1:26" ht="16" customHeight="1" thickBot="1" x14ac:dyDescent="0.25">
      <c r="A195" s="21"/>
      <c r="B195" s="21"/>
      <c r="C195" s="4"/>
      <c r="D195" s="6" t="s">
        <v>1192</v>
      </c>
      <c r="E195" s="51">
        <v>8</v>
      </c>
      <c r="F195" s="4"/>
      <c r="G195" s="91" t="s">
        <v>1249</v>
      </c>
      <c r="H195" s="51">
        <v>10</v>
      </c>
      <c r="I195" s="4"/>
      <c r="J195" s="6" t="s">
        <v>1238</v>
      </c>
      <c r="K195" s="51">
        <v>8.5</v>
      </c>
      <c r="L195" s="4"/>
      <c r="M195" s="91" t="s">
        <v>1209</v>
      </c>
      <c r="N195" s="51">
        <v>8</v>
      </c>
      <c r="O195" s="22"/>
      <c r="V195"/>
      <c r="W195"/>
      <c r="X195"/>
      <c r="Y195"/>
      <c r="Z195"/>
    </row>
    <row r="196" spans="1:26" ht="16" customHeight="1" thickBot="1" x14ac:dyDescent="0.25">
      <c r="A196" s="184" t="s">
        <v>1270</v>
      </c>
      <c r="B196" s="14">
        <f>ROUND(SUM(B197:B211)/COUNT(B197:B211), 2)</f>
        <v>8.57</v>
      </c>
      <c r="C196" s="4"/>
      <c r="D196" s="6" t="s">
        <v>1193</v>
      </c>
      <c r="E196" s="51">
        <v>7</v>
      </c>
      <c r="F196" s="4"/>
      <c r="G196" s="91" t="s">
        <v>1250</v>
      </c>
      <c r="H196" s="51">
        <v>8</v>
      </c>
      <c r="I196" s="4"/>
      <c r="J196" s="6" t="s">
        <v>1239</v>
      </c>
      <c r="K196" s="51">
        <v>8</v>
      </c>
      <c r="L196" s="4"/>
      <c r="M196" s="91" t="s">
        <v>1210</v>
      </c>
      <c r="N196" s="51">
        <v>10.5</v>
      </c>
      <c r="O196" s="22"/>
      <c r="V196"/>
      <c r="W196"/>
      <c r="X196"/>
      <c r="Y196"/>
      <c r="Z196"/>
    </row>
    <row r="197" spans="1:26" ht="16" customHeight="1" thickBot="1" x14ac:dyDescent="0.25">
      <c r="A197" s="176">
        <v>360</v>
      </c>
      <c r="B197" s="50">
        <v>10</v>
      </c>
      <c r="C197" s="4"/>
      <c r="D197" s="6" t="s">
        <v>1194</v>
      </c>
      <c r="E197" s="51"/>
      <c r="F197" s="4"/>
      <c r="G197" s="91" t="s">
        <v>1251</v>
      </c>
      <c r="H197" s="51">
        <v>10.5</v>
      </c>
      <c r="I197" s="4"/>
      <c r="J197" s="9" t="s">
        <v>1240</v>
      </c>
      <c r="K197" s="52">
        <v>7.5</v>
      </c>
      <c r="L197" s="4"/>
      <c r="M197" s="91" t="s">
        <v>1211</v>
      </c>
      <c r="N197" s="51">
        <v>8.5</v>
      </c>
      <c r="O197" s="22"/>
      <c r="V197"/>
      <c r="W197"/>
      <c r="X197"/>
      <c r="Y197"/>
      <c r="Z197"/>
    </row>
    <row r="198" spans="1:26" ht="16" customHeight="1" thickBot="1" x14ac:dyDescent="0.25">
      <c r="A198" s="91" t="s">
        <v>1257</v>
      </c>
      <c r="B198" s="51">
        <v>8.5</v>
      </c>
      <c r="C198" s="4"/>
      <c r="D198" s="9" t="s">
        <v>1195</v>
      </c>
      <c r="E198" s="52">
        <v>10</v>
      </c>
      <c r="F198" s="4"/>
      <c r="G198" s="91" t="s">
        <v>1252</v>
      </c>
      <c r="H198" s="51">
        <v>8</v>
      </c>
      <c r="I198" s="4"/>
      <c r="J198" s="21"/>
      <c r="K198" s="21"/>
      <c r="L198" s="4"/>
      <c r="M198" s="91" t="s">
        <v>1212</v>
      </c>
      <c r="N198" s="51">
        <v>9</v>
      </c>
      <c r="O198" s="22"/>
      <c r="V198"/>
      <c r="W198"/>
      <c r="X198"/>
      <c r="Y198"/>
      <c r="Z198"/>
    </row>
    <row r="199" spans="1:26" ht="16" customHeight="1" thickBot="1" x14ac:dyDescent="0.25">
      <c r="A199" s="91" t="s">
        <v>1258</v>
      </c>
      <c r="B199" s="51">
        <v>8.5</v>
      </c>
      <c r="C199" s="4"/>
      <c r="D199" s="21"/>
      <c r="E199" s="21"/>
      <c r="F199" s="4"/>
      <c r="G199" s="91" t="s">
        <v>1253</v>
      </c>
      <c r="H199" s="51">
        <v>8.5</v>
      </c>
      <c r="I199" s="22"/>
      <c r="J199" s="179" t="s">
        <v>1277</v>
      </c>
      <c r="K199" s="14">
        <f>ROUND(SUM(K200:K206)/COUNT(K200:K206), 2)</f>
        <v>8.75</v>
      </c>
      <c r="L199" s="4"/>
      <c r="M199" s="91" t="s">
        <v>1213</v>
      </c>
      <c r="N199" s="51">
        <v>8</v>
      </c>
      <c r="O199" s="22"/>
      <c r="V199"/>
      <c r="W199"/>
      <c r="X199"/>
      <c r="Y199"/>
      <c r="Z199"/>
    </row>
    <row r="200" spans="1:26" ht="16" customHeight="1" thickBot="1" x14ac:dyDescent="0.25">
      <c r="A200" s="91" t="s">
        <v>1259</v>
      </c>
      <c r="B200" s="51">
        <v>7.5</v>
      </c>
      <c r="C200" s="22"/>
      <c r="D200" s="182" t="s">
        <v>1303</v>
      </c>
      <c r="E200" s="14">
        <f>ROUND(SUM(E201:E210)/COUNT(E201:E210), 2)</f>
        <v>9.36</v>
      </c>
      <c r="F200" s="4"/>
      <c r="G200" s="92" t="s">
        <v>1254</v>
      </c>
      <c r="H200" s="52">
        <v>8.5</v>
      </c>
      <c r="I200" s="4"/>
      <c r="J200" s="13" t="s">
        <v>1278</v>
      </c>
      <c r="K200" s="50">
        <v>10</v>
      </c>
      <c r="L200" s="4"/>
      <c r="M200" s="91" t="s">
        <v>1214</v>
      </c>
      <c r="N200" s="51">
        <v>9</v>
      </c>
      <c r="O200" s="22"/>
      <c r="V200"/>
      <c r="W200"/>
      <c r="X200"/>
      <c r="Y200"/>
      <c r="Z200"/>
    </row>
    <row r="201" spans="1:26" ht="16" customHeight="1" thickBot="1" x14ac:dyDescent="0.25">
      <c r="A201" s="91" t="s">
        <v>1260</v>
      </c>
      <c r="B201" s="51">
        <v>8</v>
      </c>
      <c r="C201" s="22"/>
      <c r="D201" s="13" t="s">
        <v>1293</v>
      </c>
      <c r="E201" s="50">
        <v>9</v>
      </c>
      <c r="F201" s="4"/>
      <c r="G201" s="21"/>
      <c r="H201" s="21"/>
      <c r="I201" s="4"/>
      <c r="J201" s="6" t="s">
        <v>1279</v>
      </c>
      <c r="K201" s="51">
        <v>8</v>
      </c>
      <c r="L201" s="4"/>
      <c r="M201" s="91" t="s">
        <v>1215</v>
      </c>
      <c r="N201" s="51">
        <v>6</v>
      </c>
      <c r="O201" s="22"/>
      <c r="V201"/>
      <c r="W201"/>
      <c r="X201"/>
      <c r="Y201"/>
      <c r="Z201"/>
    </row>
    <row r="202" spans="1:26" ht="16" customHeight="1" thickBot="1" x14ac:dyDescent="0.25">
      <c r="A202" s="91" t="s">
        <v>1261</v>
      </c>
      <c r="B202" s="51">
        <v>10</v>
      </c>
      <c r="C202" s="22"/>
      <c r="D202" s="6" t="s">
        <v>1294</v>
      </c>
      <c r="E202" s="51">
        <v>10.5</v>
      </c>
      <c r="F202" s="22"/>
      <c r="G202" s="185" t="s">
        <v>1308</v>
      </c>
      <c r="H202" s="14">
        <f>ROUND(SUM(H203:H213)/COUNT(H203:H213), 2)</f>
        <v>8.4499999999999993</v>
      </c>
      <c r="I202" s="4"/>
      <c r="J202" s="6" t="s">
        <v>1280</v>
      </c>
      <c r="K202" s="51">
        <v>9.5</v>
      </c>
      <c r="L202" s="4"/>
      <c r="M202" s="91" t="s">
        <v>1216</v>
      </c>
      <c r="N202" s="51">
        <v>7</v>
      </c>
      <c r="O202" s="22"/>
      <c r="V202"/>
      <c r="W202"/>
      <c r="X202"/>
      <c r="Y202"/>
      <c r="Z202"/>
    </row>
    <row r="203" spans="1:26" ht="16" customHeight="1" x14ac:dyDescent="0.2">
      <c r="A203" s="91" t="s">
        <v>1262</v>
      </c>
      <c r="B203" s="51">
        <v>8</v>
      </c>
      <c r="C203" s="22"/>
      <c r="D203" s="6" t="s">
        <v>1295</v>
      </c>
      <c r="E203" s="51"/>
      <c r="F203" s="4"/>
      <c r="G203" s="96" t="s">
        <v>1309</v>
      </c>
      <c r="H203" s="50">
        <v>8.5</v>
      </c>
      <c r="I203" s="4"/>
      <c r="J203" s="6" t="s">
        <v>1281</v>
      </c>
      <c r="K203" s="51">
        <v>8</v>
      </c>
      <c r="L203" s="4"/>
      <c r="M203" s="91" t="s">
        <v>1217</v>
      </c>
      <c r="N203" s="51">
        <v>10</v>
      </c>
      <c r="O203" s="22"/>
      <c r="V203"/>
      <c r="W203"/>
      <c r="X203"/>
      <c r="Y203"/>
      <c r="Z203"/>
    </row>
    <row r="204" spans="1:26" ht="16" customHeight="1" x14ac:dyDescent="0.2">
      <c r="A204" s="91" t="s">
        <v>1263</v>
      </c>
      <c r="B204" s="51">
        <v>8.5</v>
      </c>
      <c r="C204" s="22"/>
      <c r="D204" s="6" t="s">
        <v>1296</v>
      </c>
      <c r="E204" s="51">
        <v>10</v>
      </c>
      <c r="F204" s="4"/>
      <c r="G204" s="91" t="s">
        <v>1310</v>
      </c>
      <c r="H204" s="51">
        <v>8.5</v>
      </c>
      <c r="I204" s="4"/>
      <c r="J204" s="6" t="s">
        <v>1282</v>
      </c>
      <c r="K204" s="51">
        <v>9</v>
      </c>
      <c r="L204" s="4"/>
      <c r="M204" s="91" t="s">
        <v>1218</v>
      </c>
      <c r="N204" s="51">
        <v>9</v>
      </c>
      <c r="O204" s="22"/>
      <c r="V204"/>
      <c r="W204"/>
      <c r="X204"/>
      <c r="Y204"/>
      <c r="Z204"/>
    </row>
    <row r="205" spans="1:26" ht="16" customHeight="1" x14ac:dyDescent="0.2">
      <c r="A205" s="91" t="s">
        <v>1264</v>
      </c>
      <c r="B205" s="51">
        <v>7.5</v>
      </c>
      <c r="C205" s="22"/>
      <c r="D205" s="6" t="s">
        <v>1297</v>
      </c>
      <c r="E205" s="51"/>
      <c r="F205" s="4"/>
      <c r="G205" s="91" t="s">
        <v>1311</v>
      </c>
      <c r="H205" s="51">
        <v>9</v>
      </c>
      <c r="I205" s="4"/>
      <c r="J205" s="6" t="s">
        <v>1283</v>
      </c>
      <c r="K205" s="51"/>
      <c r="L205" s="4"/>
      <c r="M205" s="91" t="s">
        <v>1219</v>
      </c>
      <c r="N205" s="51">
        <v>8.5</v>
      </c>
      <c r="O205" s="22"/>
      <c r="V205"/>
      <c r="W205"/>
      <c r="X205"/>
      <c r="Y205"/>
      <c r="Z205"/>
    </row>
    <row r="206" spans="1:26" ht="16" customHeight="1" thickBot="1" x14ac:dyDescent="0.25">
      <c r="A206" s="91" t="s">
        <v>1265</v>
      </c>
      <c r="B206" s="51">
        <v>8.5</v>
      </c>
      <c r="C206" s="22"/>
      <c r="D206" s="6" t="s">
        <v>1298</v>
      </c>
      <c r="E206" s="51">
        <v>10</v>
      </c>
      <c r="F206" s="4"/>
      <c r="G206" s="91" t="s">
        <v>1312</v>
      </c>
      <c r="H206" s="51">
        <v>10</v>
      </c>
      <c r="I206" s="4"/>
      <c r="J206" s="9" t="s">
        <v>1284</v>
      </c>
      <c r="K206" s="52">
        <v>8</v>
      </c>
      <c r="L206" s="4"/>
      <c r="M206" s="91" t="s">
        <v>1220</v>
      </c>
      <c r="N206" s="51">
        <v>8.5</v>
      </c>
      <c r="O206" s="22"/>
      <c r="V206"/>
      <c r="W206"/>
      <c r="X206"/>
      <c r="Y206"/>
      <c r="Z206"/>
    </row>
    <row r="207" spans="1:26" ht="16" customHeight="1" thickBot="1" x14ac:dyDescent="0.25">
      <c r="A207" s="91" t="s">
        <v>1266</v>
      </c>
      <c r="B207" s="51">
        <v>10.5</v>
      </c>
      <c r="C207" s="22"/>
      <c r="D207" s="6" t="s">
        <v>1299</v>
      </c>
      <c r="E207" s="51">
        <v>7.5</v>
      </c>
      <c r="F207" s="4"/>
      <c r="G207" s="91" t="s">
        <v>1313</v>
      </c>
      <c r="H207" s="51">
        <v>9</v>
      </c>
      <c r="I207" s="4"/>
      <c r="J207" s="21"/>
      <c r="K207" s="21"/>
      <c r="L207" s="4"/>
      <c r="M207" s="91" t="s">
        <v>1221</v>
      </c>
      <c r="N207" s="51">
        <v>8.5</v>
      </c>
      <c r="O207" s="22"/>
      <c r="V207"/>
      <c r="W207"/>
      <c r="X207"/>
      <c r="Y207"/>
      <c r="Z207"/>
    </row>
    <row r="208" spans="1:26" ht="16" customHeight="1" thickBot="1" x14ac:dyDescent="0.25">
      <c r="A208" s="91" t="s">
        <v>1267</v>
      </c>
      <c r="B208" s="51">
        <v>9</v>
      </c>
      <c r="C208" s="22"/>
      <c r="D208" s="6" t="s">
        <v>1300</v>
      </c>
      <c r="E208" s="51">
        <v>8</v>
      </c>
      <c r="F208" s="4"/>
      <c r="G208" s="91" t="s">
        <v>1314</v>
      </c>
      <c r="H208" s="51">
        <v>8.5</v>
      </c>
      <c r="I208" s="22"/>
      <c r="J208" s="193" t="s">
        <v>1398</v>
      </c>
      <c r="K208" s="14">
        <f>ROUND(SUM(K209:K217)/COUNT(K209:K217), 2)</f>
        <v>8.67</v>
      </c>
      <c r="L208" s="4"/>
      <c r="M208" s="91" t="s">
        <v>1222</v>
      </c>
      <c r="N208" s="51">
        <v>8</v>
      </c>
      <c r="O208" s="22"/>
      <c r="V208"/>
      <c r="W208"/>
      <c r="X208"/>
      <c r="Y208"/>
      <c r="Z208"/>
    </row>
    <row r="209" spans="1:26" ht="16" customHeight="1" thickBot="1" x14ac:dyDescent="0.25">
      <c r="A209" s="91" t="s">
        <v>1268</v>
      </c>
      <c r="B209" s="51">
        <v>8.5</v>
      </c>
      <c r="C209" s="22"/>
      <c r="D209" s="6" t="s">
        <v>1301</v>
      </c>
      <c r="E209" s="51">
        <v>10.5</v>
      </c>
      <c r="F209" s="4"/>
      <c r="G209" s="91" t="s">
        <v>1315</v>
      </c>
      <c r="H209" s="51">
        <v>9</v>
      </c>
      <c r="I209" s="4"/>
      <c r="J209" s="13" t="s">
        <v>1322</v>
      </c>
      <c r="K209" s="50">
        <v>9</v>
      </c>
      <c r="L209" s="4"/>
      <c r="M209" s="92" t="s">
        <v>1223</v>
      </c>
      <c r="N209" s="52">
        <v>8.5</v>
      </c>
      <c r="O209" s="22"/>
      <c r="V209"/>
      <c r="W209"/>
      <c r="X209"/>
      <c r="Y209"/>
      <c r="Z209"/>
    </row>
    <row r="210" spans="1:26" ht="16" customHeight="1" thickBot="1" x14ac:dyDescent="0.25">
      <c r="A210" s="91" t="s">
        <v>1269</v>
      </c>
      <c r="B210" s="51">
        <v>6.5</v>
      </c>
      <c r="C210" s="22"/>
      <c r="D210" s="9" t="s">
        <v>1302</v>
      </c>
      <c r="E210" s="52"/>
      <c r="F210" s="4"/>
      <c r="G210" s="91" t="s">
        <v>1316</v>
      </c>
      <c r="H210" s="51">
        <v>8</v>
      </c>
      <c r="I210" s="4"/>
      <c r="J210" s="6" t="s">
        <v>1323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" customHeight="1" thickBot="1" x14ac:dyDescent="0.25">
      <c r="A211" s="177">
        <v>365</v>
      </c>
      <c r="B211" s="52">
        <v>9</v>
      </c>
      <c r="C211" s="4"/>
      <c r="D211" s="21"/>
      <c r="E211" s="21"/>
      <c r="F211" s="4"/>
      <c r="G211" s="91" t="s">
        <v>1317</v>
      </c>
      <c r="H211" s="51">
        <v>7.5</v>
      </c>
      <c r="I211" s="4"/>
      <c r="J211" s="6" t="s">
        <v>1324</v>
      </c>
      <c r="K211" s="51">
        <v>10.5</v>
      </c>
      <c r="L211" s="22"/>
      <c r="M211" s="188" t="s">
        <v>1356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" customHeight="1" thickBot="1" x14ac:dyDescent="0.25">
      <c r="A212" s="21"/>
      <c r="B212" s="21"/>
      <c r="C212" s="4"/>
      <c r="D212" s="190" t="s">
        <v>1360</v>
      </c>
      <c r="E212" s="14">
        <f>ROUND(SUM(E213:E226)/COUNT(E213:E226), 2)</f>
        <v>8.77</v>
      </c>
      <c r="F212" s="4"/>
      <c r="G212" s="91" t="s">
        <v>1318</v>
      </c>
      <c r="H212" s="51">
        <v>8</v>
      </c>
      <c r="I212" s="4"/>
      <c r="J212" s="6" t="s">
        <v>1325</v>
      </c>
      <c r="K212" s="51">
        <v>7.5</v>
      </c>
      <c r="L212" s="4"/>
      <c r="M212" s="96" t="s">
        <v>1341</v>
      </c>
      <c r="N212" s="50">
        <v>8</v>
      </c>
      <c r="O212" s="22"/>
      <c r="V212"/>
      <c r="W212"/>
      <c r="X212"/>
      <c r="Y212"/>
      <c r="Z212"/>
    </row>
    <row r="213" spans="1:26" ht="16" customHeight="1" thickBot="1" x14ac:dyDescent="0.25">
      <c r="A213" s="191" t="s">
        <v>1375</v>
      </c>
      <c r="B213" s="14">
        <f>ROUND(SUM(B214:B224)/COUNT(B214:B224), 2)</f>
        <v>8.86</v>
      </c>
      <c r="C213" s="4"/>
      <c r="D213" s="13" t="s">
        <v>1361</v>
      </c>
      <c r="E213" s="50">
        <v>9</v>
      </c>
      <c r="F213" s="4"/>
      <c r="G213" s="92" t="s">
        <v>1319</v>
      </c>
      <c r="H213" s="52">
        <v>7</v>
      </c>
      <c r="I213" s="4"/>
      <c r="J213" s="6" t="s">
        <v>1326</v>
      </c>
      <c r="K213" s="51">
        <v>9</v>
      </c>
      <c r="L213" s="4"/>
      <c r="M213" s="91" t="s">
        <v>1342</v>
      </c>
      <c r="N213" s="51">
        <v>7.5</v>
      </c>
      <c r="O213" s="22"/>
      <c r="V213"/>
      <c r="W213"/>
      <c r="X213"/>
      <c r="Y213"/>
      <c r="Z213"/>
    </row>
    <row r="214" spans="1:26" ht="16" customHeight="1" thickBot="1" x14ac:dyDescent="0.25">
      <c r="A214" s="96" t="s">
        <v>1376</v>
      </c>
      <c r="B214" s="50">
        <v>8.5</v>
      </c>
      <c r="C214" s="4"/>
      <c r="D214" s="6" t="s">
        <v>1362</v>
      </c>
      <c r="E214" s="51">
        <v>10</v>
      </c>
      <c r="F214" s="4"/>
      <c r="G214" s="21"/>
      <c r="H214" s="21"/>
      <c r="I214" s="4"/>
      <c r="J214" s="6" t="s">
        <v>1327</v>
      </c>
      <c r="K214" s="51">
        <v>7</v>
      </c>
      <c r="L214" s="4"/>
      <c r="M214" s="91" t="s">
        <v>1343</v>
      </c>
      <c r="N214" s="51">
        <v>9</v>
      </c>
      <c r="O214" s="22"/>
      <c r="V214"/>
      <c r="W214"/>
      <c r="X214"/>
      <c r="Y214"/>
      <c r="Z214"/>
    </row>
    <row r="215" spans="1:26" ht="16" customHeight="1" thickBot="1" x14ac:dyDescent="0.25">
      <c r="A215" s="91" t="s">
        <v>1377</v>
      </c>
      <c r="B215" s="51">
        <v>10</v>
      </c>
      <c r="C215" s="4"/>
      <c r="D215" s="6" t="s">
        <v>1363</v>
      </c>
      <c r="E215" s="51">
        <v>9.5</v>
      </c>
      <c r="F215" s="22"/>
      <c r="G215" s="200" t="s">
        <v>1399</v>
      </c>
      <c r="H215" s="14">
        <f>ROUND(SUM(H216:H227)/COUNT(H216:H227), 2)</f>
        <v>8.4600000000000009</v>
      </c>
      <c r="I215" s="4"/>
      <c r="J215" s="6" t="s">
        <v>1328</v>
      </c>
      <c r="K215" s="51">
        <v>8</v>
      </c>
      <c r="L215" s="4"/>
      <c r="M215" s="91" t="s">
        <v>1344</v>
      </c>
      <c r="N215" s="51"/>
      <c r="O215" s="22"/>
      <c r="V215"/>
      <c r="W215"/>
      <c r="X215"/>
      <c r="Y215"/>
      <c r="Z215"/>
    </row>
    <row r="216" spans="1:26" ht="16" customHeight="1" x14ac:dyDescent="0.2">
      <c r="A216" s="91" t="s">
        <v>1378</v>
      </c>
      <c r="B216" s="51">
        <v>9.5</v>
      </c>
      <c r="C216" s="4"/>
      <c r="D216" s="6" t="s">
        <v>1364</v>
      </c>
      <c r="E216" s="51">
        <v>10</v>
      </c>
      <c r="F216" s="4"/>
      <c r="G216" s="96" t="s">
        <v>1400</v>
      </c>
      <c r="H216" s="50">
        <v>10</v>
      </c>
      <c r="I216" s="4"/>
      <c r="J216" s="6" t="s">
        <v>1329</v>
      </c>
      <c r="K216" s="51">
        <v>9</v>
      </c>
      <c r="L216" s="4"/>
      <c r="M216" s="91" t="s">
        <v>1345</v>
      </c>
      <c r="N216" s="51">
        <v>9</v>
      </c>
      <c r="O216" s="22"/>
      <c r="V216"/>
      <c r="W216"/>
      <c r="X216"/>
      <c r="Y216"/>
      <c r="Z216"/>
    </row>
    <row r="217" spans="1:26" ht="16" customHeight="1" thickBot="1" x14ac:dyDescent="0.25">
      <c r="A217" s="91" t="s">
        <v>1379</v>
      </c>
      <c r="B217" s="51">
        <v>9</v>
      </c>
      <c r="C217" s="4"/>
      <c r="D217" s="6" t="s">
        <v>1365</v>
      </c>
      <c r="E217" s="51">
        <v>8.5</v>
      </c>
      <c r="F217" s="4"/>
      <c r="G217" s="91" t="s">
        <v>1401</v>
      </c>
      <c r="H217" s="51">
        <v>9</v>
      </c>
      <c r="I217" s="4"/>
      <c r="J217" s="9" t="s">
        <v>1330</v>
      </c>
      <c r="K217" s="52">
        <v>10</v>
      </c>
      <c r="L217" s="4"/>
      <c r="M217" s="91" t="s">
        <v>1346</v>
      </c>
      <c r="N217" s="51">
        <v>7.5</v>
      </c>
      <c r="O217" s="22"/>
      <c r="V217"/>
      <c r="W217"/>
      <c r="X217"/>
      <c r="Y217"/>
      <c r="Z217"/>
    </row>
    <row r="218" spans="1:26" ht="16" customHeight="1" thickBot="1" x14ac:dyDescent="0.25">
      <c r="A218" s="91" t="s">
        <v>1380</v>
      </c>
      <c r="B218" s="51">
        <v>9</v>
      </c>
      <c r="C218" s="4"/>
      <c r="D218" s="6" t="s">
        <v>1366</v>
      </c>
      <c r="E218" s="51"/>
      <c r="F218" s="4"/>
      <c r="G218" s="91" t="s">
        <v>1402</v>
      </c>
      <c r="H218" s="51">
        <v>8.5</v>
      </c>
      <c r="I218" s="4"/>
      <c r="J218" s="21"/>
      <c r="K218" s="21"/>
      <c r="L218" s="4"/>
      <c r="M218" s="91" t="s">
        <v>1347</v>
      </c>
      <c r="N218" s="51">
        <v>9</v>
      </c>
      <c r="O218" s="22"/>
      <c r="V218"/>
      <c r="W218"/>
      <c r="X218"/>
      <c r="Y218"/>
      <c r="Z218"/>
    </row>
    <row r="219" spans="1:26" ht="16" customHeight="1" thickBot="1" x14ac:dyDescent="0.25">
      <c r="A219" s="91" t="s">
        <v>1381</v>
      </c>
      <c r="B219" s="51">
        <v>8.5</v>
      </c>
      <c r="C219" s="4"/>
      <c r="D219" s="6" t="s">
        <v>1367</v>
      </c>
      <c r="E219" s="51">
        <v>8</v>
      </c>
      <c r="F219" s="4"/>
      <c r="G219" s="91" t="s">
        <v>1403</v>
      </c>
      <c r="H219" s="51">
        <v>10.5</v>
      </c>
      <c r="I219" s="22"/>
      <c r="J219" s="195" t="s">
        <v>1414</v>
      </c>
      <c r="K219" s="14">
        <f>ROUND(SUM(K220:K235)/COUNT(K220:K235), 2)</f>
        <v>8.82</v>
      </c>
      <c r="L219" s="4"/>
      <c r="M219" s="91" t="s">
        <v>1348</v>
      </c>
      <c r="N219" s="51">
        <v>9</v>
      </c>
      <c r="O219" s="22"/>
      <c r="V219"/>
      <c r="W219"/>
      <c r="X219"/>
      <c r="Y219"/>
      <c r="Z219"/>
    </row>
    <row r="220" spans="1:26" ht="16" customHeight="1" x14ac:dyDescent="0.2">
      <c r="A220" s="91" t="s">
        <v>1382</v>
      </c>
      <c r="B220" s="51">
        <v>8</v>
      </c>
      <c r="C220" s="4"/>
      <c r="D220" s="6" t="s">
        <v>1368</v>
      </c>
      <c r="E220" s="51">
        <v>9.5</v>
      </c>
      <c r="F220" s="4"/>
      <c r="G220" s="91" t="s">
        <v>1404</v>
      </c>
      <c r="H220" s="51">
        <v>8.5</v>
      </c>
      <c r="I220" s="4"/>
      <c r="J220" s="13" t="s">
        <v>1415</v>
      </c>
      <c r="K220" s="50">
        <v>10</v>
      </c>
      <c r="L220" s="4"/>
      <c r="M220" s="91" t="s">
        <v>1349</v>
      </c>
      <c r="N220" s="51">
        <v>7.5</v>
      </c>
      <c r="O220" s="22"/>
      <c r="V220"/>
      <c r="W220"/>
      <c r="X220"/>
      <c r="Y220"/>
      <c r="Z220"/>
    </row>
    <row r="221" spans="1:26" ht="16" customHeight="1" x14ac:dyDescent="0.2">
      <c r="A221" s="91" t="s">
        <v>1383</v>
      </c>
      <c r="B221" s="51">
        <v>9</v>
      </c>
      <c r="C221" s="4"/>
      <c r="D221" s="6" t="s">
        <v>1369</v>
      </c>
      <c r="E221" s="51">
        <v>8</v>
      </c>
      <c r="F221" s="4"/>
      <c r="G221" s="91" t="s">
        <v>1405</v>
      </c>
      <c r="H221" s="51">
        <v>9</v>
      </c>
      <c r="I221" s="4"/>
      <c r="J221" s="6" t="s">
        <v>1416</v>
      </c>
      <c r="K221" s="51"/>
      <c r="L221" s="4"/>
      <c r="M221" s="91" t="s">
        <v>1350</v>
      </c>
      <c r="N221" s="51">
        <v>8</v>
      </c>
      <c r="O221" s="22"/>
      <c r="V221"/>
      <c r="W221"/>
      <c r="X221"/>
      <c r="Y221"/>
      <c r="Z221"/>
    </row>
    <row r="222" spans="1:26" ht="16" customHeight="1" x14ac:dyDescent="0.2">
      <c r="A222" s="91" t="s">
        <v>1384</v>
      </c>
      <c r="B222" s="51">
        <v>8.5</v>
      </c>
      <c r="C222" s="4"/>
      <c r="D222" s="6" t="s">
        <v>1370</v>
      </c>
      <c r="E222" s="51">
        <v>8</v>
      </c>
      <c r="F222" s="4"/>
      <c r="G222" s="91" t="s">
        <v>1406</v>
      </c>
      <c r="H222" s="51">
        <v>7.5</v>
      </c>
      <c r="I222" s="4"/>
      <c r="J222" s="6" t="s">
        <v>1417</v>
      </c>
      <c r="K222" s="51">
        <v>10.5</v>
      </c>
      <c r="L222" s="4"/>
      <c r="M222" s="91" t="s">
        <v>1351</v>
      </c>
      <c r="N222" s="51">
        <v>9</v>
      </c>
      <c r="O222" s="22"/>
      <c r="V222"/>
      <c r="W222"/>
      <c r="X222"/>
      <c r="Y222"/>
      <c r="Z222"/>
    </row>
    <row r="223" spans="1:26" ht="16" customHeight="1" x14ac:dyDescent="0.2">
      <c r="A223" s="91" t="s">
        <v>1385</v>
      </c>
      <c r="B223" s="51">
        <v>9</v>
      </c>
      <c r="C223" s="4"/>
      <c r="D223" s="6" t="s">
        <v>1371</v>
      </c>
      <c r="E223" s="51">
        <v>8</v>
      </c>
      <c r="F223" s="4"/>
      <c r="G223" s="91" t="s">
        <v>1407</v>
      </c>
      <c r="H223" s="51">
        <v>10.5</v>
      </c>
      <c r="I223" s="4"/>
      <c r="J223" s="6" t="s">
        <v>1418</v>
      </c>
      <c r="K223" s="51">
        <v>8.5</v>
      </c>
      <c r="L223" s="4"/>
      <c r="M223" s="91" t="s">
        <v>1352</v>
      </c>
      <c r="N223" s="51">
        <v>8</v>
      </c>
      <c r="O223" s="22"/>
      <c r="V223"/>
      <c r="W223"/>
      <c r="X223"/>
      <c r="Y223"/>
      <c r="Z223"/>
    </row>
    <row r="224" spans="1:26" ht="16" customHeight="1" thickBot="1" x14ac:dyDescent="0.25">
      <c r="A224" s="92" t="s">
        <v>1386</v>
      </c>
      <c r="B224" s="52">
        <v>8.5</v>
      </c>
      <c r="C224" s="4"/>
      <c r="D224" s="6" t="s">
        <v>1372</v>
      </c>
      <c r="E224" s="51">
        <v>8</v>
      </c>
      <c r="F224" s="4"/>
      <c r="G224" s="91" t="s">
        <v>1408</v>
      </c>
      <c r="H224" s="51">
        <v>7</v>
      </c>
      <c r="I224" s="4"/>
      <c r="J224" s="6" t="s">
        <v>1419</v>
      </c>
      <c r="K224" s="51">
        <v>9</v>
      </c>
      <c r="L224" s="4"/>
      <c r="M224" s="91" t="s">
        <v>1353</v>
      </c>
      <c r="N224" s="51">
        <v>7</v>
      </c>
      <c r="O224" s="22"/>
      <c r="V224"/>
      <c r="W224"/>
      <c r="X224"/>
      <c r="Y224"/>
      <c r="Z224"/>
    </row>
    <row r="225" spans="1:26" ht="16" customHeight="1" thickBot="1" x14ac:dyDescent="0.25">
      <c r="A225" s="85"/>
      <c r="B225" s="19"/>
      <c r="C225" s="22"/>
      <c r="D225" s="5" t="s">
        <v>1373</v>
      </c>
      <c r="E225" s="51">
        <v>8.5</v>
      </c>
      <c r="F225" s="4"/>
      <c r="G225" s="91" t="s">
        <v>1409</v>
      </c>
      <c r="H225" s="51">
        <v>7.5</v>
      </c>
      <c r="I225" s="4"/>
      <c r="J225" s="6" t="s">
        <v>1420</v>
      </c>
      <c r="K225" s="51">
        <v>8</v>
      </c>
      <c r="L225" s="4"/>
      <c r="M225" s="91" t="s">
        <v>1354</v>
      </c>
      <c r="N225" s="51">
        <v>7.5</v>
      </c>
      <c r="O225" s="22"/>
      <c r="V225"/>
      <c r="W225"/>
      <c r="X225"/>
      <c r="Y225"/>
      <c r="Z225"/>
    </row>
    <row r="226" spans="1:26" ht="16" customHeight="1" thickBot="1" x14ac:dyDescent="0.25">
      <c r="A226" s="201" t="s">
        <v>1436</v>
      </c>
      <c r="B226" s="14">
        <f>ROUND(SUM(B227:B233)/COUNT(B227:B233), 2)</f>
        <v>8.86</v>
      </c>
      <c r="C226" s="4"/>
      <c r="D226" s="9" t="s">
        <v>1374</v>
      </c>
      <c r="E226" s="52">
        <v>9</v>
      </c>
      <c r="F226" s="4"/>
      <c r="G226" s="91" t="s">
        <v>1410</v>
      </c>
      <c r="H226" s="51">
        <v>6.5</v>
      </c>
      <c r="I226" s="4"/>
      <c r="J226" s="6" t="s">
        <v>1421</v>
      </c>
      <c r="K226" s="51">
        <v>9.5</v>
      </c>
      <c r="L226" s="4"/>
      <c r="M226" s="92" t="s">
        <v>1355</v>
      </c>
      <c r="N226" s="52">
        <v>7.5</v>
      </c>
      <c r="O226" s="22"/>
      <c r="V226"/>
      <c r="W226"/>
      <c r="X226"/>
      <c r="Y226"/>
      <c r="Z226"/>
    </row>
    <row r="227" spans="1:26" ht="16" customHeight="1" thickBot="1" x14ac:dyDescent="0.25">
      <c r="A227" s="96" t="s">
        <v>1437</v>
      </c>
      <c r="B227" s="50">
        <v>10</v>
      </c>
      <c r="C227" s="4"/>
      <c r="D227" s="21"/>
      <c r="E227" s="21"/>
      <c r="F227" s="4"/>
      <c r="G227" s="92" t="s">
        <v>1411</v>
      </c>
      <c r="H227" s="52">
        <v>7</v>
      </c>
      <c r="I227" s="4"/>
      <c r="J227" s="6" t="s">
        <v>1422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" customHeight="1" thickBot="1" x14ac:dyDescent="0.25">
      <c r="A228" s="91" t="s">
        <v>1438</v>
      </c>
      <c r="B228" s="51">
        <v>9.5</v>
      </c>
      <c r="C228" s="22"/>
      <c r="D228" s="196" t="s">
        <v>1447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1423</v>
      </c>
      <c r="K228" s="51">
        <v>8</v>
      </c>
      <c r="L228" s="22"/>
      <c r="M228" s="199" t="s">
        <v>1475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" customHeight="1" thickBot="1" x14ac:dyDescent="0.25">
      <c r="A229" s="91" t="s">
        <v>1439</v>
      </c>
      <c r="B229" s="51">
        <v>9</v>
      </c>
      <c r="C229" s="4"/>
      <c r="D229" s="13" t="s">
        <v>1448</v>
      </c>
      <c r="E229" s="50">
        <v>8.5</v>
      </c>
      <c r="F229" s="22"/>
      <c r="G229" s="198" t="s">
        <v>1476</v>
      </c>
      <c r="H229" s="14">
        <f>ROUND(SUM(H230:H244)/COUNT(H230:H244), 2)</f>
        <v>8.8800000000000008</v>
      </c>
      <c r="I229" s="4"/>
      <c r="J229" s="6" t="s">
        <v>1424</v>
      </c>
      <c r="K229" s="51">
        <v>8</v>
      </c>
      <c r="L229" s="4"/>
      <c r="M229" s="96" t="s">
        <v>1463</v>
      </c>
      <c r="N229" s="50">
        <v>8</v>
      </c>
      <c r="O229" s="22"/>
      <c r="V229"/>
      <c r="W229"/>
      <c r="X229"/>
      <c r="Y229"/>
      <c r="Z229"/>
    </row>
    <row r="230" spans="1:26" ht="16" customHeight="1" x14ac:dyDescent="0.2">
      <c r="A230" s="91" t="s">
        <v>1440</v>
      </c>
      <c r="B230" s="51">
        <v>8</v>
      </c>
      <c r="C230" s="4"/>
      <c r="D230" s="6" t="s">
        <v>1449</v>
      </c>
      <c r="E230" s="51">
        <v>8.5</v>
      </c>
      <c r="F230" s="4"/>
      <c r="G230" s="96" t="s">
        <v>1477</v>
      </c>
      <c r="H230" s="50"/>
      <c r="I230" s="4"/>
      <c r="J230" s="6" t="s">
        <v>1425</v>
      </c>
      <c r="K230" s="51">
        <v>10</v>
      </c>
      <c r="L230" s="4"/>
      <c r="M230" s="91" t="s">
        <v>1464</v>
      </c>
      <c r="N230" s="51">
        <v>8.5</v>
      </c>
      <c r="O230" s="22"/>
      <c r="V230"/>
      <c r="W230"/>
      <c r="X230"/>
      <c r="Y230"/>
      <c r="Z230"/>
    </row>
    <row r="231" spans="1:26" ht="16" customHeight="1" x14ac:dyDescent="0.2">
      <c r="A231" s="91" t="s">
        <v>1441</v>
      </c>
      <c r="B231" s="51">
        <v>9</v>
      </c>
      <c r="C231" s="4"/>
      <c r="D231" s="6" t="s">
        <v>1450</v>
      </c>
      <c r="E231" s="51">
        <v>8</v>
      </c>
      <c r="F231" s="4"/>
      <c r="G231" s="91" t="s">
        <v>1478</v>
      </c>
      <c r="H231" s="51">
        <v>8.5</v>
      </c>
      <c r="I231" s="4"/>
      <c r="J231" s="6" t="s">
        <v>1426</v>
      </c>
      <c r="K231" s="51">
        <v>7.5</v>
      </c>
      <c r="L231" s="4"/>
      <c r="M231" s="91" t="s">
        <v>1465</v>
      </c>
      <c r="N231" s="51">
        <v>9.5</v>
      </c>
      <c r="O231" s="22"/>
      <c r="V231"/>
      <c r="W231"/>
      <c r="X231"/>
      <c r="Y231"/>
      <c r="Z231"/>
    </row>
    <row r="232" spans="1:26" ht="16" customHeight="1" x14ac:dyDescent="0.2">
      <c r="A232" s="91" t="s">
        <v>1442</v>
      </c>
      <c r="B232" s="51">
        <v>8.5</v>
      </c>
      <c r="C232" s="4"/>
      <c r="D232" s="6" t="s">
        <v>1451</v>
      </c>
      <c r="E232" s="51">
        <v>9</v>
      </c>
      <c r="F232" s="4"/>
      <c r="G232" s="91" t="s">
        <v>1479</v>
      </c>
      <c r="H232" s="51">
        <v>9.5</v>
      </c>
      <c r="I232" s="4"/>
      <c r="J232" s="6" t="s">
        <v>1427</v>
      </c>
      <c r="K232" s="51">
        <v>9.5</v>
      </c>
      <c r="L232" s="4"/>
      <c r="M232" s="91" t="s">
        <v>1466</v>
      </c>
      <c r="N232" s="51">
        <v>8.5</v>
      </c>
      <c r="O232" s="22"/>
      <c r="V232"/>
      <c r="W232"/>
      <c r="X232"/>
      <c r="Y232"/>
      <c r="Z232"/>
    </row>
    <row r="233" spans="1:26" ht="16" customHeight="1" thickBot="1" x14ac:dyDescent="0.25">
      <c r="A233" s="92" t="s">
        <v>1443</v>
      </c>
      <c r="B233" s="52">
        <v>8</v>
      </c>
      <c r="C233" s="4"/>
      <c r="D233" s="6" t="s">
        <v>1452</v>
      </c>
      <c r="E233" s="51">
        <v>9</v>
      </c>
      <c r="F233" s="4"/>
      <c r="G233" s="91" t="s">
        <v>1480</v>
      </c>
      <c r="H233" s="51">
        <v>8.5</v>
      </c>
      <c r="I233" s="4"/>
      <c r="J233" s="6" t="s">
        <v>1428</v>
      </c>
      <c r="K233" s="51">
        <v>8</v>
      </c>
      <c r="L233" s="4"/>
      <c r="M233" s="91" t="s">
        <v>1467</v>
      </c>
      <c r="N233" s="51">
        <v>7</v>
      </c>
      <c r="O233" s="22"/>
      <c r="V233"/>
      <c r="W233"/>
      <c r="X233"/>
      <c r="Y233"/>
      <c r="Z233"/>
    </row>
    <row r="234" spans="1:26" ht="16" customHeight="1" thickBot="1" x14ac:dyDescent="0.25">
      <c r="A234" s="21"/>
      <c r="B234" s="21"/>
      <c r="C234" s="4"/>
      <c r="D234" s="9" t="s">
        <v>1453</v>
      </c>
      <c r="E234" s="52">
        <v>10</v>
      </c>
      <c r="F234" s="4"/>
      <c r="G234" s="91" t="s">
        <v>1481</v>
      </c>
      <c r="H234" s="51">
        <v>10</v>
      </c>
      <c r="I234" s="4"/>
      <c r="J234" s="6" t="s">
        <v>1429</v>
      </c>
      <c r="K234" s="51">
        <v>9</v>
      </c>
      <c r="L234" s="4"/>
      <c r="M234" s="91" t="s">
        <v>1468</v>
      </c>
      <c r="N234" s="51">
        <v>8</v>
      </c>
      <c r="O234" s="22"/>
      <c r="V234"/>
      <c r="W234"/>
      <c r="X234"/>
      <c r="Y234"/>
      <c r="Z234"/>
    </row>
    <row r="235" spans="1:26" ht="16" customHeight="1" thickBot="1" x14ac:dyDescent="0.25">
      <c r="A235" s="204" t="s">
        <v>1494</v>
      </c>
      <c r="B235" s="14">
        <f>ROUND(SUM(B236:B244)/COUNT(B236:B244), 2)</f>
        <v>8.83</v>
      </c>
      <c r="C235" s="4"/>
      <c r="D235" s="21"/>
      <c r="E235" s="21"/>
      <c r="F235" s="4"/>
      <c r="G235" s="91" t="s">
        <v>1482</v>
      </c>
      <c r="H235" s="65">
        <v>10.5</v>
      </c>
      <c r="I235" s="4"/>
      <c r="J235" s="9" t="s">
        <v>1430</v>
      </c>
      <c r="K235" s="52">
        <v>8</v>
      </c>
      <c r="L235" s="4"/>
      <c r="M235" s="91" t="s">
        <v>1469</v>
      </c>
      <c r="N235" s="51">
        <v>8.5</v>
      </c>
      <c r="O235" s="22"/>
      <c r="V235"/>
      <c r="W235"/>
      <c r="X235"/>
      <c r="Y235"/>
      <c r="Z235"/>
    </row>
    <row r="236" spans="1:26" ht="16" customHeight="1" thickBot="1" x14ac:dyDescent="0.25">
      <c r="A236" s="96" t="s">
        <v>1495</v>
      </c>
      <c r="B236" s="50">
        <v>9</v>
      </c>
      <c r="C236" s="4"/>
      <c r="D236" s="203" t="s">
        <v>1530</v>
      </c>
      <c r="E236" s="3">
        <f>ROUND(SUM(E237:E251)/COUNT(E237:E251), 2)</f>
        <v>8.8000000000000007</v>
      </c>
      <c r="F236" s="4"/>
      <c r="G236" s="91" t="s">
        <v>1483</v>
      </c>
      <c r="H236" s="51">
        <v>9</v>
      </c>
      <c r="I236" s="4"/>
      <c r="J236" s="21"/>
      <c r="K236" s="21"/>
      <c r="L236" s="4"/>
      <c r="M236" s="91" t="s">
        <v>1470</v>
      </c>
      <c r="N236" s="51">
        <v>7</v>
      </c>
      <c r="O236" s="22"/>
      <c r="V236"/>
      <c r="W236"/>
      <c r="X236"/>
      <c r="Y236"/>
      <c r="Z236"/>
    </row>
    <row r="237" spans="1:26" ht="16" customHeight="1" thickBot="1" x14ac:dyDescent="0.25">
      <c r="A237" s="91" t="s">
        <v>1496</v>
      </c>
      <c r="B237" s="51">
        <v>10</v>
      </c>
      <c r="C237" s="4"/>
      <c r="D237" s="13" t="s">
        <v>1510</v>
      </c>
      <c r="E237" s="50">
        <v>8</v>
      </c>
      <c r="F237" s="4"/>
      <c r="G237" s="91" t="s">
        <v>1484</v>
      </c>
      <c r="H237" s="51">
        <v>8.5</v>
      </c>
      <c r="I237" s="22"/>
      <c r="J237" s="205" t="s">
        <v>1534</v>
      </c>
      <c r="K237" s="14">
        <f>ROUND(SUM(K238:K250)/COUNT(K238:K250), 2)</f>
        <v>8.73</v>
      </c>
      <c r="L237" s="4"/>
      <c r="M237" s="91" t="s">
        <v>1471</v>
      </c>
      <c r="N237" s="51">
        <v>8</v>
      </c>
      <c r="O237" s="22"/>
      <c r="V237"/>
      <c r="W237"/>
      <c r="X237"/>
      <c r="Y237"/>
      <c r="Z237"/>
    </row>
    <row r="238" spans="1:26" ht="16" customHeight="1" thickBot="1" x14ac:dyDescent="0.25">
      <c r="A238" s="91" t="s">
        <v>1497</v>
      </c>
      <c r="B238" s="51">
        <v>8.5</v>
      </c>
      <c r="C238" s="4"/>
      <c r="D238" s="6" t="s">
        <v>1511</v>
      </c>
      <c r="E238" s="51">
        <v>8.5</v>
      </c>
      <c r="F238" s="4"/>
      <c r="G238" s="91" t="s">
        <v>1485</v>
      </c>
      <c r="H238" s="51">
        <v>8.5</v>
      </c>
      <c r="I238" s="4"/>
      <c r="J238" s="13" t="s">
        <v>1547</v>
      </c>
      <c r="K238" s="50">
        <v>10.5</v>
      </c>
      <c r="L238" s="4"/>
      <c r="M238" s="92" t="s">
        <v>1472</v>
      </c>
      <c r="N238" s="52">
        <v>7.5</v>
      </c>
      <c r="O238" s="22"/>
      <c r="V238"/>
      <c r="W238"/>
      <c r="X238"/>
      <c r="Y238"/>
      <c r="Z238"/>
    </row>
    <row r="239" spans="1:26" ht="16" customHeight="1" thickBot="1" x14ac:dyDescent="0.25">
      <c r="A239" s="91" t="s">
        <v>1498</v>
      </c>
      <c r="B239" s="51">
        <v>8.5</v>
      </c>
      <c r="C239" s="4"/>
      <c r="D239" s="6" t="s">
        <v>1512</v>
      </c>
      <c r="E239" s="51">
        <v>9.5</v>
      </c>
      <c r="F239" s="4"/>
      <c r="G239" s="91" t="s">
        <v>1486</v>
      </c>
      <c r="H239" s="51">
        <v>8</v>
      </c>
      <c r="I239" s="4"/>
      <c r="J239" s="6" t="s">
        <v>1535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" customHeight="1" thickBot="1" x14ac:dyDescent="0.25">
      <c r="A240" s="91" t="s">
        <v>1499</v>
      </c>
      <c r="B240" s="51">
        <v>9.5</v>
      </c>
      <c r="C240" s="4"/>
      <c r="D240" s="6" t="s">
        <v>1513</v>
      </c>
      <c r="E240" s="51">
        <v>10</v>
      </c>
      <c r="F240" s="4"/>
      <c r="G240" s="91" t="s">
        <v>1487</v>
      </c>
      <c r="H240" s="51"/>
      <c r="I240" s="4"/>
      <c r="J240" s="6" t="s">
        <v>1536</v>
      </c>
      <c r="K240" s="51">
        <v>9</v>
      </c>
      <c r="L240" s="4"/>
      <c r="M240" s="206" t="s">
        <v>1551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" customHeight="1" x14ac:dyDescent="0.2">
      <c r="A241" s="91" t="s">
        <v>1500</v>
      </c>
      <c r="B241" s="51">
        <v>8</v>
      </c>
      <c r="C241" s="4"/>
      <c r="D241" s="6" t="s">
        <v>1514</v>
      </c>
      <c r="E241" s="51">
        <v>8.5</v>
      </c>
      <c r="F241" s="4"/>
      <c r="G241" s="91" t="s">
        <v>1488</v>
      </c>
      <c r="H241" s="51">
        <v>9.5</v>
      </c>
      <c r="I241" s="4"/>
      <c r="J241" s="6" t="s">
        <v>1537</v>
      </c>
      <c r="K241" s="51">
        <v>9.5</v>
      </c>
      <c r="L241" s="4"/>
      <c r="M241" s="96" t="s">
        <v>1552</v>
      </c>
      <c r="N241" s="50">
        <v>9.5</v>
      </c>
      <c r="O241" s="4"/>
      <c r="V241"/>
      <c r="W241"/>
      <c r="X241"/>
      <c r="Y241"/>
      <c r="Z241"/>
    </row>
    <row r="242" spans="1:26" ht="16" customHeight="1" x14ac:dyDescent="0.2">
      <c r="A242" s="91" t="s">
        <v>1501</v>
      </c>
      <c r="B242" s="51">
        <v>8.5</v>
      </c>
      <c r="C242" s="4"/>
      <c r="D242" s="6" t="s">
        <v>1515</v>
      </c>
      <c r="E242" s="51">
        <v>9.5</v>
      </c>
      <c r="F242" s="4"/>
      <c r="G242" s="91" t="s">
        <v>1489</v>
      </c>
      <c r="H242" s="51">
        <v>8</v>
      </c>
      <c r="I242" s="4"/>
      <c r="J242" s="6" t="s">
        <v>1538</v>
      </c>
      <c r="K242" s="51">
        <v>9</v>
      </c>
      <c r="L242" s="4"/>
      <c r="M242" s="91" t="s">
        <v>1553</v>
      </c>
      <c r="N242" s="51">
        <v>8</v>
      </c>
      <c r="O242" s="4"/>
      <c r="V242"/>
      <c r="W242"/>
      <c r="X242"/>
      <c r="Y242"/>
      <c r="Z242"/>
    </row>
    <row r="243" spans="1:26" ht="16" customHeight="1" x14ac:dyDescent="0.2">
      <c r="A243" s="91" t="s">
        <v>1502</v>
      </c>
      <c r="B243" s="51">
        <v>9</v>
      </c>
      <c r="C243" s="4"/>
      <c r="D243" s="6" t="s">
        <v>1516</v>
      </c>
      <c r="E243" s="51">
        <v>9.5</v>
      </c>
      <c r="F243" s="4"/>
      <c r="G243" s="91" t="s">
        <v>1490</v>
      </c>
      <c r="H243" s="51">
        <v>8.5</v>
      </c>
      <c r="I243" s="4"/>
      <c r="J243" s="6" t="s">
        <v>1539</v>
      </c>
      <c r="K243" s="51">
        <v>8</v>
      </c>
      <c r="L243" s="4"/>
      <c r="M243" s="91" t="s">
        <v>1554</v>
      </c>
      <c r="N243" s="51">
        <v>10</v>
      </c>
      <c r="O243" s="4"/>
      <c r="V243"/>
      <c r="W243"/>
      <c r="X243"/>
      <c r="Y243"/>
      <c r="Z243"/>
    </row>
    <row r="244" spans="1:26" ht="16" customHeight="1" thickBot="1" x14ac:dyDescent="0.25">
      <c r="A244" s="92" t="s">
        <v>1503</v>
      </c>
      <c r="B244" s="52">
        <v>8.5</v>
      </c>
      <c r="C244" s="4"/>
      <c r="D244" s="6" t="s">
        <v>1517</v>
      </c>
      <c r="E244" s="51">
        <v>8</v>
      </c>
      <c r="F244" s="4"/>
      <c r="G244" s="92" t="s">
        <v>1491</v>
      </c>
      <c r="H244" s="52">
        <v>8.5</v>
      </c>
      <c r="I244" s="4"/>
      <c r="J244" s="6" t="s">
        <v>1540</v>
      </c>
      <c r="K244" s="51">
        <v>9</v>
      </c>
      <c r="L244" s="4"/>
      <c r="M244" s="91" t="s">
        <v>1555</v>
      </c>
      <c r="N244" s="51">
        <v>8</v>
      </c>
      <c r="O244" s="4"/>
      <c r="V244"/>
      <c r="W244"/>
      <c r="X244"/>
      <c r="Y244"/>
      <c r="Z244"/>
    </row>
    <row r="245" spans="1:26" ht="16" customHeight="1" thickBot="1" x14ac:dyDescent="0.25">
      <c r="A245" s="4"/>
      <c r="B245" s="4"/>
      <c r="C245" s="4"/>
      <c r="D245" s="6" t="s">
        <v>1518</v>
      </c>
      <c r="E245" s="51">
        <v>8</v>
      </c>
      <c r="F245" s="4"/>
      <c r="G245" s="21"/>
      <c r="H245" s="21"/>
      <c r="I245" s="4"/>
      <c r="J245" s="6" t="s">
        <v>1541</v>
      </c>
      <c r="K245" s="51">
        <v>8.5</v>
      </c>
      <c r="L245" s="4"/>
      <c r="M245" s="91" t="s">
        <v>1556</v>
      </c>
      <c r="N245" s="51">
        <v>9</v>
      </c>
      <c r="O245" s="4"/>
      <c r="V245"/>
      <c r="W245"/>
      <c r="X245"/>
      <c r="Y245"/>
      <c r="Z245"/>
    </row>
    <row r="246" spans="1:26" ht="16" customHeight="1" thickBot="1" x14ac:dyDescent="0.25">
      <c r="A246" s="208" t="s">
        <v>1592</v>
      </c>
      <c r="B246" s="14">
        <f>ROUND(SUM(B247:B258)/COUNT(B247:B258), 2)</f>
        <v>8.82</v>
      </c>
      <c r="C246" s="4"/>
      <c r="D246" s="6" t="s">
        <v>1519</v>
      </c>
      <c r="E246" s="51">
        <v>8.5</v>
      </c>
      <c r="F246" s="4"/>
      <c r="G246" s="207" t="s">
        <v>1573</v>
      </c>
      <c r="H246" s="3">
        <f>ROUND(SUM(H247:H256)/COUNT(H247:H256), 2)</f>
        <v>8.75</v>
      </c>
      <c r="I246" s="4"/>
      <c r="J246" s="6" t="s">
        <v>1542</v>
      </c>
      <c r="K246" s="51">
        <v>8</v>
      </c>
      <c r="L246" s="4"/>
      <c r="M246" s="91" t="s">
        <v>1557</v>
      </c>
      <c r="N246" s="51">
        <v>8.5</v>
      </c>
      <c r="O246" s="4"/>
      <c r="V246"/>
      <c r="W246"/>
      <c r="X246"/>
      <c r="Y246"/>
      <c r="Z246"/>
    </row>
    <row r="247" spans="1:26" ht="16" customHeight="1" thickBot="1" x14ac:dyDescent="0.25">
      <c r="A247" s="96" t="s">
        <v>1580</v>
      </c>
      <c r="B247" s="50">
        <v>9.5</v>
      </c>
      <c r="C247" s="4"/>
      <c r="D247" s="6" t="s">
        <v>1520</v>
      </c>
      <c r="E247" s="51">
        <v>10</v>
      </c>
      <c r="F247" s="4"/>
      <c r="G247" s="91" t="s">
        <v>1564</v>
      </c>
      <c r="H247" s="51">
        <v>10</v>
      </c>
      <c r="I247" s="4"/>
      <c r="J247" s="6" t="s">
        <v>1543</v>
      </c>
      <c r="K247" s="51">
        <v>8</v>
      </c>
      <c r="L247" s="4"/>
      <c r="M247" s="92" t="s">
        <v>1558</v>
      </c>
      <c r="N247" s="52">
        <v>9.5</v>
      </c>
      <c r="O247" s="4"/>
      <c r="V247"/>
      <c r="W247"/>
      <c r="X247"/>
      <c r="Y247"/>
      <c r="Z247"/>
    </row>
    <row r="248" spans="1:26" ht="16" customHeight="1" thickBot="1" x14ac:dyDescent="0.25">
      <c r="A248" s="91" t="s">
        <v>1581</v>
      </c>
      <c r="B248" s="51">
        <v>8.5</v>
      </c>
      <c r="C248" s="4"/>
      <c r="D248" s="6" t="s">
        <v>1521</v>
      </c>
      <c r="E248" s="51">
        <v>8.5</v>
      </c>
      <c r="F248" s="4"/>
      <c r="G248" s="91" t="s">
        <v>1565</v>
      </c>
      <c r="H248" s="51">
        <v>9</v>
      </c>
      <c r="I248" s="4"/>
      <c r="J248" s="6" t="s">
        <v>1544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" customHeight="1" thickBot="1" x14ac:dyDescent="0.25">
      <c r="A249" s="91" t="s">
        <v>1582</v>
      </c>
      <c r="B249" s="51">
        <v>8.5</v>
      </c>
      <c r="C249" s="4"/>
      <c r="D249" s="6" t="s">
        <v>1522</v>
      </c>
      <c r="E249" s="51">
        <v>9</v>
      </c>
      <c r="F249" s="4"/>
      <c r="G249" s="91" t="s">
        <v>15</v>
      </c>
      <c r="H249" s="51">
        <v>10</v>
      </c>
      <c r="I249" s="4"/>
      <c r="J249" s="6" t="s">
        <v>1545</v>
      </c>
      <c r="K249" s="51">
        <v>8.5</v>
      </c>
      <c r="L249" s="4"/>
      <c r="M249" s="210" t="s">
        <v>1597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" customHeight="1" thickBot="1" x14ac:dyDescent="0.25">
      <c r="A250" s="91" t="s">
        <v>1583</v>
      </c>
      <c r="B250" s="51"/>
      <c r="C250" s="4"/>
      <c r="D250" s="6" t="s">
        <v>1523</v>
      </c>
      <c r="E250" s="51">
        <v>8.5</v>
      </c>
      <c r="F250" s="4"/>
      <c r="G250" s="91" t="s">
        <v>1566</v>
      </c>
      <c r="H250" s="51">
        <v>9</v>
      </c>
      <c r="I250" s="4"/>
      <c r="J250" s="9" t="s">
        <v>1546</v>
      </c>
      <c r="K250" s="52">
        <v>8</v>
      </c>
      <c r="L250" s="4"/>
      <c r="M250" s="96" t="s">
        <v>1596</v>
      </c>
      <c r="N250" s="50">
        <v>10</v>
      </c>
      <c r="O250" s="4"/>
      <c r="V250"/>
      <c r="W250"/>
      <c r="X250"/>
      <c r="Y250"/>
      <c r="Z250"/>
    </row>
    <row r="251" spans="1:26" ht="16" customHeight="1" thickBot="1" x14ac:dyDescent="0.25">
      <c r="A251" s="91" t="s">
        <v>1584</v>
      </c>
      <c r="B251" s="51">
        <v>8</v>
      </c>
      <c r="C251" s="4"/>
      <c r="D251" s="9" t="s">
        <v>1524</v>
      </c>
      <c r="E251" s="52">
        <v>8</v>
      </c>
      <c r="F251" s="4"/>
      <c r="G251" s="91" t="s">
        <v>1567</v>
      </c>
      <c r="H251" s="51">
        <v>8.5</v>
      </c>
      <c r="I251" s="4"/>
      <c r="J251" s="4"/>
      <c r="K251" s="4"/>
      <c r="L251" s="4"/>
      <c r="M251" s="91" t="s">
        <v>1598</v>
      </c>
      <c r="N251" s="51">
        <v>9</v>
      </c>
      <c r="O251" s="4"/>
      <c r="V251"/>
      <c r="W251"/>
      <c r="X251"/>
      <c r="Y251"/>
      <c r="Z251"/>
    </row>
    <row r="252" spans="1:26" ht="16" customHeight="1" thickBot="1" x14ac:dyDescent="0.25">
      <c r="A252" s="91" t="s">
        <v>1585</v>
      </c>
      <c r="B252" s="51">
        <v>10</v>
      </c>
      <c r="C252" s="4"/>
      <c r="D252" s="4"/>
      <c r="E252" s="4"/>
      <c r="F252" s="4"/>
      <c r="G252" s="91" t="s">
        <v>1568</v>
      </c>
      <c r="H252" s="51">
        <v>8</v>
      </c>
      <c r="I252" s="4"/>
      <c r="J252" s="211" t="s">
        <v>1641</v>
      </c>
      <c r="K252" s="3">
        <f>ROUND(SUM(K253:K262)/COUNT(K253:K262), 2)</f>
        <v>8</v>
      </c>
      <c r="L252" s="4"/>
      <c r="M252" s="91" t="s">
        <v>1599</v>
      </c>
      <c r="N252" s="51">
        <v>8.5</v>
      </c>
      <c r="O252" s="4"/>
      <c r="V252"/>
      <c r="W252"/>
      <c r="X252"/>
      <c r="Y252"/>
      <c r="Z252"/>
    </row>
    <row r="253" spans="1:26" ht="16" customHeight="1" thickBot="1" x14ac:dyDescent="0.25">
      <c r="A253" s="91" t="s">
        <v>1586</v>
      </c>
      <c r="B253" s="51">
        <v>10.5</v>
      </c>
      <c r="C253" s="4"/>
      <c r="D253" s="217" t="s">
        <v>1649</v>
      </c>
      <c r="E253" s="3">
        <f>ROUND(SUM(E254:E263)/COUNT(E254:E263), 2)</f>
        <v>8.44</v>
      </c>
      <c r="F253" s="4"/>
      <c r="G253" s="91" t="s">
        <v>1569</v>
      </c>
      <c r="H253" s="51">
        <v>9</v>
      </c>
      <c r="I253" s="4"/>
      <c r="J253" s="13" t="s">
        <v>1631</v>
      </c>
      <c r="K253" s="50">
        <v>8.5</v>
      </c>
      <c r="L253" s="4"/>
      <c r="M253" s="91" t="s">
        <v>1600</v>
      </c>
      <c r="N253" s="51">
        <v>8</v>
      </c>
      <c r="O253" s="4"/>
      <c r="V253"/>
      <c r="W253"/>
      <c r="X253"/>
      <c r="Y253"/>
      <c r="Z253"/>
    </row>
    <row r="254" spans="1:26" ht="16" customHeight="1" x14ac:dyDescent="0.2">
      <c r="A254" s="91" t="s">
        <v>1587</v>
      </c>
      <c r="B254" s="51">
        <v>9</v>
      </c>
      <c r="C254" s="4"/>
      <c r="D254" s="214" t="s">
        <v>1650</v>
      </c>
      <c r="E254" s="50">
        <v>8.5</v>
      </c>
      <c r="F254" s="4"/>
      <c r="G254" s="91" t="s">
        <v>1570</v>
      </c>
      <c r="H254" s="51">
        <v>8</v>
      </c>
      <c r="I254" s="4"/>
      <c r="J254" s="6" t="s">
        <v>1632</v>
      </c>
      <c r="K254" s="51">
        <v>7.5</v>
      </c>
      <c r="L254" s="4"/>
      <c r="M254" s="91" t="s">
        <v>1601</v>
      </c>
      <c r="N254" s="51">
        <v>10.5</v>
      </c>
      <c r="O254" s="4"/>
      <c r="V254"/>
      <c r="W254"/>
      <c r="X254"/>
      <c r="Y254"/>
      <c r="Z254"/>
    </row>
    <row r="255" spans="1:26" ht="16" customHeight="1" x14ac:dyDescent="0.2">
      <c r="A255" s="91" t="s">
        <v>1588</v>
      </c>
      <c r="B255" s="51">
        <v>8</v>
      </c>
      <c r="C255" s="4"/>
      <c r="D255" s="215" t="s">
        <v>1651</v>
      </c>
      <c r="E255" s="51">
        <v>10</v>
      </c>
      <c r="F255" s="4"/>
      <c r="G255" s="91" t="s">
        <v>1571</v>
      </c>
      <c r="H255" s="51">
        <v>8</v>
      </c>
      <c r="I255" s="4"/>
      <c r="J255" s="6" t="s">
        <v>1633</v>
      </c>
      <c r="K255" s="51">
        <v>9.5</v>
      </c>
      <c r="L255" s="4"/>
      <c r="M255" s="91" t="s">
        <v>1602</v>
      </c>
      <c r="N255" s="51">
        <v>9.5</v>
      </c>
      <c r="O255" s="4"/>
      <c r="V255"/>
      <c r="W255"/>
      <c r="X255"/>
      <c r="Y255"/>
      <c r="Z255"/>
    </row>
    <row r="256" spans="1:26" ht="16" customHeight="1" thickBot="1" x14ac:dyDescent="0.25">
      <c r="A256" s="91" t="s">
        <v>1589</v>
      </c>
      <c r="B256" s="51">
        <v>8</v>
      </c>
      <c r="C256" s="4"/>
      <c r="D256" s="215" t="s">
        <v>1652</v>
      </c>
      <c r="E256" s="51">
        <v>9.5</v>
      </c>
      <c r="F256" s="4"/>
      <c r="G256" s="92" t="s">
        <v>1572</v>
      </c>
      <c r="H256" s="52">
        <v>8</v>
      </c>
      <c r="I256" s="4"/>
      <c r="J256" s="6" t="s">
        <v>1634</v>
      </c>
      <c r="K256" s="51">
        <v>7.5</v>
      </c>
      <c r="L256" s="4"/>
      <c r="M256" s="91" t="s">
        <v>9</v>
      </c>
      <c r="N256" s="51">
        <v>8</v>
      </c>
      <c r="O256" s="4"/>
      <c r="V256"/>
      <c r="W256"/>
      <c r="X256"/>
      <c r="Y256"/>
      <c r="Z256"/>
    </row>
    <row r="257" spans="1:26" ht="16" customHeight="1" x14ac:dyDescent="0.2">
      <c r="A257" s="91" t="s">
        <v>1590</v>
      </c>
      <c r="B257" s="51">
        <v>8.5</v>
      </c>
      <c r="C257" s="4"/>
      <c r="D257" s="215" t="s">
        <v>1653</v>
      </c>
      <c r="E257" s="51">
        <v>10</v>
      </c>
      <c r="F257" s="4"/>
      <c r="G257" s="4"/>
      <c r="H257" s="4"/>
      <c r="I257" s="4"/>
      <c r="J257" s="6" t="s">
        <v>1635</v>
      </c>
      <c r="K257" s="51">
        <v>9</v>
      </c>
      <c r="L257" s="4"/>
      <c r="M257" s="91" t="s">
        <v>1603</v>
      </c>
      <c r="N257" s="51">
        <v>10.5</v>
      </c>
      <c r="O257" s="4"/>
      <c r="V257"/>
      <c r="W257"/>
      <c r="X257"/>
      <c r="Y257"/>
      <c r="Z257"/>
    </row>
    <row r="258" spans="1:26" ht="16" customHeight="1" thickBot="1" x14ac:dyDescent="0.25">
      <c r="A258" s="92" t="s">
        <v>1591</v>
      </c>
      <c r="B258" s="52">
        <v>8.5</v>
      </c>
      <c r="C258" s="4"/>
      <c r="D258" s="215" t="s">
        <v>1654</v>
      </c>
      <c r="E258" s="51"/>
      <c r="F258" s="4"/>
      <c r="I258" s="4"/>
      <c r="J258" s="6" t="s">
        <v>1636</v>
      </c>
      <c r="K258" s="51">
        <v>6.5</v>
      </c>
      <c r="L258" s="4"/>
      <c r="M258" s="91" t="s">
        <v>1604</v>
      </c>
      <c r="N258" s="51">
        <v>10.5</v>
      </c>
      <c r="O258" s="4"/>
      <c r="V258"/>
      <c r="W258"/>
      <c r="X258"/>
      <c r="Y258"/>
      <c r="Z258"/>
    </row>
    <row r="259" spans="1:26" ht="16" customHeight="1" x14ac:dyDescent="0.2">
      <c r="A259" s="4"/>
      <c r="B259" s="4"/>
      <c r="C259" s="4"/>
      <c r="D259" s="215" t="s">
        <v>1655</v>
      </c>
      <c r="E259" s="51">
        <v>8</v>
      </c>
      <c r="F259" s="4"/>
      <c r="I259" s="4"/>
      <c r="J259" s="6" t="s">
        <v>1637</v>
      </c>
      <c r="K259" s="51"/>
      <c r="L259" s="4"/>
      <c r="M259" s="91" t="s">
        <v>1605</v>
      </c>
      <c r="N259" s="51">
        <v>9</v>
      </c>
      <c r="O259" s="4"/>
      <c r="V259"/>
      <c r="W259"/>
      <c r="X259"/>
      <c r="Y259"/>
      <c r="Z259"/>
    </row>
    <row r="260" spans="1:26" ht="16" customHeight="1" x14ac:dyDescent="0.2">
      <c r="C260" s="4"/>
      <c r="D260" s="215" t="s">
        <v>1656</v>
      </c>
      <c r="E260" s="51">
        <v>9</v>
      </c>
      <c r="F260" s="4"/>
      <c r="I260" s="4"/>
      <c r="J260" s="6" t="s">
        <v>1638</v>
      </c>
      <c r="K260" s="51">
        <v>7.5</v>
      </c>
      <c r="L260" s="4"/>
      <c r="M260" s="91" t="s">
        <v>1606</v>
      </c>
      <c r="N260" s="51">
        <v>8.5</v>
      </c>
      <c r="O260" s="4"/>
      <c r="V260"/>
      <c r="W260"/>
      <c r="X260"/>
      <c r="Y260"/>
      <c r="Z260"/>
    </row>
    <row r="261" spans="1:26" ht="16" customHeight="1" x14ac:dyDescent="0.2">
      <c r="C261" s="4"/>
      <c r="D261" s="215" t="s">
        <v>1657</v>
      </c>
      <c r="E261" s="51">
        <v>8</v>
      </c>
      <c r="F261" s="4"/>
      <c r="I261" s="4"/>
      <c r="J261" s="6" t="s">
        <v>1639</v>
      </c>
      <c r="K261" s="51">
        <v>8.5</v>
      </c>
      <c r="L261" s="4"/>
      <c r="M261" s="91" t="s">
        <v>1607</v>
      </c>
      <c r="N261" s="51">
        <v>8</v>
      </c>
      <c r="O261" s="4"/>
      <c r="V261"/>
      <c r="W261"/>
      <c r="X261"/>
      <c r="Y261"/>
      <c r="Z261"/>
    </row>
    <row r="262" spans="1:26" ht="16" customHeight="1" thickBot="1" x14ac:dyDescent="0.25">
      <c r="C262" s="4"/>
      <c r="D262" s="215" t="s">
        <v>1658</v>
      </c>
      <c r="E262" s="51">
        <v>7</v>
      </c>
      <c r="F262" s="4"/>
      <c r="I262" s="4"/>
      <c r="J262" s="9" t="s">
        <v>1640</v>
      </c>
      <c r="K262" s="52">
        <v>7.5</v>
      </c>
      <c r="L262" s="4"/>
      <c r="M262" s="91" t="s">
        <v>1608</v>
      </c>
      <c r="N262" s="51">
        <v>8</v>
      </c>
      <c r="O262" s="4"/>
      <c r="V262"/>
      <c r="W262"/>
      <c r="X262"/>
      <c r="Y262"/>
      <c r="Z262"/>
    </row>
    <row r="263" spans="1:26" ht="16" customHeight="1" thickBot="1" x14ac:dyDescent="0.25">
      <c r="C263" s="4"/>
      <c r="D263" s="216" t="s">
        <v>1659</v>
      </c>
      <c r="E263" s="52">
        <v>6</v>
      </c>
      <c r="F263" s="4"/>
      <c r="I263" s="4"/>
      <c r="J263" s="4"/>
      <c r="K263" s="4"/>
      <c r="L263" s="4"/>
      <c r="M263" s="91" t="s">
        <v>1609</v>
      </c>
      <c r="N263" s="51">
        <v>7.5</v>
      </c>
      <c r="O263" s="4"/>
      <c r="V263"/>
      <c r="W263"/>
      <c r="X263"/>
      <c r="Y263"/>
      <c r="Z263"/>
    </row>
    <row r="264" spans="1:26" ht="16" customHeight="1" x14ac:dyDescent="0.2">
      <c r="C264" s="4"/>
      <c r="D264" s="4"/>
      <c r="E264" s="4"/>
      <c r="F264" s="4"/>
      <c r="L264" s="4"/>
      <c r="M264" s="91" t="s">
        <v>1610</v>
      </c>
      <c r="N264" s="51">
        <v>8</v>
      </c>
      <c r="O264" s="4"/>
      <c r="V264"/>
      <c r="W264"/>
      <c r="X264"/>
      <c r="Y264"/>
      <c r="Z264"/>
    </row>
    <row r="265" spans="1:26" ht="16" customHeight="1" x14ac:dyDescent="0.2">
      <c r="L265" s="4"/>
      <c r="M265" s="91" t="s">
        <v>1611</v>
      </c>
      <c r="N265" s="51">
        <v>9</v>
      </c>
      <c r="O265" s="4"/>
      <c r="V265"/>
      <c r="W265"/>
      <c r="X265"/>
      <c r="Y265"/>
      <c r="Z265"/>
    </row>
    <row r="266" spans="1:26" ht="16" customHeight="1" x14ac:dyDescent="0.2">
      <c r="L266" s="4"/>
      <c r="M266" s="91" t="s">
        <v>1612</v>
      </c>
      <c r="N266" s="51">
        <v>8</v>
      </c>
      <c r="O266" s="4"/>
      <c r="V266"/>
      <c r="W266"/>
      <c r="X266"/>
      <c r="Y266"/>
      <c r="Z266"/>
    </row>
    <row r="267" spans="1:26" ht="16" customHeight="1" x14ac:dyDescent="0.2">
      <c r="L267" s="4"/>
      <c r="M267" s="91" t="s">
        <v>1613</v>
      </c>
      <c r="N267" s="51">
        <v>7.5</v>
      </c>
      <c r="O267" s="4"/>
      <c r="V267"/>
      <c r="W267"/>
      <c r="X267"/>
      <c r="Y267"/>
      <c r="Z267"/>
    </row>
    <row r="268" spans="1:26" ht="16" customHeight="1" x14ac:dyDescent="0.2">
      <c r="L268" s="4"/>
      <c r="M268" s="91" t="s">
        <v>1614</v>
      </c>
      <c r="N268" s="51">
        <v>8</v>
      </c>
      <c r="O268" s="4"/>
      <c r="V268"/>
      <c r="W268"/>
      <c r="X268"/>
      <c r="Y268"/>
      <c r="Z268"/>
    </row>
    <row r="269" spans="1:26" ht="16" customHeight="1" x14ac:dyDescent="0.2">
      <c r="L269" s="4"/>
      <c r="M269" s="91" t="s">
        <v>1615</v>
      </c>
      <c r="N269" s="51">
        <v>7.5</v>
      </c>
      <c r="O269" s="4"/>
      <c r="V269"/>
      <c r="W269"/>
      <c r="X269"/>
      <c r="Y269"/>
      <c r="Z269"/>
    </row>
    <row r="270" spans="1:26" ht="16" customHeight="1" x14ac:dyDescent="0.2">
      <c r="L270" s="4"/>
      <c r="M270" s="91" t="s">
        <v>1616</v>
      </c>
      <c r="N270" s="51">
        <v>7.5</v>
      </c>
      <c r="O270" s="4"/>
      <c r="V270"/>
      <c r="W270"/>
      <c r="X270"/>
      <c r="Y270"/>
      <c r="Z270"/>
    </row>
    <row r="271" spans="1:26" ht="16" customHeight="1" x14ac:dyDescent="0.2">
      <c r="L271" s="4"/>
      <c r="M271" s="91" t="s">
        <v>1617</v>
      </c>
      <c r="N271" s="51">
        <v>7.5</v>
      </c>
      <c r="O271" s="4"/>
      <c r="V271"/>
      <c r="W271"/>
      <c r="X271"/>
      <c r="Y271"/>
      <c r="Z271"/>
    </row>
    <row r="272" spans="1:26" ht="16" customHeight="1" x14ac:dyDescent="0.2">
      <c r="L272" s="4"/>
      <c r="M272" s="91" t="s">
        <v>1618</v>
      </c>
      <c r="N272" s="51">
        <v>9</v>
      </c>
      <c r="O272" s="4"/>
      <c r="V272"/>
      <c r="W272"/>
      <c r="X272"/>
      <c r="Y272"/>
      <c r="Z272"/>
    </row>
    <row r="273" spans="12:26" ht="16" customHeight="1" x14ac:dyDescent="0.2">
      <c r="L273" s="4"/>
      <c r="M273" s="91" t="s">
        <v>1619</v>
      </c>
      <c r="N273" s="51">
        <v>10</v>
      </c>
      <c r="O273" s="4"/>
      <c r="V273"/>
      <c r="W273"/>
      <c r="X273"/>
      <c r="Y273"/>
      <c r="Z273"/>
    </row>
    <row r="274" spans="12:26" ht="16" customHeight="1" x14ac:dyDescent="0.2">
      <c r="L274" s="4"/>
      <c r="M274" s="91" t="s">
        <v>1620</v>
      </c>
      <c r="N274" s="51">
        <v>9</v>
      </c>
      <c r="O274" s="4"/>
      <c r="V274"/>
      <c r="W274"/>
      <c r="X274"/>
      <c r="Y274"/>
      <c r="Z274"/>
    </row>
    <row r="275" spans="12:26" ht="16" customHeight="1" thickBot="1" x14ac:dyDescent="0.25">
      <c r="L275" s="4"/>
      <c r="M275" s="92" t="s">
        <v>1621</v>
      </c>
      <c r="N275" s="52">
        <v>9</v>
      </c>
      <c r="O275" s="4"/>
      <c r="V275"/>
      <c r="W275"/>
      <c r="X275"/>
      <c r="Y275"/>
      <c r="Z275"/>
    </row>
    <row r="276" spans="12:26" ht="16" customHeight="1" x14ac:dyDescent="0.2">
      <c r="L276" s="4"/>
      <c r="M276" s="4"/>
      <c r="N276" s="4"/>
      <c r="O276" s="4"/>
      <c r="V276"/>
      <c r="W276"/>
      <c r="X276"/>
      <c r="Y276"/>
      <c r="Z276"/>
    </row>
    <row r="277" spans="12:26" ht="16" customHeight="1" x14ac:dyDescent="0.2">
      <c r="V277"/>
      <c r="W277"/>
      <c r="X277"/>
      <c r="Y277"/>
      <c r="Z277"/>
    </row>
    <row r="278" spans="12:26" ht="16" customHeight="1" x14ac:dyDescent="0.2">
      <c r="V278"/>
      <c r="W278"/>
      <c r="X278"/>
      <c r="Y278"/>
      <c r="Z278"/>
    </row>
    <row r="279" spans="12:26" ht="16" customHeight="1" x14ac:dyDescent="0.2">
      <c r="V279"/>
      <c r="W279"/>
      <c r="X279"/>
      <c r="Y279"/>
      <c r="Z279"/>
    </row>
    <row r="280" spans="12:26" ht="16" customHeight="1" x14ac:dyDescent="0.2">
      <c r="V280"/>
      <c r="W280"/>
      <c r="X280"/>
      <c r="Y280"/>
      <c r="Z280"/>
    </row>
    <row r="281" spans="12:26" ht="16" customHeight="1" x14ac:dyDescent="0.2">
      <c r="V281"/>
      <c r="W281"/>
      <c r="X281"/>
      <c r="Y281"/>
      <c r="Z281"/>
    </row>
    <row r="282" spans="12:26" ht="16" customHeight="1" x14ac:dyDescent="0.2">
      <c r="V282"/>
      <c r="W282"/>
      <c r="X282"/>
      <c r="Y282"/>
      <c r="Z282"/>
    </row>
    <row r="283" spans="12:26" ht="16" customHeight="1" x14ac:dyDescent="0.2">
      <c r="V283"/>
      <c r="W283"/>
      <c r="X283"/>
      <c r="Y283"/>
      <c r="Z283"/>
    </row>
    <row r="284" spans="12:26" ht="16" customHeight="1" x14ac:dyDescent="0.2">
      <c r="V284"/>
      <c r="W284"/>
      <c r="X284"/>
      <c r="Y284"/>
      <c r="Z284"/>
    </row>
    <row r="285" spans="12:26" ht="16" customHeight="1" x14ac:dyDescent="0.2">
      <c r="V285"/>
      <c r="W285"/>
      <c r="X285"/>
      <c r="Y285"/>
      <c r="Z285"/>
    </row>
    <row r="286" spans="12:26" ht="16" customHeight="1" x14ac:dyDescent="0.2">
      <c r="V286"/>
      <c r="W286"/>
      <c r="X286"/>
      <c r="Y286"/>
      <c r="Z286"/>
    </row>
    <row r="287" spans="12:26" ht="16" customHeight="1" x14ac:dyDescent="0.2">
      <c r="V287"/>
      <c r="W287"/>
      <c r="X287"/>
      <c r="Y287"/>
      <c r="Z287"/>
    </row>
    <row r="288" spans="12:26" ht="16" customHeight="1" x14ac:dyDescent="0.2">
      <c r="V288"/>
      <c r="W288"/>
      <c r="X288"/>
      <c r="Y288"/>
      <c r="Z288"/>
    </row>
    <row r="289" spans="22:26" ht="16" customHeight="1" x14ac:dyDescent="0.2">
      <c r="V289"/>
      <c r="W289"/>
      <c r="X289"/>
      <c r="Y289"/>
      <c r="Z289"/>
    </row>
    <row r="290" spans="22:26" ht="16" customHeight="1" x14ac:dyDescent="0.2">
      <c r="V290"/>
      <c r="W290"/>
      <c r="X290"/>
      <c r="Y290"/>
      <c r="Z290"/>
    </row>
    <row r="291" spans="22:26" ht="16" customHeight="1" x14ac:dyDescent="0.2">
      <c r="V291"/>
      <c r="W291"/>
      <c r="X291"/>
      <c r="Y291"/>
      <c r="Z291"/>
    </row>
    <row r="292" spans="22:26" ht="16" customHeight="1" x14ac:dyDescent="0.2">
      <c r="V292"/>
      <c r="W292"/>
      <c r="X292"/>
      <c r="Y292"/>
      <c r="Z292"/>
    </row>
    <row r="293" spans="22:26" ht="16" customHeight="1" x14ac:dyDescent="0.2">
      <c r="V293"/>
      <c r="W293"/>
      <c r="X293"/>
      <c r="Y293"/>
      <c r="Z293"/>
    </row>
    <row r="294" spans="22:26" ht="16" customHeight="1" x14ac:dyDescent="0.2">
      <c r="V294"/>
      <c r="W294"/>
      <c r="X294"/>
      <c r="Y294"/>
      <c r="Z294"/>
    </row>
    <row r="295" spans="22:26" ht="16" customHeight="1" x14ac:dyDescent="0.2">
      <c r="V295"/>
      <c r="W295"/>
      <c r="X295"/>
      <c r="Y295"/>
      <c r="Z295"/>
    </row>
    <row r="296" spans="22:26" ht="16" customHeight="1" x14ac:dyDescent="0.2">
      <c r="V296"/>
      <c r="W296"/>
      <c r="X296"/>
      <c r="Y296"/>
      <c r="Z296"/>
    </row>
    <row r="297" spans="22:26" ht="16" customHeight="1" x14ac:dyDescent="0.2">
      <c r="V297"/>
      <c r="W297"/>
      <c r="X297"/>
      <c r="Y297"/>
      <c r="Z297"/>
    </row>
    <row r="298" spans="22:26" ht="16" customHeight="1" x14ac:dyDescent="0.2">
      <c r="V298"/>
      <c r="W298"/>
      <c r="X298"/>
      <c r="Y298"/>
      <c r="Z298"/>
    </row>
    <row r="299" spans="22:26" ht="16" customHeight="1" x14ac:dyDescent="0.2">
      <c r="V299"/>
      <c r="W299"/>
      <c r="X299"/>
      <c r="Y299"/>
      <c r="Z299"/>
    </row>
    <row r="300" spans="22:26" ht="16" customHeight="1" x14ac:dyDescent="0.2">
      <c r="V300"/>
      <c r="W300"/>
      <c r="X300"/>
      <c r="Y300"/>
      <c r="Z300"/>
    </row>
    <row r="301" spans="22:26" ht="16" customHeight="1" x14ac:dyDescent="0.2">
      <c r="V301"/>
      <c r="W301"/>
      <c r="X301"/>
      <c r="Y301"/>
      <c r="Z301"/>
    </row>
    <row r="302" spans="22:26" ht="16" customHeight="1" x14ac:dyDescent="0.2">
      <c r="V302"/>
      <c r="W302"/>
      <c r="X302"/>
      <c r="Y302"/>
      <c r="Z302"/>
    </row>
    <row r="303" spans="22:26" ht="16" customHeight="1" x14ac:dyDescent="0.2">
      <c r="V303"/>
      <c r="W303"/>
      <c r="X303"/>
      <c r="Y303"/>
      <c r="Z303"/>
    </row>
    <row r="304" spans="22:26" ht="16" customHeight="1" x14ac:dyDescent="0.2">
      <c r="V304"/>
      <c r="W304"/>
      <c r="X304"/>
      <c r="Y304"/>
      <c r="Z304"/>
    </row>
    <row r="305" spans="22:26" ht="16" customHeight="1" x14ac:dyDescent="0.2">
      <c r="V305"/>
      <c r="W305"/>
      <c r="X305"/>
      <c r="Y305"/>
      <c r="Z305"/>
    </row>
    <row r="306" spans="22:26" ht="16" customHeight="1" x14ac:dyDescent="0.2">
      <c r="V306"/>
      <c r="W306"/>
      <c r="X306"/>
      <c r="Y306"/>
      <c r="Z306"/>
    </row>
    <row r="307" spans="22:26" ht="16" customHeight="1" x14ac:dyDescent="0.2">
      <c r="V307"/>
      <c r="W307"/>
      <c r="X307"/>
      <c r="Y307"/>
      <c r="Z307"/>
    </row>
    <row r="308" spans="22:26" ht="16" customHeight="1" x14ac:dyDescent="0.2">
      <c r="V308"/>
      <c r="W308"/>
      <c r="X308"/>
      <c r="Y308"/>
      <c r="Z308"/>
    </row>
    <row r="309" spans="22:26" ht="16" customHeight="1" x14ac:dyDescent="0.2">
      <c r="V309"/>
      <c r="W309"/>
      <c r="X309"/>
      <c r="Y309"/>
      <c r="Z309"/>
    </row>
    <row r="310" spans="22:26" ht="16" customHeight="1" x14ac:dyDescent="0.2">
      <c r="V310"/>
      <c r="W310"/>
      <c r="X310"/>
      <c r="Y310"/>
      <c r="Z310"/>
    </row>
    <row r="311" spans="22:26" ht="16" customHeight="1" x14ac:dyDescent="0.2">
      <c r="V311"/>
      <c r="W311"/>
      <c r="X311"/>
      <c r="Y311"/>
      <c r="Z311"/>
    </row>
    <row r="312" spans="22:26" ht="16" customHeight="1" x14ac:dyDescent="0.2">
      <c r="V312"/>
      <c r="W312"/>
      <c r="X312"/>
      <c r="Y312"/>
      <c r="Z312"/>
    </row>
    <row r="313" spans="22:26" ht="16" customHeight="1" x14ac:dyDescent="0.2">
      <c r="V313"/>
      <c r="W313"/>
      <c r="X313"/>
      <c r="Y313"/>
      <c r="Z313"/>
    </row>
    <row r="314" spans="22:26" ht="16" customHeight="1" x14ac:dyDescent="0.2">
      <c r="V314"/>
      <c r="W314"/>
      <c r="X314"/>
      <c r="Y314"/>
      <c r="Z314"/>
    </row>
    <row r="315" spans="22:26" ht="16" customHeight="1" x14ac:dyDescent="0.2">
      <c r="V315"/>
      <c r="W315"/>
      <c r="X315"/>
      <c r="Y315"/>
      <c r="Z315"/>
    </row>
    <row r="316" spans="22:26" ht="16" customHeight="1" x14ac:dyDescent="0.2">
      <c r="V316"/>
      <c r="W316"/>
      <c r="X316"/>
      <c r="Y316"/>
      <c r="Z316"/>
    </row>
    <row r="317" spans="22:26" ht="16" customHeight="1" x14ac:dyDescent="0.2">
      <c r="V317"/>
      <c r="W317"/>
      <c r="X317"/>
      <c r="Y317"/>
      <c r="Z317"/>
    </row>
    <row r="318" spans="22:26" ht="16" customHeight="1" x14ac:dyDescent="0.2">
      <c r="V318"/>
      <c r="W318"/>
      <c r="X318"/>
      <c r="Y318"/>
      <c r="Z318"/>
    </row>
    <row r="319" spans="22:26" ht="16" customHeight="1" x14ac:dyDescent="0.2">
      <c r="V319"/>
      <c r="W319"/>
      <c r="X319"/>
      <c r="Y319"/>
      <c r="Z319"/>
    </row>
    <row r="320" spans="22:26" ht="16" customHeight="1" x14ac:dyDescent="0.2">
      <c r="V320"/>
      <c r="W320"/>
      <c r="X320"/>
      <c r="Y320"/>
      <c r="Z320"/>
    </row>
    <row r="321" spans="22:26" ht="16" customHeight="1" x14ac:dyDescent="0.2">
      <c r="V321"/>
      <c r="W321"/>
      <c r="X321"/>
      <c r="Y321"/>
      <c r="Z321"/>
    </row>
    <row r="322" spans="22:26" ht="16" customHeight="1" x14ac:dyDescent="0.2">
      <c r="V322"/>
      <c r="W322"/>
      <c r="X322"/>
      <c r="Y322"/>
      <c r="Z322"/>
    </row>
    <row r="323" spans="22:26" ht="16" customHeight="1" x14ac:dyDescent="0.2">
      <c r="V323"/>
      <c r="W323"/>
      <c r="X323"/>
      <c r="Y323"/>
      <c r="Z323"/>
    </row>
    <row r="324" spans="22:26" ht="16" customHeight="1" x14ac:dyDescent="0.2">
      <c r="V324"/>
      <c r="W324"/>
      <c r="X324"/>
      <c r="Y324"/>
      <c r="Z324"/>
    </row>
    <row r="325" spans="22:26" ht="16" customHeight="1" x14ac:dyDescent="0.2">
      <c r="V325"/>
      <c r="W325"/>
      <c r="X325"/>
      <c r="Y325"/>
      <c r="Z325"/>
    </row>
    <row r="326" spans="22:26" ht="16" customHeight="1" x14ac:dyDescent="0.2">
      <c r="V326"/>
      <c r="W326"/>
      <c r="X326"/>
      <c r="Y326"/>
      <c r="Z326"/>
    </row>
    <row r="327" spans="22:26" ht="16" customHeight="1" x14ac:dyDescent="0.2">
      <c r="V327"/>
      <c r="W327"/>
      <c r="X327"/>
      <c r="Y327"/>
      <c r="Z327"/>
    </row>
    <row r="328" spans="22:26" ht="16" customHeight="1" x14ac:dyDescent="0.2">
      <c r="V328"/>
      <c r="W328"/>
      <c r="X328"/>
      <c r="Y328"/>
      <c r="Z328"/>
    </row>
    <row r="329" spans="22:26" ht="16" customHeight="1" x14ac:dyDescent="0.2">
      <c r="V329"/>
      <c r="W329"/>
      <c r="X329"/>
      <c r="Y329"/>
      <c r="Z329"/>
    </row>
    <row r="330" spans="22:26" ht="16" customHeight="1" x14ac:dyDescent="0.2">
      <c r="V330"/>
      <c r="W330"/>
      <c r="X330"/>
      <c r="Y330"/>
      <c r="Z330"/>
    </row>
    <row r="331" spans="22:26" ht="16" customHeight="1" x14ac:dyDescent="0.2">
      <c r="V331"/>
      <c r="W331"/>
      <c r="X331"/>
      <c r="Y331"/>
      <c r="Z331"/>
    </row>
    <row r="332" spans="22:26" ht="16" customHeight="1" x14ac:dyDescent="0.2">
      <c r="V332"/>
      <c r="W332"/>
      <c r="X332"/>
      <c r="Y332"/>
      <c r="Z332"/>
    </row>
    <row r="333" spans="22:26" ht="16" customHeight="1" x14ac:dyDescent="0.2">
      <c r="V333"/>
      <c r="W333"/>
      <c r="X333"/>
      <c r="Y333"/>
      <c r="Z333"/>
    </row>
    <row r="334" spans="22:26" ht="16" customHeight="1" x14ac:dyDescent="0.2">
      <c r="V334"/>
      <c r="W334"/>
      <c r="X334"/>
      <c r="Y334"/>
      <c r="Z334"/>
    </row>
    <row r="335" spans="22:26" ht="16" customHeight="1" x14ac:dyDescent="0.2">
      <c r="V335"/>
      <c r="W335"/>
      <c r="X335"/>
      <c r="Y335"/>
      <c r="Z335"/>
    </row>
    <row r="336" spans="22:26" ht="16" customHeight="1" x14ac:dyDescent="0.2">
      <c r="V336"/>
      <c r="W336"/>
      <c r="X336"/>
      <c r="Y336"/>
      <c r="Z336"/>
    </row>
    <row r="337" spans="22:26" ht="16" customHeight="1" x14ac:dyDescent="0.2">
      <c r="V337"/>
      <c r="W337"/>
      <c r="X337"/>
      <c r="Y337"/>
      <c r="Z337"/>
    </row>
    <row r="338" spans="22:26" ht="16" customHeight="1" x14ac:dyDescent="0.2">
      <c r="V338"/>
      <c r="W338"/>
      <c r="X338"/>
      <c r="Y338"/>
      <c r="Z338"/>
    </row>
    <row r="339" spans="22:26" ht="16" customHeight="1" x14ac:dyDescent="0.2">
      <c r="V339"/>
      <c r="W339"/>
      <c r="X339"/>
      <c r="Y339"/>
      <c r="Z339"/>
    </row>
    <row r="340" spans="22:26" ht="16" customHeight="1" x14ac:dyDescent="0.2">
      <c r="V340"/>
      <c r="W340"/>
      <c r="X340"/>
      <c r="Y340"/>
      <c r="Z340"/>
    </row>
    <row r="341" spans="22:26" ht="16" customHeight="1" x14ac:dyDescent="0.2">
      <c r="V341"/>
      <c r="W341"/>
      <c r="X341"/>
      <c r="Y341"/>
      <c r="Z341"/>
    </row>
    <row r="342" spans="22:26" ht="16" customHeight="1" x14ac:dyDescent="0.2">
      <c r="V342"/>
      <c r="W342"/>
      <c r="X342"/>
      <c r="Y342"/>
      <c r="Z342"/>
    </row>
    <row r="343" spans="22:26" ht="16" customHeight="1" x14ac:dyDescent="0.2">
      <c r="V343"/>
      <c r="W343"/>
      <c r="X343"/>
      <c r="Y343"/>
      <c r="Z343"/>
    </row>
    <row r="344" spans="22:26" ht="16" customHeight="1" x14ac:dyDescent="0.2">
      <c r="V344"/>
      <c r="W344"/>
      <c r="X344"/>
      <c r="Y344"/>
      <c r="Z344"/>
    </row>
    <row r="345" spans="22:26" ht="16" customHeight="1" x14ac:dyDescent="0.2">
      <c r="V345"/>
      <c r="W345"/>
      <c r="X345"/>
      <c r="Y345"/>
      <c r="Z345"/>
    </row>
    <row r="346" spans="22:26" ht="16" customHeight="1" x14ac:dyDescent="0.2">
      <c r="V346"/>
      <c r="W346"/>
      <c r="X346"/>
      <c r="Y346"/>
      <c r="Z346"/>
    </row>
    <row r="347" spans="22:26" ht="16" customHeight="1" x14ac:dyDescent="0.2">
      <c r="V347"/>
      <c r="W347"/>
      <c r="X347"/>
      <c r="Y347"/>
      <c r="Z347"/>
    </row>
    <row r="348" spans="22:26" ht="16" customHeight="1" x14ac:dyDescent="0.2">
      <c r="V348"/>
      <c r="W348"/>
      <c r="X348"/>
      <c r="Y348"/>
      <c r="Z348"/>
    </row>
    <row r="349" spans="22:26" ht="16" customHeight="1" x14ac:dyDescent="0.2">
      <c r="V349"/>
      <c r="W349"/>
      <c r="X349"/>
      <c r="Y349"/>
      <c r="Z349"/>
    </row>
    <row r="350" spans="22:26" ht="16" customHeight="1" x14ac:dyDescent="0.2">
      <c r="V350"/>
      <c r="W350"/>
      <c r="X350"/>
      <c r="Y350"/>
      <c r="Z350"/>
    </row>
    <row r="351" spans="22:26" ht="16" customHeight="1" x14ac:dyDescent="0.2">
      <c r="V351"/>
      <c r="W351"/>
      <c r="X351"/>
      <c r="Y351"/>
      <c r="Z351"/>
    </row>
    <row r="352" spans="22:26" ht="16" customHeight="1" x14ac:dyDescent="0.2">
      <c r="V352"/>
      <c r="W352"/>
      <c r="X352"/>
      <c r="Y352"/>
      <c r="Z352"/>
    </row>
    <row r="353" spans="22:26" ht="16" customHeight="1" x14ac:dyDescent="0.2">
      <c r="V353"/>
      <c r="W353"/>
      <c r="X353"/>
      <c r="Y353"/>
      <c r="Z353"/>
    </row>
    <row r="354" spans="22:26" ht="16" customHeight="1" x14ac:dyDescent="0.2">
      <c r="V354"/>
      <c r="W354"/>
      <c r="X354"/>
      <c r="Y354"/>
      <c r="Z354"/>
    </row>
    <row r="355" spans="22:26" ht="16" customHeight="1" x14ac:dyDescent="0.2">
      <c r="V355"/>
      <c r="W355"/>
      <c r="X355"/>
      <c r="Y355"/>
      <c r="Z355"/>
    </row>
    <row r="356" spans="22:26" ht="16" customHeight="1" x14ac:dyDescent="0.2">
      <c r="V356"/>
      <c r="W356"/>
      <c r="X356"/>
      <c r="Y356"/>
      <c r="Z356"/>
    </row>
    <row r="357" spans="22:26" ht="16" customHeight="1" x14ac:dyDescent="0.2">
      <c r="V357"/>
      <c r="W357"/>
      <c r="X357"/>
      <c r="Y357"/>
      <c r="Z357"/>
    </row>
    <row r="358" spans="22:26" ht="16" customHeight="1" x14ac:dyDescent="0.2">
      <c r="V358"/>
      <c r="W358"/>
      <c r="X358"/>
      <c r="Y358"/>
      <c r="Z358"/>
    </row>
    <row r="359" spans="22:26" ht="16" customHeight="1" x14ac:dyDescent="0.2">
      <c r="V359"/>
      <c r="W359"/>
      <c r="X359"/>
      <c r="Y359"/>
      <c r="Z359"/>
    </row>
    <row r="360" spans="22:26" ht="16" customHeight="1" x14ac:dyDescent="0.2">
      <c r="V360"/>
      <c r="W360"/>
      <c r="X360"/>
      <c r="Y360"/>
      <c r="Z360"/>
    </row>
    <row r="361" spans="22:26" ht="16" customHeight="1" x14ac:dyDescent="0.2">
      <c r="V361"/>
      <c r="W361"/>
      <c r="X361"/>
      <c r="Y361"/>
      <c r="Z361"/>
    </row>
    <row r="362" spans="22:26" ht="16" customHeight="1" x14ac:dyDescent="0.2">
      <c r="V362"/>
      <c r="W362"/>
      <c r="X362"/>
      <c r="Y362"/>
      <c r="Z362"/>
    </row>
    <row r="363" spans="22:26" ht="16" customHeight="1" x14ac:dyDescent="0.2">
      <c r="V363"/>
      <c r="W363"/>
      <c r="X363"/>
      <c r="Y363"/>
      <c r="Z363"/>
    </row>
    <row r="364" spans="22:26" ht="16" customHeight="1" x14ac:dyDescent="0.2">
      <c r="V364"/>
      <c r="W364"/>
      <c r="X364"/>
      <c r="Y364"/>
      <c r="Z364"/>
    </row>
    <row r="365" spans="22:26" ht="16" customHeight="1" x14ac:dyDescent="0.2">
      <c r="V365"/>
      <c r="W365"/>
      <c r="X365"/>
      <c r="Y365"/>
      <c r="Z365"/>
    </row>
    <row r="366" spans="22:26" ht="16" customHeight="1" x14ac:dyDescent="0.2">
      <c r="V366"/>
      <c r="W366"/>
      <c r="X366"/>
      <c r="Y366"/>
      <c r="Z366"/>
    </row>
    <row r="367" spans="22:26" ht="16" customHeight="1" x14ac:dyDescent="0.2">
      <c r="V367"/>
      <c r="W367"/>
      <c r="X367"/>
      <c r="Y367"/>
      <c r="Z367"/>
    </row>
    <row r="368" spans="22:26" ht="16" customHeight="1" x14ac:dyDescent="0.2">
      <c r="V368"/>
      <c r="W368"/>
      <c r="X368"/>
      <c r="Y368"/>
      <c r="Z368"/>
    </row>
    <row r="369" spans="22:26" ht="16" customHeight="1" x14ac:dyDescent="0.2">
      <c r="V369"/>
      <c r="W369"/>
      <c r="X369"/>
      <c r="Y369"/>
      <c r="Z369"/>
    </row>
    <row r="370" spans="22:26" ht="16" customHeight="1" x14ac:dyDescent="0.2">
      <c r="V370"/>
      <c r="W370"/>
      <c r="X370"/>
      <c r="Y370"/>
      <c r="Z370"/>
    </row>
    <row r="371" spans="22:26" ht="16" customHeight="1" x14ac:dyDescent="0.2">
      <c r="V371"/>
      <c r="W371"/>
      <c r="X371"/>
      <c r="Y371"/>
      <c r="Z371"/>
    </row>
    <row r="372" spans="22:26" ht="16" customHeight="1" x14ac:dyDescent="0.2">
      <c r="V372"/>
      <c r="W372"/>
      <c r="X372"/>
      <c r="Y372"/>
      <c r="Z372"/>
    </row>
    <row r="373" spans="22:26" ht="16" customHeight="1" x14ac:dyDescent="0.2">
      <c r="V373"/>
      <c r="W373"/>
      <c r="X373"/>
      <c r="Y373"/>
      <c r="Z373"/>
    </row>
    <row r="374" spans="22:26" ht="16" customHeight="1" x14ac:dyDescent="0.2">
      <c r="V374"/>
      <c r="W374"/>
      <c r="X374"/>
      <c r="Y374"/>
      <c r="Z374"/>
    </row>
    <row r="375" spans="22:26" ht="16" customHeight="1" x14ac:dyDescent="0.2">
      <c r="V375"/>
      <c r="W375"/>
      <c r="X375"/>
      <c r="Y375"/>
      <c r="Z375"/>
    </row>
    <row r="376" spans="22:26" ht="16" customHeight="1" x14ac:dyDescent="0.2">
      <c r="V376"/>
      <c r="W376"/>
      <c r="X376"/>
      <c r="Y376"/>
      <c r="Z376"/>
    </row>
    <row r="377" spans="22:26" ht="16" customHeight="1" x14ac:dyDescent="0.2">
      <c r="V377"/>
      <c r="W377"/>
      <c r="X377"/>
      <c r="Y377"/>
      <c r="Z377"/>
    </row>
    <row r="378" spans="22:26" ht="16" customHeight="1" x14ac:dyDescent="0.2">
      <c r="V378"/>
      <c r="W378"/>
      <c r="X378"/>
      <c r="Y378"/>
      <c r="Z378"/>
    </row>
    <row r="379" spans="22:26" ht="16" customHeight="1" x14ac:dyDescent="0.2">
      <c r="V379"/>
      <c r="W379"/>
      <c r="X379"/>
      <c r="Y379"/>
      <c r="Z379"/>
    </row>
    <row r="380" spans="22:26" ht="16" customHeight="1" x14ac:dyDescent="0.2">
      <c r="V380"/>
      <c r="W380"/>
      <c r="X380"/>
      <c r="Y380"/>
      <c r="Z380"/>
    </row>
    <row r="381" spans="22:26" ht="16" customHeight="1" x14ac:dyDescent="0.2">
      <c r="V381"/>
      <c r="W381"/>
      <c r="X381"/>
      <c r="Y381"/>
      <c r="Z381"/>
    </row>
    <row r="382" spans="22:26" ht="16" customHeight="1" x14ac:dyDescent="0.2">
      <c r="V382"/>
      <c r="W382"/>
      <c r="X382"/>
      <c r="Y382"/>
      <c r="Z382"/>
    </row>
    <row r="383" spans="22:26" ht="16" customHeight="1" x14ac:dyDescent="0.2">
      <c r="V383"/>
      <c r="W383"/>
      <c r="X383"/>
      <c r="Y383"/>
      <c r="Z383"/>
    </row>
    <row r="384" spans="22:26" ht="16" customHeight="1" x14ac:dyDescent="0.2">
      <c r="V384"/>
      <c r="W384"/>
      <c r="X384"/>
      <c r="Y384"/>
      <c r="Z384"/>
    </row>
    <row r="385" spans="22:26" ht="16" customHeight="1" x14ac:dyDescent="0.2">
      <c r="V385"/>
      <c r="W385"/>
      <c r="X385"/>
      <c r="Y385"/>
      <c r="Z385"/>
    </row>
    <row r="386" spans="22:26" ht="16" customHeight="1" x14ac:dyDescent="0.2">
      <c r="V386"/>
      <c r="W386"/>
      <c r="X386"/>
      <c r="Y386"/>
      <c r="Z386"/>
    </row>
    <row r="387" spans="22:26" ht="16" customHeight="1" x14ac:dyDescent="0.2">
      <c r="V387"/>
      <c r="W387"/>
      <c r="X387"/>
      <c r="Y387"/>
      <c r="Z387"/>
    </row>
    <row r="388" spans="22:26" ht="16" customHeight="1" x14ac:dyDescent="0.2">
      <c r="V388"/>
      <c r="W388"/>
      <c r="X388"/>
      <c r="Y388"/>
      <c r="Z388"/>
    </row>
    <row r="389" spans="22:26" ht="16" customHeight="1" x14ac:dyDescent="0.2">
      <c r="V389"/>
      <c r="W389"/>
      <c r="X389"/>
      <c r="Y389"/>
      <c r="Z389"/>
    </row>
    <row r="390" spans="22:26" ht="16" customHeight="1" x14ac:dyDescent="0.2">
      <c r="V390"/>
      <c r="W390"/>
      <c r="X390"/>
      <c r="Y390"/>
      <c r="Z390"/>
    </row>
    <row r="391" spans="22:26" ht="16" customHeight="1" x14ac:dyDescent="0.2">
      <c r="V391"/>
      <c r="W391"/>
      <c r="X391"/>
      <c r="Y391"/>
      <c r="Z391"/>
    </row>
    <row r="392" spans="22:26" ht="16" customHeight="1" x14ac:dyDescent="0.2">
      <c r="V392"/>
      <c r="W392"/>
      <c r="X392"/>
      <c r="Y392"/>
      <c r="Z392"/>
    </row>
    <row r="393" spans="22:26" ht="16" customHeight="1" x14ac:dyDescent="0.2">
      <c r="V393"/>
      <c r="W393"/>
      <c r="X393"/>
      <c r="Y393"/>
      <c r="Z393"/>
    </row>
    <row r="394" spans="22:26" ht="16" customHeight="1" x14ac:dyDescent="0.2">
      <c r="V394"/>
      <c r="W394"/>
      <c r="X394"/>
      <c r="Y394"/>
      <c r="Z394"/>
    </row>
    <row r="395" spans="22:26" ht="16" customHeight="1" x14ac:dyDescent="0.2">
      <c r="V395"/>
      <c r="W395"/>
      <c r="X395"/>
      <c r="Y395"/>
      <c r="Z395"/>
    </row>
    <row r="396" spans="22:26" ht="16" customHeight="1" x14ac:dyDescent="0.2">
      <c r="V396"/>
      <c r="W396"/>
      <c r="X396"/>
      <c r="Y396"/>
      <c r="Z396"/>
    </row>
    <row r="397" spans="22:26" ht="16" customHeight="1" x14ac:dyDescent="0.2">
      <c r="V397"/>
      <c r="W397"/>
      <c r="X397"/>
      <c r="Y397"/>
      <c r="Z397"/>
    </row>
    <row r="398" spans="22:26" ht="16" customHeight="1" x14ac:dyDescent="0.2">
      <c r="V398"/>
      <c r="W398"/>
      <c r="X398"/>
      <c r="Y398"/>
      <c r="Z398"/>
    </row>
    <row r="399" spans="22:26" ht="16" customHeight="1" x14ac:dyDescent="0.2">
      <c r="V399"/>
      <c r="W399"/>
      <c r="X399"/>
      <c r="Y399"/>
      <c r="Z399"/>
    </row>
    <row r="400" spans="22:26" ht="16" customHeight="1" x14ac:dyDescent="0.2">
      <c r="V400"/>
      <c r="W400"/>
      <c r="X400"/>
      <c r="Y400"/>
      <c r="Z400"/>
    </row>
    <row r="401" spans="22:26" ht="16" customHeight="1" x14ac:dyDescent="0.2">
      <c r="V401"/>
      <c r="W401"/>
      <c r="X401"/>
      <c r="Y401"/>
      <c r="Z401"/>
    </row>
    <row r="402" spans="22:26" ht="16" customHeight="1" x14ac:dyDescent="0.2">
      <c r="V402"/>
      <c r="W402"/>
      <c r="X402"/>
      <c r="Y402"/>
      <c r="Z402"/>
    </row>
    <row r="403" spans="22:26" ht="16" customHeight="1" x14ac:dyDescent="0.2">
      <c r="V403"/>
      <c r="W403"/>
      <c r="X403"/>
      <c r="Y403"/>
      <c r="Z403"/>
    </row>
    <row r="404" spans="22:26" ht="16" customHeight="1" x14ac:dyDescent="0.2">
      <c r="V404"/>
      <c r="W404"/>
      <c r="X404"/>
      <c r="Y404"/>
      <c r="Z404"/>
    </row>
    <row r="405" spans="22:26" ht="16" customHeight="1" x14ac:dyDescent="0.2">
      <c r="V405"/>
      <c r="W405"/>
      <c r="X405"/>
      <c r="Y405"/>
      <c r="Z405"/>
    </row>
    <row r="406" spans="22:26" ht="16" customHeight="1" x14ac:dyDescent="0.2">
      <c r="V406"/>
      <c r="W406"/>
      <c r="X406"/>
      <c r="Y406"/>
      <c r="Z406"/>
    </row>
    <row r="407" spans="22:26" ht="16" customHeight="1" x14ac:dyDescent="0.2">
      <c r="V407"/>
      <c r="W407"/>
      <c r="X407"/>
      <c r="Y407"/>
      <c r="Z407"/>
    </row>
    <row r="408" spans="22:26" ht="16" customHeight="1" x14ac:dyDescent="0.2">
      <c r="V408"/>
      <c r="W408"/>
      <c r="X408"/>
      <c r="Y408"/>
      <c r="Z408"/>
    </row>
    <row r="409" spans="22:26" ht="16" customHeight="1" x14ac:dyDescent="0.2">
      <c r="V409"/>
      <c r="W409"/>
      <c r="X409"/>
      <c r="Y409"/>
      <c r="Z409"/>
    </row>
    <row r="410" spans="22:26" ht="16" customHeight="1" x14ac:dyDescent="0.2">
      <c r="V410"/>
      <c r="W410"/>
      <c r="X410"/>
      <c r="Y410"/>
      <c r="Z410"/>
    </row>
    <row r="411" spans="22:26" ht="16" customHeight="1" x14ac:dyDescent="0.2">
      <c r="V411"/>
      <c r="W411"/>
      <c r="X411"/>
      <c r="Y411"/>
      <c r="Z411"/>
    </row>
    <row r="412" spans="22:26" ht="16" customHeight="1" x14ac:dyDescent="0.2">
      <c r="V412"/>
      <c r="W412"/>
      <c r="X412"/>
      <c r="Y412"/>
      <c r="Z412"/>
    </row>
    <row r="413" spans="22:26" ht="16" customHeight="1" x14ac:dyDescent="0.2">
      <c r="V413"/>
      <c r="W413"/>
      <c r="X413"/>
      <c r="Y413"/>
      <c r="Z413"/>
    </row>
    <row r="414" spans="22:26" ht="16" customHeight="1" x14ac:dyDescent="0.2">
      <c r="V414"/>
      <c r="W414"/>
      <c r="X414"/>
      <c r="Y414"/>
      <c r="Z414"/>
    </row>
    <row r="415" spans="22:26" ht="16" customHeight="1" x14ac:dyDescent="0.2">
      <c r="V415"/>
      <c r="W415"/>
      <c r="X415"/>
      <c r="Y415"/>
      <c r="Z415"/>
    </row>
    <row r="416" spans="22:26" ht="16" customHeight="1" x14ac:dyDescent="0.2">
      <c r="V416"/>
      <c r="W416"/>
      <c r="X416"/>
      <c r="Y416"/>
      <c r="Z416"/>
    </row>
    <row r="417" spans="22:26" ht="16" customHeight="1" x14ac:dyDescent="0.2">
      <c r="V417"/>
      <c r="W417"/>
      <c r="X417"/>
      <c r="Y417"/>
      <c r="Z417"/>
    </row>
    <row r="418" spans="22:26" ht="16" customHeight="1" x14ac:dyDescent="0.2">
      <c r="V418"/>
      <c r="W418"/>
      <c r="X418"/>
      <c r="Y418"/>
      <c r="Z418"/>
    </row>
    <row r="419" spans="22:26" ht="16" customHeight="1" x14ac:dyDescent="0.2">
      <c r="V419"/>
      <c r="W419"/>
      <c r="X419"/>
      <c r="Y419"/>
      <c r="Z419"/>
    </row>
    <row r="420" spans="22:26" ht="16" customHeight="1" x14ac:dyDescent="0.2">
      <c r="V420"/>
      <c r="W420"/>
      <c r="X420"/>
      <c r="Y420"/>
      <c r="Z420"/>
    </row>
    <row r="421" spans="22:26" ht="16" customHeight="1" x14ac:dyDescent="0.2">
      <c r="V421"/>
      <c r="W421"/>
      <c r="X421"/>
      <c r="Y421"/>
      <c r="Z421"/>
    </row>
    <row r="422" spans="22:26" ht="16" customHeight="1" x14ac:dyDescent="0.2">
      <c r="V422"/>
      <c r="W422"/>
      <c r="X422"/>
      <c r="Y422"/>
      <c r="Z422"/>
    </row>
    <row r="423" spans="22:26" ht="16" customHeight="1" x14ac:dyDescent="0.2">
      <c r="V423"/>
      <c r="W423"/>
      <c r="X423"/>
      <c r="Y423"/>
      <c r="Z423"/>
    </row>
    <row r="424" spans="22:26" ht="16" customHeight="1" x14ac:dyDescent="0.2">
      <c r="V424"/>
      <c r="W424"/>
      <c r="X424"/>
      <c r="Y424"/>
      <c r="Z424"/>
    </row>
    <row r="425" spans="22:26" ht="16" customHeight="1" x14ac:dyDescent="0.2">
      <c r="V425"/>
      <c r="W425"/>
      <c r="X425"/>
      <c r="Y425"/>
      <c r="Z425"/>
    </row>
    <row r="426" spans="22:26" ht="16" customHeight="1" x14ac:dyDescent="0.2">
      <c r="V426"/>
      <c r="W426"/>
      <c r="X426"/>
      <c r="Y426"/>
      <c r="Z426"/>
    </row>
    <row r="427" spans="22:26" ht="16" customHeight="1" x14ac:dyDescent="0.2">
      <c r="V427"/>
      <c r="W427"/>
      <c r="X427"/>
      <c r="Y427"/>
      <c r="Z427"/>
    </row>
    <row r="428" spans="22:26" ht="16" customHeight="1" x14ac:dyDescent="0.2">
      <c r="V428"/>
      <c r="W428"/>
      <c r="X428"/>
      <c r="Y428"/>
      <c r="Z428"/>
    </row>
    <row r="429" spans="22:26" ht="16" customHeight="1" x14ac:dyDescent="0.2">
      <c r="V429"/>
      <c r="W429"/>
      <c r="X429"/>
      <c r="Y429"/>
      <c r="Z429"/>
    </row>
    <row r="430" spans="22:26" ht="16" customHeight="1" x14ac:dyDescent="0.2">
      <c r="V430"/>
      <c r="W430"/>
      <c r="X430"/>
      <c r="Y430"/>
      <c r="Z430"/>
    </row>
    <row r="431" spans="22:26" ht="16" customHeight="1" x14ac:dyDescent="0.2">
      <c r="V431"/>
      <c r="W431"/>
      <c r="X431"/>
      <c r="Y431"/>
      <c r="Z431"/>
    </row>
    <row r="432" spans="22:26" ht="16" customHeight="1" x14ac:dyDescent="0.2">
      <c r="V432"/>
      <c r="W432"/>
      <c r="X432"/>
      <c r="Y432"/>
      <c r="Z432"/>
    </row>
    <row r="433" spans="22:26" ht="16" customHeight="1" x14ac:dyDescent="0.2">
      <c r="V433"/>
      <c r="W433"/>
      <c r="X433"/>
      <c r="Y433"/>
      <c r="Z433"/>
    </row>
    <row r="434" spans="22:26" ht="16" customHeight="1" x14ac:dyDescent="0.2">
      <c r="V434"/>
      <c r="W434"/>
      <c r="X434"/>
      <c r="Y434"/>
      <c r="Z434"/>
    </row>
    <row r="435" spans="22:26" ht="16" customHeight="1" x14ac:dyDescent="0.2">
      <c r="V435"/>
      <c r="W435"/>
      <c r="X435"/>
      <c r="Y435"/>
      <c r="Z435"/>
    </row>
    <row r="436" spans="22:26" ht="16" customHeight="1" x14ac:dyDescent="0.2">
      <c r="V436"/>
      <c r="W436"/>
      <c r="X436"/>
      <c r="Y436"/>
      <c r="Z436"/>
    </row>
    <row r="437" spans="22:26" ht="16" customHeight="1" x14ac:dyDescent="0.2">
      <c r="V437"/>
      <c r="W437"/>
      <c r="X437"/>
      <c r="Y437"/>
      <c r="Z437"/>
    </row>
    <row r="438" spans="22:26" ht="16" customHeight="1" x14ac:dyDescent="0.2">
      <c r="V438"/>
      <c r="W438"/>
      <c r="X438"/>
      <c r="Y438"/>
      <c r="Z438"/>
    </row>
    <row r="439" spans="22:26" ht="16" customHeight="1" x14ac:dyDescent="0.2">
      <c r="V439"/>
      <c r="W439"/>
      <c r="X439"/>
      <c r="Y439"/>
      <c r="Z439"/>
    </row>
    <row r="440" spans="22:26" ht="16" customHeight="1" x14ac:dyDescent="0.2">
      <c r="V440"/>
      <c r="W440"/>
      <c r="X440"/>
      <c r="Y440"/>
      <c r="Z440"/>
    </row>
    <row r="441" spans="22:26" ht="16" customHeight="1" x14ac:dyDescent="0.2">
      <c r="V441"/>
      <c r="W441"/>
      <c r="X441"/>
      <c r="Y441"/>
      <c r="Z441"/>
    </row>
    <row r="442" spans="22:26" ht="16" customHeight="1" x14ac:dyDescent="0.2">
      <c r="V442"/>
      <c r="W442"/>
      <c r="X442"/>
      <c r="Y442"/>
      <c r="Z442"/>
    </row>
    <row r="443" spans="22:26" ht="16" customHeight="1" x14ac:dyDescent="0.2">
      <c r="V443"/>
      <c r="W443"/>
      <c r="X443"/>
      <c r="Y443"/>
      <c r="Z443"/>
    </row>
    <row r="444" spans="22:26" ht="16" customHeight="1" x14ac:dyDescent="0.2">
      <c r="V444"/>
      <c r="W444"/>
      <c r="X444"/>
      <c r="Y444"/>
      <c r="Z444"/>
    </row>
    <row r="445" spans="22:26" ht="16" customHeight="1" x14ac:dyDescent="0.2">
      <c r="V445"/>
      <c r="W445"/>
      <c r="X445"/>
      <c r="Y445"/>
      <c r="Z445"/>
    </row>
    <row r="446" spans="22:26" ht="16" customHeight="1" x14ac:dyDescent="0.2">
      <c r="V446"/>
      <c r="W446"/>
      <c r="X446"/>
      <c r="Y446"/>
      <c r="Z446"/>
    </row>
    <row r="447" spans="22:26" ht="16" customHeight="1" x14ac:dyDescent="0.2">
      <c r="V447"/>
      <c r="W447"/>
      <c r="X447"/>
      <c r="Y447"/>
      <c r="Z447"/>
    </row>
    <row r="448" spans="22:26" ht="16" customHeight="1" x14ac:dyDescent="0.2">
      <c r="V448"/>
      <c r="W448"/>
      <c r="X448"/>
      <c r="Y448"/>
      <c r="Z448"/>
    </row>
    <row r="449" spans="22:26" ht="16" customHeight="1" x14ac:dyDescent="0.2">
      <c r="V449"/>
      <c r="W449"/>
      <c r="X449"/>
      <c r="Y449"/>
      <c r="Z449"/>
    </row>
    <row r="450" spans="22:26" ht="16" customHeight="1" x14ac:dyDescent="0.2">
      <c r="V450"/>
      <c r="W450"/>
      <c r="X450"/>
      <c r="Y450"/>
      <c r="Z450"/>
    </row>
    <row r="451" spans="22:26" ht="16" customHeight="1" x14ac:dyDescent="0.2">
      <c r="V451"/>
      <c r="W451"/>
      <c r="X451"/>
      <c r="Y451"/>
      <c r="Z451"/>
    </row>
    <row r="452" spans="22:26" ht="16" customHeight="1" x14ac:dyDescent="0.2">
      <c r="V452"/>
      <c r="W452"/>
      <c r="X452"/>
      <c r="Y452"/>
      <c r="Z452"/>
    </row>
    <row r="453" spans="22:26" ht="16" customHeight="1" x14ac:dyDescent="0.2">
      <c r="V453"/>
      <c r="W453"/>
      <c r="X453"/>
      <c r="Y453"/>
      <c r="Z453"/>
    </row>
    <row r="454" spans="22:26" ht="16" customHeight="1" x14ac:dyDescent="0.2">
      <c r="V454"/>
      <c r="W454"/>
      <c r="X454"/>
      <c r="Y454"/>
      <c r="Z454"/>
    </row>
    <row r="455" spans="22:26" ht="16" customHeight="1" x14ac:dyDescent="0.2">
      <c r="V455"/>
      <c r="W455"/>
      <c r="X455"/>
      <c r="Y455"/>
      <c r="Z455"/>
    </row>
    <row r="456" spans="22:26" ht="16" customHeight="1" x14ac:dyDescent="0.2">
      <c r="V456"/>
      <c r="W456"/>
      <c r="X456"/>
      <c r="Y456"/>
      <c r="Z456"/>
    </row>
    <row r="457" spans="22:26" ht="16" customHeight="1" x14ac:dyDescent="0.2">
      <c r="V457"/>
      <c r="W457"/>
      <c r="X457"/>
      <c r="Y457"/>
      <c r="Z457"/>
    </row>
    <row r="458" spans="22:26" ht="16" customHeight="1" x14ac:dyDescent="0.2">
      <c r="V458"/>
      <c r="W458"/>
      <c r="X458"/>
      <c r="Y458"/>
      <c r="Z458"/>
    </row>
    <row r="459" spans="22:26" ht="16" customHeight="1" x14ac:dyDescent="0.2">
      <c r="V459"/>
      <c r="W459"/>
      <c r="X459"/>
      <c r="Y459"/>
      <c r="Z459"/>
    </row>
    <row r="460" spans="22:26" ht="16" customHeight="1" x14ac:dyDescent="0.2">
      <c r="V460"/>
      <c r="W460"/>
      <c r="X460"/>
      <c r="Y460"/>
      <c r="Z460"/>
    </row>
    <row r="461" spans="22:26" ht="16" customHeight="1" x14ac:dyDescent="0.2">
      <c r="V461"/>
      <c r="W461"/>
      <c r="X461"/>
      <c r="Y461"/>
      <c r="Z461"/>
    </row>
    <row r="462" spans="22:26" ht="16" customHeight="1" x14ac:dyDescent="0.2">
      <c r="V462"/>
      <c r="W462"/>
      <c r="X462"/>
      <c r="Y462"/>
      <c r="Z462"/>
    </row>
    <row r="463" spans="22:26" ht="16" customHeight="1" x14ac:dyDescent="0.2">
      <c r="V463"/>
      <c r="W463"/>
      <c r="X463"/>
      <c r="Y463"/>
      <c r="Z463"/>
    </row>
    <row r="464" spans="22:26" ht="16" customHeight="1" x14ac:dyDescent="0.2">
      <c r="V464"/>
      <c r="W464"/>
      <c r="X464"/>
      <c r="Y464"/>
      <c r="Z464"/>
    </row>
    <row r="465" spans="22:26" ht="16" customHeight="1" x14ac:dyDescent="0.2">
      <c r="V465"/>
      <c r="W465"/>
      <c r="X465"/>
      <c r="Y465"/>
      <c r="Z465"/>
    </row>
    <row r="466" spans="22:26" ht="16" customHeight="1" x14ac:dyDescent="0.2">
      <c r="V466"/>
      <c r="W466"/>
      <c r="X466"/>
      <c r="Y466"/>
      <c r="Z466"/>
    </row>
    <row r="467" spans="22:26" ht="16" customHeight="1" x14ac:dyDescent="0.2">
      <c r="V467"/>
      <c r="W467"/>
      <c r="X467"/>
      <c r="Y467"/>
      <c r="Z467"/>
    </row>
    <row r="468" spans="22:26" ht="16" customHeight="1" x14ac:dyDescent="0.2">
      <c r="V468"/>
      <c r="W468"/>
      <c r="X468"/>
      <c r="Y468"/>
      <c r="Z468"/>
    </row>
    <row r="469" spans="22:26" ht="16" customHeight="1" x14ac:dyDescent="0.2">
      <c r="V469"/>
      <c r="W469"/>
      <c r="X469"/>
      <c r="Y469"/>
      <c r="Z469"/>
    </row>
    <row r="470" spans="22:26" ht="16" customHeight="1" x14ac:dyDescent="0.2">
      <c r="V470"/>
      <c r="W470"/>
      <c r="X470"/>
      <c r="Y470"/>
      <c r="Z470"/>
    </row>
    <row r="471" spans="22:26" ht="16" customHeight="1" x14ac:dyDescent="0.2">
      <c r="V471"/>
      <c r="W471"/>
      <c r="X471"/>
      <c r="Y471"/>
      <c r="Z471"/>
    </row>
    <row r="472" spans="22:26" ht="16" customHeight="1" x14ac:dyDescent="0.2">
      <c r="V472"/>
      <c r="W472"/>
      <c r="X472"/>
      <c r="Y472"/>
      <c r="Z472"/>
    </row>
    <row r="473" spans="22:26" ht="16" customHeight="1" x14ac:dyDescent="0.2">
      <c r="V473"/>
      <c r="W473"/>
      <c r="X473"/>
      <c r="Y473"/>
      <c r="Z473"/>
    </row>
    <row r="474" spans="22:26" x14ac:dyDescent="0.2">
      <c r="V474"/>
      <c r="W474"/>
      <c r="X474"/>
      <c r="Y474"/>
      <c r="Z474"/>
    </row>
    <row r="475" spans="22:26" x14ac:dyDescent="0.2">
      <c r="V475"/>
      <c r="W475"/>
      <c r="X475"/>
      <c r="Y475"/>
      <c r="Z475"/>
    </row>
    <row r="476" spans="22:26" x14ac:dyDescent="0.2">
      <c r="V476"/>
      <c r="W476"/>
      <c r="X476"/>
      <c r="Y476"/>
      <c r="Z476"/>
    </row>
    <row r="477" spans="22:26" x14ac:dyDescent="0.2">
      <c r="V477"/>
      <c r="W477"/>
      <c r="X477"/>
      <c r="Y477"/>
      <c r="Z477"/>
    </row>
    <row r="478" spans="22:26" x14ac:dyDescent="0.2">
      <c r="V478"/>
      <c r="W478"/>
      <c r="X478"/>
      <c r="Y478"/>
      <c r="Z478"/>
    </row>
    <row r="479" spans="22:26" x14ac:dyDescent="0.2">
      <c r="V479"/>
      <c r="W479"/>
      <c r="X479"/>
      <c r="Y479"/>
      <c r="Z479"/>
    </row>
    <row r="480" spans="22:26" x14ac:dyDescent="0.2">
      <c r="V480"/>
      <c r="W480"/>
      <c r="X480"/>
      <c r="Y480"/>
      <c r="Z480"/>
    </row>
    <row r="481" spans="22:26" x14ac:dyDescent="0.2">
      <c r="V481"/>
      <c r="W481"/>
      <c r="X481"/>
      <c r="Y481"/>
      <c r="Z481"/>
    </row>
    <row r="482" spans="22:26" x14ac:dyDescent="0.2">
      <c r="V482"/>
      <c r="W482"/>
      <c r="X482"/>
      <c r="Y482"/>
      <c r="Z482"/>
    </row>
    <row r="483" spans="22:26" x14ac:dyDescent="0.2">
      <c r="V483"/>
      <c r="W483"/>
      <c r="X483"/>
      <c r="Y483"/>
      <c r="Z483"/>
    </row>
    <row r="484" spans="22:26" x14ac:dyDescent="0.2">
      <c r="V484"/>
      <c r="W484"/>
      <c r="X484"/>
      <c r="Y484"/>
      <c r="Z484"/>
    </row>
    <row r="485" spans="22:26" x14ac:dyDescent="0.2">
      <c r="V485"/>
      <c r="W485"/>
      <c r="X485"/>
      <c r="Y485"/>
      <c r="Z485"/>
    </row>
    <row r="486" spans="22:26" x14ac:dyDescent="0.2">
      <c r="V486"/>
      <c r="W486"/>
      <c r="X486"/>
      <c r="Y486"/>
      <c r="Z486"/>
    </row>
    <row r="487" spans="22:26" x14ac:dyDescent="0.2">
      <c r="V487"/>
      <c r="W487"/>
      <c r="X487"/>
      <c r="Y487"/>
      <c r="Z487"/>
    </row>
    <row r="488" spans="22:26" x14ac:dyDescent="0.2">
      <c r="V488"/>
      <c r="W488"/>
      <c r="X488"/>
      <c r="Y488"/>
      <c r="Z488"/>
    </row>
    <row r="489" spans="22:26" x14ac:dyDescent="0.2">
      <c r="V489"/>
      <c r="W489"/>
      <c r="X489"/>
      <c r="Y489"/>
      <c r="Z489"/>
    </row>
    <row r="490" spans="22:26" x14ac:dyDescent="0.2">
      <c r="V490"/>
      <c r="W490"/>
      <c r="X490"/>
      <c r="Y490"/>
      <c r="Z490"/>
    </row>
    <row r="491" spans="22:26" x14ac:dyDescent="0.2">
      <c r="V491"/>
      <c r="W491"/>
      <c r="X491"/>
      <c r="Y491"/>
      <c r="Z491"/>
    </row>
    <row r="492" spans="22:26" x14ac:dyDescent="0.2">
      <c r="V492"/>
      <c r="W492"/>
      <c r="X492"/>
      <c r="Y492"/>
      <c r="Z492"/>
    </row>
    <row r="493" spans="22:26" x14ac:dyDescent="0.2">
      <c r="V493"/>
      <c r="W493"/>
      <c r="X493"/>
      <c r="Y493"/>
      <c r="Z493"/>
    </row>
    <row r="494" spans="22:26" x14ac:dyDescent="0.2">
      <c r="V494"/>
      <c r="W494"/>
      <c r="X494"/>
      <c r="Y494"/>
      <c r="Z494"/>
    </row>
    <row r="495" spans="22:26" x14ac:dyDescent="0.2">
      <c r="V495"/>
      <c r="W495"/>
      <c r="X495"/>
      <c r="Y495"/>
      <c r="Z495"/>
    </row>
    <row r="496" spans="22:26" x14ac:dyDescent="0.2">
      <c r="V496"/>
      <c r="W496"/>
      <c r="X496"/>
      <c r="Y496"/>
      <c r="Z496"/>
    </row>
    <row r="497" spans="22:26" x14ac:dyDescent="0.2">
      <c r="V497"/>
      <c r="W497"/>
      <c r="X497"/>
      <c r="Y497"/>
      <c r="Z497"/>
    </row>
    <row r="498" spans="22:26" x14ac:dyDescent="0.2">
      <c r="V498"/>
      <c r="W498"/>
      <c r="X498"/>
      <c r="Y498"/>
      <c r="Z498"/>
    </row>
    <row r="499" spans="22:26" x14ac:dyDescent="0.2">
      <c r="V499"/>
      <c r="W499"/>
      <c r="X499"/>
      <c r="Y499"/>
      <c r="Z499"/>
    </row>
    <row r="500" spans="22:26" x14ac:dyDescent="0.2">
      <c r="V500"/>
      <c r="W500"/>
      <c r="X500"/>
      <c r="Y500"/>
      <c r="Z500"/>
    </row>
    <row r="501" spans="22:26" x14ac:dyDescent="0.2">
      <c r="V501"/>
      <c r="W501"/>
      <c r="X501"/>
      <c r="Y501"/>
      <c r="Z501"/>
    </row>
    <row r="502" spans="22:26" x14ac:dyDescent="0.2">
      <c r="V502"/>
      <c r="W502"/>
      <c r="X502"/>
      <c r="Y502"/>
      <c r="Z502"/>
    </row>
    <row r="503" spans="22:26" x14ac:dyDescent="0.2">
      <c r="V503"/>
      <c r="W503"/>
      <c r="X503"/>
      <c r="Y503"/>
      <c r="Z503"/>
    </row>
    <row r="504" spans="22:26" x14ac:dyDescent="0.2">
      <c r="V504"/>
      <c r="W504"/>
      <c r="X504"/>
      <c r="Y504"/>
      <c r="Z504"/>
    </row>
    <row r="505" spans="22:26" x14ac:dyDescent="0.2">
      <c r="V505"/>
      <c r="W505"/>
      <c r="X505"/>
      <c r="Y505"/>
      <c r="Z505"/>
    </row>
    <row r="506" spans="22:26" x14ac:dyDescent="0.2">
      <c r="V506"/>
      <c r="W506"/>
      <c r="X506"/>
      <c r="Y506"/>
      <c r="Z506"/>
    </row>
    <row r="507" spans="22:26" x14ac:dyDescent="0.2">
      <c r="V507"/>
      <c r="W507"/>
      <c r="X507"/>
      <c r="Y507"/>
      <c r="Z507"/>
    </row>
    <row r="508" spans="22:26" x14ac:dyDescent="0.2">
      <c r="V508"/>
      <c r="W508"/>
      <c r="X508"/>
      <c r="Y508"/>
      <c r="Z508"/>
    </row>
    <row r="509" spans="22:26" x14ac:dyDescent="0.2">
      <c r="V509"/>
      <c r="W509"/>
      <c r="X509"/>
      <c r="Y509"/>
      <c r="Z509"/>
    </row>
    <row r="510" spans="22:26" x14ac:dyDescent="0.2">
      <c r="V510"/>
      <c r="W510"/>
      <c r="X510"/>
      <c r="Y510"/>
      <c r="Z510"/>
    </row>
    <row r="511" spans="22:26" x14ac:dyDescent="0.2">
      <c r="V511"/>
      <c r="W511"/>
      <c r="X511"/>
      <c r="Y511"/>
      <c r="Z511"/>
    </row>
    <row r="512" spans="22:26" x14ac:dyDescent="0.2">
      <c r="V512"/>
      <c r="W512"/>
      <c r="X512"/>
      <c r="Y512"/>
      <c r="Z512"/>
    </row>
    <row r="513" spans="22:26" x14ac:dyDescent="0.2">
      <c r="V513"/>
      <c r="W513"/>
      <c r="X513"/>
      <c r="Y513"/>
      <c r="Z513"/>
    </row>
    <row r="514" spans="22:26" x14ac:dyDescent="0.2">
      <c r="V514"/>
      <c r="W514"/>
      <c r="X514"/>
      <c r="Y514"/>
      <c r="Z514"/>
    </row>
    <row r="515" spans="22:26" x14ac:dyDescent="0.2">
      <c r="V515"/>
      <c r="W515"/>
      <c r="X515"/>
      <c r="Y515"/>
      <c r="Z515"/>
    </row>
    <row r="516" spans="22:26" x14ac:dyDescent="0.2">
      <c r="V516"/>
      <c r="W516"/>
      <c r="X516"/>
      <c r="Y516"/>
      <c r="Z516"/>
    </row>
    <row r="517" spans="22:26" x14ac:dyDescent="0.2">
      <c r="V517"/>
      <c r="W517"/>
      <c r="X517"/>
      <c r="Y517"/>
      <c r="Z517"/>
    </row>
    <row r="518" spans="22:26" x14ac:dyDescent="0.2">
      <c r="V518"/>
      <c r="W518"/>
      <c r="X518"/>
      <c r="Y518"/>
      <c r="Z518"/>
    </row>
    <row r="519" spans="22:26" x14ac:dyDescent="0.2">
      <c r="V519"/>
      <c r="W519"/>
      <c r="X519"/>
      <c r="Y519"/>
      <c r="Z519"/>
    </row>
    <row r="520" spans="22:26" x14ac:dyDescent="0.2">
      <c r="V520"/>
      <c r="W520"/>
      <c r="X520"/>
      <c r="Y520"/>
      <c r="Z520"/>
    </row>
    <row r="521" spans="22:26" x14ac:dyDescent="0.2">
      <c r="V521"/>
      <c r="W521"/>
      <c r="X521"/>
      <c r="Y521"/>
      <c r="Z521"/>
    </row>
    <row r="522" spans="22:26" x14ac:dyDescent="0.2">
      <c r="V522"/>
      <c r="W522"/>
      <c r="X522"/>
      <c r="Y522"/>
      <c r="Z522"/>
    </row>
    <row r="523" spans="22:26" x14ac:dyDescent="0.2">
      <c r="V523"/>
      <c r="W523"/>
      <c r="X523"/>
      <c r="Y523"/>
      <c r="Z523"/>
    </row>
    <row r="524" spans="22:26" x14ac:dyDescent="0.2">
      <c r="V524"/>
      <c r="W524"/>
      <c r="X524"/>
      <c r="Y524"/>
      <c r="Z524"/>
    </row>
    <row r="525" spans="22:26" x14ac:dyDescent="0.2">
      <c r="V525"/>
      <c r="W525"/>
      <c r="X525"/>
      <c r="Y525"/>
      <c r="Z525"/>
    </row>
    <row r="526" spans="22:26" x14ac:dyDescent="0.2">
      <c r="V526"/>
      <c r="W526"/>
      <c r="X526"/>
      <c r="Y526"/>
      <c r="Z526"/>
    </row>
    <row r="527" spans="22:26" x14ac:dyDescent="0.2">
      <c r="V527"/>
      <c r="W527"/>
      <c r="X527"/>
      <c r="Y527"/>
      <c r="Z527"/>
    </row>
    <row r="528" spans="22:26" x14ac:dyDescent="0.2">
      <c r="V528"/>
      <c r="W528"/>
      <c r="X528"/>
      <c r="Y528"/>
      <c r="Z528"/>
    </row>
    <row r="529" spans="22:26" x14ac:dyDescent="0.2">
      <c r="V529"/>
      <c r="W529"/>
      <c r="X529"/>
      <c r="Y529"/>
      <c r="Z529"/>
    </row>
    <row r="530" spans="22:26" x14ac:dyDescent="0.2">
      <c r="V530"/>
      <c r="W530"/>
      <c r="X530"/>
      <c r="Y530"/>
      <c r="Z530"/>
    </row>
    <row r="531" spans="22:26" x14ac:dyDescent="0.2">
      <c r="V531"/>
      <c r="W531"/>
      <c r="X531"/>
      <c r="Y531"/>
      <c r="Z531"/>
    </row>
    <row r="532" spans="22:26" x14ac:dyDescent="0.2">
      <c r="V532"/>
      <c r="W532"/>
      <c r="X532"/>
      <c r="Y532"/>
      <c r="Z532"/>
    </row>
    <row r="533" spans="22:26" x14ac:dyDescent="0.2">
      <c r="V533"/>
      <c r="W533"/>
      <c r="X533"/>
      <c r="Y533"/>
      <c r="Z533"/>
    </row>
    <row r="534" spans="22:26" x14ac:dyDescent="0.2">
      <c r="V534"/>
      <c r="W534"/>
      <c r="X534"/>
      <c r="Y534"/>
      <c r="Z534"/>
    </row>
    <row r="535" spans="22:26" x14ac:dyDescent="0.2">
      <c r="V535"/>
      <c r="W535"/>
      <c r="X535"/>
      <c r="Y535"/>
      <c r="Z535"/>
    </row>
    <row r="536" spans="22:26" x14ac:dyDescent="0.2">
      <c r="V536"/>
      <c r="W536"/>
      <c r="X536"/>
      <c r="Y536"/>
      <c r="Z536"/>
    </row>
    <row r="537" spans="22:26" x14ac:dyDescent="0.2">
      <c r="V537"/>
      <c r="W537"/>
      <c r="X537"/>
      <c r="Y537"/>
      <c r="Z537"/>
    </row>
    <row r="538" spans="22:26" x14ac:dyDescent="0.2">
      <c r="V538"/>
      <c r="W538"/>
      <c r="X538"/>
      <c r="Y538"/>
      <c r="Z538"/>
    </row>
    <row r="539" spans="22:26" x14ac:dyDescent="0.2">
      <c r="V539"/>
      <c r="W539"/>
      <c r="X539"/>
      <c r="Y539"/>
      <c r="Z539"/>
    </row>
    <row r="540" spans="22:26" x14ac:dyDescent="0.2">
      <c r="V540"/>
      <c r="W540"/>
      <c r="X540"/>
      <c r="Y540"/>
      <c r="Z540"/>
    </row>
    <row r="541" spans="22:26" x14ac:dyDescent="0.2">
      <c r="V541"/>
      <c r="W541"/>
      <c r="X541"/>
      <c r="Y541"/>
      <c r="Z541"/>
    </row>
    <row r="542" spans="22:26" x14ac:dyDescent="0.2">
      <c r="V542"/>
      <c r="W542"/>
      <c r="X542"/>
      <c r="Y542"/>
      <c r="Z542"/>
    </row>
    <row r="543" spans="22:26" x14ac:dyDescent="0.2">
      <c r="V543"/>
      <c r="W543"/>
      <c r="X543"/>
      <c r="Y543"/>
      <c r="Z543"/>
    </row>
    <row r="544" spans="22:26" x14ac:dyDescent="0.2">
      <c r="V544"/>
      <c r="W544"/>
      <c r="X544"/>
      <c r="Y544"/>
      <c r="Z544"/>
    </row>
    <row r="545" spans="22:26" x14ac:dyDescent="0.2">
      <c r="V545"/>
      <c r="W545"/>
      <c r="X545"/>
      <c r="Y545"/>
      <c r="Z545"/>
    </row>
    <row r="546" spans="22:26" x14ac:dyDescent="0.2">
      <c r="V546"/>
      <c r="W546"/>
      <c r="X546"/>
      <c r="Y546"/>
      <c r="Z546"/>
    </row>
    <row r="547" spans="22:26" x14ac:dyDescent="0.2">
      <c r="V547"/>
      <c r="W547"/>
      <c r="X547"/>
      <c r="Y547"/>
      <c r="Z547"/>
    </row>
    <row r="548" spans="22:26" x14ac:dyDescent="0.2">
      <c r="V548"/>
      <c r="W548"/>
      <c r="X548"/>
      <c r="Y548"/>
      <c r="Z548"/>
    </row>
    <row r="549" spans="22:26" x14ac:dyDescent="0.2">
      <c r="V549"/>
      <c r="W549"/>
      <c r="X549"/>
      <c r="Y549"/>
      <c r="Z549"/>
    </row>
    <row r="550" spans="22:26" x14ac:dyDescent="0.2">
      <c r="V550"/>
      <c r="W550"/>
      <c r="X550"/>
      <c r="Y550"/>
      <c r="Z550"/>
    </row>
    <row r="551" spans="22:26" x14ac:dyDescent="0.2">
      <c r="V551"/>
      <c r="W551"/>
      <c r="X551"/>
      <c r="Y551"/>
      <c r="Z551"/>
    </row>
    <row r="552" spans="22:26" x14ac:dyDescent="0.2">
      <c r="V552"/>
      <c r="W552"/>
      <c r="X552"/>
      <c r="Y552"/>
      <c r="Z552"/>
    </row>
    <row r="553" spans="22:26" x14ac:dyDescent="0.2">
      <c r="V553"/>
      <c r="W553"/>
      <c r="X553"/>
      <c r="Y553"/>
      <c r="Z553"/>
    </row>
    <row r="554" spans="22:26" x14ac:dyDescent="0.2">
      <c r="V554"/>
      <c r="W554"/>
      <c r="X554"/>
      <c r="Y554"/>
      <c r="Z554"/>
    </row>
    <row r="555" spans="22:26" x14ac:dyDescent="0.2">
      <c r="V555"/>
      <c r="W555"/>
      <c r="X555"/>
      <c r="Y555"/>
      <c r="Z555"/>
    </row>
    <row r="556" spans="22:26" x14ac:dyDescent="0.2">
      <c r="V556"/>
      <c r="W556"/>
      <c r="X556"/>
      <c r="Y556"/>
      <c r="Z556"/>
    </row>
    <row r="557" spans="22:26" x14ac:dyDescent="0.2">
      <c r="V557"/>
      <c r="W557"/>
      <c r="X557"/>
      <c r="Y557"/>
      <c r="Z557"/>
    </row>
    <row r="558" spans="22:26" x14ac:dyDescent="0.2">
      <c r="V558"/>
      <c r="W558"/>
      <c r="X558"/>
      <c r="Y558"/>
      <c r="Z558"/>
    </row>
    <row r="559" spans="22:26" x14ac:dyDescent="0.2">
      <c r="V559"/>
      <c r="W559"/>
      <c r="X559"/>
      <c r="Y559"/>
      <c r="Z559"/>
    </row>
    <row r="560" spans="22:26" x14ac:dyDescent="0.2">
      <c r="V560"/>
      <c r="W560"/>
      <c r="X560"/>
      <c r="Y560"/>
      <c r="Z560"/>
    </row>
    <row r="561" spans="22:26" x14ac:dyDescent="0.2">
      <c r="V561"/>
      <c r="W561"/>
      <c r="X561"/>
      <c r="Y561"/>
      <c r="Z561"/>
    </row>
    <row r="562" spans="22:26" x14ac:dyDescent="0.2">
      <c r="V562"/>
      <c r="W562"/>
      <c r="X562"/>
      <c r="Y562"/>
      <c r="Z562"/>
    </row>
    <row r="563" spans="22:26" x14ac:dyDescent="0.2">
      <c r="V563"/>
      <c r="W563"/>
      <c r="X563"/>
      <c r="Y563"/>
      <c r="Z563"/>
    </row>
    <row r="564" spans="22:26" x14ac:dyDescent="0.2">
      <c r="V564"/>
      <c r="W564"/>
      <c r="X564"/>
      <c r="Y564"/>
      <c r="Z564"/>
    </row>
    <row r="565" spans="22:26" x14ac:dyDescent="0.2">
      <c r="V565"/>
      <c r="W565"/>
      <c r="X565"/>
      <c r="Y565"/>
      <c r="Z565"/>
    </row>
    <row r="566" spans="22:26" x14ac:dyDescent="0.2">
      <c r="V566"/>
      <c r="W566"/>
      <c r="X566"/>
      <c r="Y566"/>
      <c r="Z566"/>
    </row>
    <row r="567" spans="22:26" x14ac:dyDescent="0.2">
      <c r="V567"/>
      <c r="W567"/>
      <c r="X567"/>
      <c r="Y567"/>
      <c r="Z567"/>
    </row>
    <row r="568" spans="22:26" x14ac:dyDescent="0.2">
      <c r="V568"/>
      <c r="W568"/>
      <c r="X568"/>
      <c r="Y568"/>
      <c r="Z568"/>
    </row>
    <row r="569" spans="22:26" x14ac:dyDescent="0.2">
      <c r="V569"/>
      <c r="W569"/>
      <c r="X569"/>
      <c r="Y569"/>
      <c r="Z569"/>
    </row>
    <row r="570" spans="22:26" x14ac:dyDescent="0.2">
      <c r="V570"/>
      <c r="W570"/>
      <c r="X570"/>
      <c r="Y570"/>
      <c r="Z570"/>
    </row>
    <row r="571" spans="22:26" x14ac:dyDescent="0.2">
      <c r="V571"/>
      <c r="W571"/>
      <c r="X571"/>
      <c r="Y571"/>
      <c r="Z571"/>
    </row>
    <row r="572" spans="22:26" x14ac:dyDescent="0.2">
      <c r="V572"/>
      <c r="W572"/>
      <c r="X572"/>
      <c r="Y572"/>
      <c r="Z572"/>
    </row>
    <row r="573" spans="22:26" x14ac:dyDescent="0.2">
      <c r="V573"/>
      <c r="W573"/>
      <c r="X573"/>
      <c r="Y573"/>
      <c r="Z573"/>
    </row>
    <row r="574" spans="22:26" x14ac:dyDescent="0.2">
      <c r="V574"/>
      <c r="W574"/>
      <c r="X574"/>
      <c r="Y574"/>
      <c r="Z574"/>
    </row>
    <row r="575" spans="22:26" x14ac:dyDescent="0.2">
      <c r="V575"/>
      <c r="W575"/>
      <c r="X575"/>
      <c r="Y575"/>
      <c r="Z575"/>
    </row>
    <row r="576" spans="22:26" x14ac:dyDescent="0.2">
      <c r="V576"/>
      <c r="W576"/>
      <c r="X576"/>
      <c r="Y576"/>
      <c r="Z576"/>
    </row>
    <row r="577" spans="22:26" x14ac:dyDescent="0.2">
      <c r="V577"/>
      <c r="W577"/>
      <c r="X577"/>
      <c r="Y577"/>
      <c r="Z577"/>
    </row>
    <row r="578" spans="22:26" x14ac:dyDescent="0.2">
      <c r="V578"/>
      <c r="W578"/>
      <c r="X578"/>
      <c r="Y578"/>
      <c r="Z578"/>
    </row>
    <row r="579" spans="22:26" x14ac:dyDescent="0.2">
      <c r="V579"/>
      <c r="W579"/>
      <c r="X579"/>
      <c r="Y579"/>
      <c r="Z579"/>
    </row>
    <row r="580" spans="22:26" x14ac:dyDescent="0.2">
      <c r="V580"/>
      <c r="W580"/>
      <c r="X580"/>
      <c r="Y580"/>
      <c r="Z580"/>
    </row>
    <row r="581" spans="22:26" x14ac:dyDescent="0.2">
      <c r="V581"/>
      <c r="W581"/>
      <c r="X581"/>
      <c r="Y581"/>
      <c r="Z581"/>
    </row>
    <row r="582" spans="22:26" x14ac:dyDescent="0.2">
      <c r="V582"/>
      <c r="W582"/>
      <c r="X582"/>
      <c r="Y582"/>
      <c r="Z582"/>
    </row>
    <row r="583" spans="22:26" x14ac:dyDescent="0.2">
      <c r="V583"/>
      <c r="W583"/>
      <c r="X583"/>
      <c r="Y583"/>
      <c r="Z583"/>
    </row>
    <row r="584" spans="22:26" x14ac:dyDescent="0.2">
      <c r="V584"/>
      <c r="W584"/>
      <c r="X584"/>
      <c r="Y584"/>
      <c r="Z584"/>
    </row>
    <row r="585" spans="22:26" x14ac:dyDescent="0.2">
      <c r="V585"/>
      <c r="W585"/>
      <c r="X585"/>
      <c r="Y585"/>
      <c r="Z585"/>
    </row>
    <row r="586" spans="22:26" x14ac:dyDescent="0.2">
      <c r="V586"/>
      <c r="W586"/>
      <c r="X586"/>
      <c r="Y586"/>
      <c r="Z586"/>
    </row>
    <row r="587" spans="22:26" x14ac:dyDescent="0.2">
      <c r="V587"/>
      <c r="W587"/>
      <c r="X587"/>
      <c r="Y587"/>
      <c r="Z587"/>
    </row>
    <row r="588" spans="22:26" x14ac:dyDescent="0.2">
      <c r="V588"/>
      <c r="W588"/>
      <c r="X588"/>
      <c r="Y588"/>
      <c r="Z588"/>
    </row>
    <row r="589" spans="22:26" x14ac:dyDescent="0.2">
      <c r="V589"/>
      <c r="W589"/>
      <c r="X589"/>
      <c r="Y589"/>
      <c r="Z589"/>
    </row>
    <row r="590" spans="22:26" x14ac:dyDescent="0.2">
      <c r="V590"/>
      <c r="W590"/>
      <c r="X590"/>
      <c r="Y590"/>
      <c r="Z590"/>
    </row>
    <row r="591" spans="22:26" x14ac:dyDescent="0.2">
      <c r="V591"/>
      <c r="W591"/>
      <c r="X591"/>
      <c r="Y591"/>
      <c r="Z591"/>
    </row>
    <row r="592" spans="22:26" x14ac:dyDescent="0.2">
      <c r="V592"/>
      <c r="W592"/>
      <c r="X592"/>
      <c r="Y592"/>
      <c r="Z592"/>
    </row>
    <row r="593" spans="22:26" x14ac:dyDescent="0.2">
      <c r="V593"/>
      <c r="W593"/>
      <c r="X593"/>
      <c r="Y593"/>
      <c r="Z593"/>
    </row>
    <row r="594" spans="22:26" x14ac:dyDescent="0.2">
      <c r="V594"/>
      <c r="W594"/>
      <c r="X594"/>
      <c r="Y594"/>
      <c r="Z594"/>
    </row>
    <row r="595" spans="22:26" x14ac:dyDescent="0.2">
      <c r="V595"/>
      <c r="W595"/>
      <c r="X595"/>
      <c r="Y595"/>
      <c r="Z595"/>
    </row>
    <row r="596" spans="22:26" x14ac:dyDescent="0.2">
      <c r="V596"/>
      <c r="W596"/>
      <c r="X596"/>
      <c r="Y596"/>
      <c r="Z596"/>
    </row>
    <row r="597" spans="22:26" x14ac:dyDescent="0.2">
      <c r="V597"/>
      <c r="W597"/>
      <c r="X597"/>
      <c r="Y597"/>
      <c r="Z597"/>
    </row>
    <row r="598" spans="22:26" x14ac:dyDescent="0.2">
      <c r="V598"/>
      <c r="W598"/>
      <c r="X598"/>
      <c r="Y598"/>
      <c r="Z598"/>
    </row>
    <row r="599" spans="22:26" x14ac:dyDescent="0.2">
      <c r="V599"/>
      <c r="W599"/>
      <c r="X599"/>
      <c r="Y599"/>
      <c r="Z599"/>
    </row>
    <row r="600" spans="22:26" x14ac:dyDescent="0.2">
      <c r="V600"/>
      <c r="W600"/>
      <c r="X600"/>
      <c r="Y600"/>
      <c r="Z600"/>
    </row>
    <row r="601" spans="22:26" x14ac:dyDescent="0.2">
      <c r="V601"/>
      <c r="W601"/>
      <c r="X601"/>
      <c r="Y601"/>
      <c r="Z601"/>
    </row>
    <row r="602" spans="22:26" x14ac:dyDescent="0.2">
      <c r="V602"/>
      <c r="W602"/>
      <c r="X602"/>
      <c r="Y602"/>
      <c r="Z602"/>
    </row>
    <row r="603" spans="22:26" x14ac:dyDescent="0.2">
      <c r="V603"/>
      <c r="W603"/>
      <c r="X603"/>
      <c r="Y603"/>
      <c r="Z603"/>
    </row>
    <row r="604" spans="22:26" x14ac:dyDescent="0.2">
      <c r="V604"/>
      <c r="W604"/>
      <c r="X604"/>
      <c r="Y604"/>
      <c r="Z604"/>
    </row>
    <row r="605" spans="22:26" x14ac:dyDescent="0.2">
      <c r="V605"/>
      <c r="W605"/>
      <c r="X605"/>
      <c r="Y605"/>
      <c r="Z605"/>
    </row>
    <row r="606" spans="22:26" x14ac:dyDescent="0.2">
      <c r="V606"/>
      <c r="W606"/>
      <c r="X606"/>
      <c r="Y606"/>
      <c r="Z606"/>
    </row>
    <row r="607" spans="22:26" x14ac:dyDescent="0.2">
      <c r="V607"/>
      <c r="W607"/>
      <c r="X607"/>
      <c r="Y607"/>
      <c r="Z607"/>
    </row>
    <row r="608" spans="22:26" x14ac:dyDescent="0.2">
      <c r="V608"/>
      <c r="W608"/>
      <c r="X608"/>
      <c r="Y608"/>
      <c r="Z608"/>
    </row>
    <row r="609" spans="22:26" x14ac:dyDescent="0.2">
      <c r="V609"/>
      <c r="W609"/>
      <c r="X609"/>
      <c r="Y609"/>
      <c r="Z609"/>
    </row>
    <row r="610" spans="22:26" x14ac:dyDescent="0.2">
      <c r="V610"/>
      <c r="W610"/>
      <c r="X610"/>
      <c r="Y610"/>
      <c r="Z610"/>
    </row>
    <row r="611" spans="22:26" x14ac:dyDescent="0.2">
      <c r="V611"/>
      <c r="W611"/>
      <c r="X611"/>
      <c r="Y611"/>
      <c r="Z611"/>
    </row>
    <row r="612" spans="22:26" x14ac:dyDescent="0.2">
      <c r="V612"/>
      <c r="W612"/>
      <c r="X612"/>
      <c r="Y612"/>
      <c r="Z612"/>
    </row>
    <row r="613" spans="22:26" x14ac:dyDescent="0.2">
      <c r="V613"/>
      <c r="W613"/>
      <c r="X613"/>
      <c r="Y613"/>
      <c r="Z613"/>
    </row>
    <row r="614" spans="22:26" x14ac:dyDescent="0.2">
      <c r="V614"/>
      <c r="W614"/>
      <c r="X614"/>
      <c r="Y614"/>
      <c r="Z614"/>
    </row>
    <row r="615" spans="22:26" x14ac:dyDescent="0.2">
      <c r="V615"/>
      <c r="W615"/>
      <c r="X615"/>
      <c r="Y615"/>
      <c r="Z615"/>
    </row>
    <row r="616" spans="22:26" x14ac:dyDescent="0.2">
      <c r="V616"/>
      <c r="W616"/>
      <c r="X616"/>
      <c r="Y616"/>
      <c r="Z616"/>
    </row>
    <row r="617" spans="22:26" x14ac:dyDescent="0.2">
      <c r="V617"/>
      <c r="W617"/>
      <c r="X617"/>
      <c r="Y617"/>
      <c r="Z617"/>
    </row>
    <row r="618" spans="22:26" x14ac:dyDescent="0.2">
      <c r="V618"/>
      <c r="W618"/>
      <c r="X618"/>
      <c r="Y618"/>
      <c r="Z618"/>
    </row>
    <row r="619" spans="22:26" x14ac:dyDescent="0.2">
      <c r="V619"/>
      <c r="W619"/>
      <c r="X619"/>
      <c r="Y619"/>
      <c r="Z619"/>
    </row>
    <row r="620" spans="22:26" x14ac:dyDescent="0.2">
      <c r="V620"/>
      <c r="W620"/>
      <c r="X620"/>
      <c r="Y620"/>
      <c r="Z620"/>
    </row>
    <row r="621" spans="22:26" x14ac:dyDescent="0.2">
      <c r="V621"/>
      <c r="W621"/>
      <c r="X621"/>
      <c r="Y621"/>
      <c r="Z621"/>
    </row>
    <row r="622" spans="22:26" x14ac:dyDescent="0.2">
      <c r="V622"/>
      <c r="W622"/>
      <c r="X622"/>
      <c r="Y622"/>
      <c r="Z622"/>
    </row>
    <row r="623" spans="22:26" x14ac:dyDescent="0.2">
      <c r="V623"/>
      <c r="W623"/>
      <c r="X623"/>
      <c r="Y623"/>
      <c r="Z623"/>
    </row>
    <row r="624" spans="22:26" x14ac:dyDescent="0.2">
      <c r="V624"/>
      <c r="W624"/>
      <c r="X624"/>
      <c r="Y624"/>
      <c r="Z624"/>
    </row>
    <row r="625" spans="22:26" x14ac:dyDescent="0.2">
      <c r="V625"/>
      <c r="W625"/>
      <c r="X625"/>
      <c r="Y625"/>
      <c r="Z625"/>
    </row>
    <row r="626" spans="22:26" x14ac:dyDescent="0.2">
      <c r="V626"/>
      <c r="W626"/>
      <c r="X626"/>
      <c r="Y626"/>
      <c r="Z626"/>
    </row>
    <row r="627" spans="22:26" x14ac:dyDescent="0.2">
      <c r="V627"/>
      <c r="W627"/>
      <c r="X627"/>
      <c r="Y627"/>
      <c r="Z627"/>
    </row>
    <row r="628" spans="22:26" x14ac:dyDescent="0.2">
      <c r="V628"/>
      <c r="W628"/>
      <c r="X628"/>
      <c r="Y628"/>
      <c r="Z628"/>
    </row>
    <row r="629" spans="22:26" x14ac:dyDescent="0.2">
      <c r="V629"/>
      <c r="W629"/>
      <c r="X629"/>
      <c r="Y629"/>
      <c r="Z629"/>
    </row>
    <row r="630" spans="22:26" x14ac:dyDescent="0.2">
      <c r="V630"/>
      <c r="W630"/>
      <c r="X630"/>
      <c r="Y630"/>
      <c r="Z630"/>
    </row>
    <row r="631" spans="22:26" x14ac:dyDescent="0.2">
      <c r="V631"/>
      <c r="W631"/>
      <c r="X631"/>
      <c r="Y631"/>
      <c r="Z631"/>
    </row>
    <row r="632" spans="22:26" x14ac:dyDescent="0.2">
      <c r="V632"/>
      <c r="W632"/>
      <c r="X632"/>
      <c r="Y632"/>
      <c r="Z632"/>
    </row>
    <row r="633" spans="22:26" x14ac:dyDescent="0.2">
      <c r="V633"/>
      <c r="W633"/>
      <c r="X633"/>
      <c r="Y633"/>
      <c r="Z633"/>
    </row>
    <row r="634" spans="22:26" x14ac:dyDescent="0.2">
      <c r="V634"/>
      <c r="W634"/>
      <c r="X634"/>
      <c r="Y634"/>
      <c r="Z634"/>
    </row>
    <row r="635" spans="22:26" x14ac:dyDescent="0.2">
      <c r="V635"/>
      <c r="W635"/>
      <c r="X635"/>
      <c r="Y635"/>
      <c r="Z635"/>
    </row>
    <row r="636" spans="22:26" x14ac:dyDescent="0.2">
      <c r="V636"/>
      <c r="W636"/>
      <c r="X636"/>
      <c r="Y636"/>
      <c r="Z636"/>
    </row>
    <row r="637" spans="22:26" x14ac:dyDescent="0.2">
      <c r="V637"/>
      <c r="W637"/>
      <c r="X637"/>
      <c r="Y637"/>
      <c r="Z637"/>
    </row>
    <row r="638" spans="22:26" x14ac:dyDescent="0.2">
      <c r="V638"/>
      <c r="W638"/>
      <c r="X638"/>
      <c r="Y638"/>
      <c r="Z638"/>
    </row>
    <row r="639" spans="22:26" x14ac:dyDescent="0.2">
      <c r="V639"/>
      <c r="W639"/>
      <c r="X639"/>
      <c r="Y639"/>
      <c r="Z639"/>
    </row>
    <row r="640" spans="22:26" x14ac:dyDescent="0.2">
      <c r="V640"/>
      <c r="W640"/>
      <c r="X640"/>
      <c r="Y640"/>
      <c r="Z640"/>
    </row>
    <row r="641" spans="22:26" x14ac:dyDescent="0.2">
      <c r="V641"/>
      <c r="W641"/>
      <c r="X641"/>
      <c r="Y641"/>
      <c r="Z641"/>
    </row>
    <row r="642" spans="22:26" x14ac:dyDescent="0.2">
      <c r="V642"/>
      <c r="W642"/>
      <c r="X642"/>
      <c r="Y642"/>
      <c r="Z642"/>
    </row>
    <row r="643" spans="22:26" x14ac:dyDescent="0.2">
      <c r="V643"/>
      <c r="W643"/>
      <c r="X643"/>
      <c r="Y643"/>
      <c r="Z643"/>
    </row>
    <row r="644" spans="22:26" x14ac:dyDescent="0.2">
      <c r="V644"/>
      <c r="W644"/>
      <c r="X644"/>
      <c r="Y644"/>
      <c r="Z644"/>
    </row>
    <row r="645" spans="22:26" x14ac:dyDescent="0.2">
      <c r="V645"/>
      <c r="W645"/>
      <c r="X645"/>
      <c r="Y645"/>
      <c r="Z645"/>
    </row>
    <row r="646" spans="22:26" x14ac:dyDescent="0.2">
      <c r="V646"/>
      <c r="W646"/>
      <c r="X646"/>
      <c r="Y646"/>
      <c r="Z646"/>
    </row>
    <row r="647" spans="22:26" x14ac:dyDescent="0.2">
      <c r="V647"/>
      <c r="W647"/>
      <c r="X647"/>
      <c r="Y647"/>
      <c r="Z647"/>
    </row>
    <row r="648" spans="22:26" x14ac:dyDescent="0.2">
      <c r="V648"/>
      <c r="W648"/>
      <c r="X648"/>
      <c r="Y648"/>
      <c r="Z648"/>
    </row>
    <row r="649" spans="22:26" x14ac:dyDescent="0.2">
      <c r="V649"/>
      <c r="W649"/>
      <c r="X649"/>
      <c r="Y649"/>
      <c r="Z649"/>
    </row>
    <row r="650" spans="22:26" x14ac:dyDescent="0.2">
      <c r="V650"/>
      <c r="W650"/>
      <c r="X650"/>
      <c r="Y650"/>
      <c r="Z650"/>
    </row>
    <row r="651" spans="22:26" x14ac:dyDescent="0.2">
      <c r="V651"/>
      <c r="W651"/>
      <c r="X651"/>
      <c r="Y651"/>
      <c r="Z651"/>
    </row>
    <row r="652" spans="22:26" x14ac:dyDescent="0.2">
      <c r="V652"/>
      <c r="W652"/>
      <c r="X652"/>
      <c r="Y652"/>
      <c r="Z652"/>
    </row>
    <row r="653" spans="22:26" x14ac:dyDescent="0.2">
      <c r="V653"/>
      <c r="W653"/>
      <c r="X653"/>
      <c r="Y653"/>
      <c r="Z653"/>
    </row>
    <row r="654" spans="22:26" x14ac:dyDescent="0.2">
      <c r="V654"/>
      <c r="W654"/>
      <c r="X654"/>
      <c r="Y654"/>
      <c r="Z654"/>
    </row>
    <row r="655" spans="22:26" x14ac:dyDescent="0.2">
      <c r="V655"/>
      <c r="W655"/>
      <c r="X655"/>
      <c r="Y655"/>
      <c r="Z655"/>
    </row>
    <row r="656" spans="22:26" x14ac:dyDescent="0.2">
      <c r="V656"/>
      <c r="W656"/>
      <c r="X656"/>
      <c r="Y656"/>
      <c r="Z656"/>
    </row>
    <row r="657" spans="22:26" x14ac:dyDescent="0.2">
      <c r="V657"/>
      <c r="W657"/>
      <c r="X657"/>
      <c r="Y657"/>
      <c r="Z657"/>
    </row>
    <row r="658" spans="22:26" x14ac:dyDescent="0.2">
      <c r="V658"/>
      <c r="W658"/>
      <c r="X658"/>
      <c r="Y658"/>
      <c r="Z658"/>
    </row>
    <row r="659" spans="22:26" x14ac:dyDescent="0.2">
      <c r="V659"/>
      <c r="W659"/>
      <c r="X659"/>
      <c r="Y659"/>
      <c r="Z659"/>
    </row>
    <row r="660" spans="22:26" x14ac:dyDescent="0.2">
      <c r="V660"/>
      <c r="W660"/>
      <c r="X660"/>
      <c r="Y660"/>
      <c r="Z660"/>
    </row>
    <row r="661" spans="22:26" x14ac:dyDescent="0.2">
      <c r="V661"/>
      <c r="W661"/>
      <c r="X661"/>
      <c r="Y661"/>
      <c r="Z661"/>
    </row>
    <row r="662" spans="22:26" x14ac:dyDescent="0.2">
      <c r="V662"/>
      <c r="W662"/>
      <c r="X662"/>
      <c r="Y662"/>
      <c r="Z662"/>
    </row>
    <row r="663" spans="22:26" x14ac:dyDescent="0.2">
      <c r="V663"/>
      <c r="W663"/>
      <c r="X663"/>
      <c r="Y663"/>
      <c r="Z663"/>
    </row>
    <row r="664" spans="22:26" x14ac:dyDescent="0.2">
      <c r="V664"/>
      <c r="W664"/>
      <c r="X664"/>
      <c r="Y664"/>
      <c r="Z664"/>
    </row>
    <row r="665" spans="22:26" x14ac:dyDescent="0.2">
      <c r="V665"/>
      <c r="W665"/>
      <c r="X665"/>
      <c r="Y665"/>
      <c r="Z665"/>
    </row>
    <row r="666" spans="22:26" x14ac:dyDescent="0.2">
      <c r="V666"/>
      <c r="W666"/>
      <c r="X666"/>
      <c r="Y666"/>
      <c r="Z666"/>
    </row>
    <row r="667" spans="22:26" x14ac:dyDescent="0.2">
      <c r="V667"/>
      <c r="W667"/>
      <c r="X667"/>
      <c r="Y667"/>
      <c r="Z667"/>
    </row>
    <row r="668" spans="22:26" x14ac:dyDescent="0.2">
      <c r="V668"/>
      <c r="W668"/>
      <c r="X668"/>
      <c r="Y668"/>
      <c r="Z668"/>
    </row>
    <row r="669" spans="22:26" x14ac:dyDescent="0.2">
      <c r="V669"/>
      <c r="W669"/>
      <c r="X669"/>
      <c r="Y669"/>
      <c r="Z669"/>
    </row>
    <row r="670" spans="22:26" x14ac:dyDescent="0.2">
      <c r="V670"/>
      <c r="W670"/>
      <c r="X670"/>
      <c r="Y670"/>
      <c r="Z670"/>
    </row>
    <row r="671" spans="22:26" x14ac:dyDescent="0.2">
      <c r="V671"/>
      <c r="W671"/>
      <c r="X671"/>
      <c r="Y671"/>
      <c r="Z671"/>
    </row>
    <row r="672" spans="22:26" x14ac:dyDescent="0.2">
      <c r="V672"/>
      <c r="W672"/>
      <c r="X672"/>
      <c r="Y672"/>
      <c r="Z672"/>
    </row>
    <row r="673" spans="22:26" x14ac:dyDescent="0.2">
      <c r="V673"/>
      <c r="W673"/>
      <c r="X673"/>
      <c r="Y673"/>
      <c r="Z673"/>
    </row>
    <row r="674" spans="22:26" x14ac:dyDescent="0.2">
      <c r="V674"/>
      <c r="W674"/>
      <c r="X674"/>
      <c r="Y674"/>
      <c r="Z674"/>
    </row>
    <row r="675" spans="22:26" x14ac:dyDescent="0.2">
      <c r="V675"/>
      <c r="W675"/>
      <c r="X675"/>
      <c r="Y675"/>
      <c r="Z675"/>
    </row>
    <row r="676" spans="22:26" x14ac:dyDescent="0.2">
      <c r="V676"/>
      <c r="W676"/>
      <c r="X676"/>
      <c r="Y676"/>
      <c r="Z676"/>
    </row>
    <row r="677" spans="22:26" x14ac:dyDescent="0.2">
      <c r="V677"/>
      <c r="W677"/>
      <c r="X677"/>
      <c r="Y677"/>
      <c r="Z677"/>
    </row>
    <row r="678" spans="22:26" x14ac:dyDescent="0.2">
      <c r="V678"/>
      <c r="W678"/>
      <c r="X678"/>
      <c r="Y678"/>
      <c r="Z678"/>
    </row>
    <row r="679" spans="22:26" x14ac:dyDescent="0.2">
      <c r="V679"/>
      <c r="W679"/>
      <c r="X679"/>
      <c r="Y679"/>
      <c r="Z679"/>
    </row>
    <row r="680" spans="22:26" x14ac:dyDescent="0.2">
      <c r="V680"/>
      <c r="W680"/>
      <c r="X680"/>
      <c r="Y680"/>
      <c r="Z680"/>
    </row>
    <row r="681" spans="22:26" x14ac:dyDescent="0.2">
      <c r="V681"/>
      <c r="W681"/>
      <c r="X681"/>
      <c r="Y681"/>
      <c r="Z681"/>
    </row>
    <row r="682" spans="22:26" x14ac:dyDescent="0.2">
      <c r="V682"/>
      <c r="W682"/>
      <c r="X682"/>
      <c r="Y682"/>
      <c r="Z682"/>
    </row>
    <row r="683" spans="22:26" x14ac:dyDescent="0.2">
      <c r="V683"/>
      <c r="W683"/>
      <c r="X683"/>
      <c r="Y683"/>
      <c r="Z683"/>
    </row>
    <row r="684" spans="22:26" x14ac:dyDescent="0.2">
      <c r="V684"/>
      <c r="W684"/>
      <c r="X684"/>
      <c r="Y684"/>
      <c r="Z684"/>
    </row>
    <row r="685" spans="22:26" x14ac:dyDescent="0.2">
      <c r="V685"/>
      <c r="W685"/>
      <c r="X685"/>
      <c r="Y685"/>
      <c r="Z685"/>
    </row>
    <row r="686" spans="22:26" x14ac:dyDescent="0.2">
      <c r="V686"/>
      <c r="W686"/>
      <c r="X686"/>
      <c r="Y686"/>
      <c r="Z686"/>
    </row>
    <row r="687" spans="22:26" x14ac:dyDescent="0.2">
      <c r="V687"/>
      <c r="W687"/>
      <c r="X687"/>
      <c r="Y687"/>
      <c r="Z687"/>
    </row>
    <row r="688" spans="22:26" x14ac:dyDescent="0.2">
      <c r="V688"/>
      <c r="W688"/>
      <c r="X688"/>
      <c r="Y688"/>
      <c r="Z688"/>
    </row>
    <row r="689" spans="22:26" x14ac:dyDescent="0.2">
      <c r="V689"/>
      <c r="W689"/>
      <c r="X689"/>
      <c r="Y689"/>
      <c r="Z689"/>
    </row>
    <row r="690" spans="22:26" x14ac:dyDescent="0.2">
      <c r="V690"/>
      <c r="W690"/>
      <c r="X690"/>
      <c r="Y690"/>
      <c r="Z690"/>
    </row>
    <row r="691" spans="22:26" x14ac:dyDescent="0.2">
      <c r="V691"/>
      <c r="W691"/>
      <c r="X691"/>
      <c r="Y691"/>
      <c r="Z691"/>
    </row>
    <row r="692" spans="22:26" x14ac:dyDescent="0.2">
      <c r="V692"/>
      <c r="W692"/>
      <c r="X692"/>
      <c r="Y692"/>
      <c r="Z692"/>
    </row>
    <row r="693" spans="22:26" x14ac:dyDescent="0.2">
      <c r="V693"/>
      <c r="W693"/>
      <c r="X693"/>
      <c r="Y693"/>
      <c r="Z693"/>
    </row>
    <row r="694" spans="22:26" x14ac:dyDescent="0.2">
      <c r="V694"/>
      <c r="W694"/>
      <c r="X694"/>
      <c r="Y694"/>
      <c r="Z694"/>
    </row>
    <row r="695" spans="22:26" x14ac:dyDescent="0.2">
      <c r="V695"/>
      <c r="W695"/>
      <c r="X695"/>
      <c r="Y695"/>
      <c r="Z695"/>
    </row>
    <row r="696" spans="22:26" x14ac:dyDescent="0.2">
      <c r="V696"/>
      <c r="W696"/>
      <c r="X696"/>
      <c r="Y696"/>
      <c r="Z696"/>
    </row>
    <row r="697" spans="22:26" x14ac:dyDescent="0.2">
      <c r="V697"/>
      <c r="W697"/>
      <c r="X697"/>
      <c r="Y697"/>
      <c r="Z697"/>
    </row>
    <row r="698" spans="22:26" x14ac:dyDescent="0.2">
      <c r="V698"/>
      <c r="W698"/>
      <c r="X698"/>
      <c r="Y698"/>
      <c r="Z698"/>
    </row>
    <row r="699" spans="22:26" x14ac:dyDescent="0.2">
      <c r="V699"/>
      <c r="W699"/>
      <c r="X699"/>
      <c r="Y699"/>
      <c r="Z699"/>
    </row>
    <row r="700" spans="22:26" x14ac:dyDescent="0.2">
      <c r="V700"/>
      <c r="W700"/>
      <c r="X700"/>
      <c r="Y700"/>
      <c r="Z700"/>
    </row>
    <row r="701" spans="22:26" x14ac:dyDescent="0.2">
      <c r="V701"/>
      <c r="W701"/>
      <c r="X701"/>
      <c r="Y701"/>
      <c r="Z701"/>
    </row>
    <row r="702" spans="22:26" x14ac:dyDescent="0.2">
      <c r="V702"/>
      <c r="W702"/>
      <c r="X702"/>
      <c r="Y702"/>
      <c r="Z702"/>
    </row>
    <row r="703" spans="22:26" x14ac:dyDescent="0.2">
      <c r="V703"/>
      <c r="W703"/>
      <c r="X703"/>
      <c r="Y703"/>
      <c r="Z703"/>
    </row>
    <row r="704" spans="22:26" x14ac:dyDescent="0.2">
      <c r="V704"/>
      <c r="W704"/>
      <c r="X704"/>
      <c r="Y704"/>
      <c r="Z704"/>
    </row>
    <row r="705" spans="22:26" x14ac:dyDescent="0.2">
      <c r="V705"/>
      <c r="W705"/>
      <c r="X705"/>
      <c r="Y705"/>
      <c r="Z705"/>
    </row>
    <row r="706" spans="22:26" x14ac:dyDescent="0.2">
      <c r="V706"/>
      <c r="W706"/>
      <c r="X706"/>
      <c r="Y706"/>
      <c r="Z706"/>
    </row>
    <row r="707" spans="22:26" x14ac:dyDescent="0.2">
      <c r="V707"/>
      <c r="W707"/>
      <c r="X707"/>
      <c r="Y707"/>
      <c r="Z707"/>
    </row>
    <row r="708" spans="22:26" x14ac:dyDescent="0.2">
      <c r="V708"/>
      <c r="W708"/>
      <c r="X708"/>
      <c r="Y708"/>
      <c r="Z708"/>
    </row>
    <row r="709" spans="22:26" x14ac:dyDescent="0.2">
      <c r="V709"/>
      <c r="W709"/>
      <c r="X709"/>
      <c r="Y709"/>
      <c r="Z709"/>
    </row>
    <row r="710" spans="22:26" x14ac:dyDescent="0.2">
      <c r="V710"/>
      <c r="W710"/>
      <c r="X710"/>
      <c r="Y710"/>
      <c r="Z710"/>
    </row>
    <row r="711" spans="22:26" x14ac:dyDescent="0.2">
      <c r="V711"/>
      <c r="W711"/>
      <c r="X711"/>
      <c r="Y711"/>
      <c r="Z711"/>
    </row>
    <row r="712" spans="22:26" x14ac:dyDescent="0.2">
      <c r="V712"/>
      <c r="W712"/>
      <c r="X712"/>
      <c r="Y712"/>
      <c r="Z712"/>
    </row>
    <row r="713" spans="22:26" x14ac:dyDescent="0.2">
      <c r="V713"/>
      <c r="W713"/>
      <c r="X713"/>
      <c r="Y713"/>
      <c r="Z713"/>
    </row>
    <row r="714" spans="22:26" x14ac:dyDescent="0.2">
      <c r="V714"/>
      <c r="W714"/>
      <c r="X714"/>
      <c r="Y714"/>
      <c r="Z714"/>
    </row>
    <row r="715" spans="22:26" x14ac:dyDescent="0.2">
      <c r="V715"/>
      <c r="W715"/>
      <c r="X715"/>
      <c r="Y715"/>
      <c r="Z715"/>
    </row>
    <row r="716" spans="22:26" x14ac:dyDescent="0.2">
      <c r="V716"/>
      <c r="W716"/>
      <c r="X716"/>
      <c r="Y716"/>
      <c r="Z716"/>
    </row>
    <row r="717" spans="22:26" x14ac:dyDescent="0.2">
      <c r="V717"/>
      <c r="W717"/>
      <c r="X717"/>
      <c r="Y717"/>
      <c r="Z717"/>
    </row>
    <row r="718" spans="22:26" x14ac:dyDescent="0.2">
      <c r="V718"/>
      <c r="W718"/>
      <c r="X718"/>
      <c r="Y718"/>
      <c r="Z718"/>
    </row>
    <row r="719" spans="22:26" x14ac:dyDescent="0.2">
      <c r="V719"/>
      <c r="W719"/>
      <c r="X719"/>
      <c r="Y719"/>
      <c r="Z719"/>
    </row>
    <row r="720" spans="22:26" x14ac:dyDescent="0.2">
      <c r="V720"/>
      <c r="W720"/>
      <c r="X720"/>
      <c r="Y720"/>
      <c r="Z720"/>
    </row>
    <row r="721" spans="22:26" x14ac:dyDescent="0.2">
      <c r="V721"/>
      <c r="W721"/>
      <c r="X721"/>
      <c r="Y721"/>
      <c r="Z721"/>
    </row>
    <row r="722" spans="22:26" x14ac:dyDescent="0.2">
      <c r="V722"/>
      <c r="W722"/>
      <c r="X722"/>
      <c r="Y722"/>
      <c r="Z722"/>
    </row>
    <row r="723" spans="22:26" x14ac:dyDescent="0.2">
      <c r="V723"/>
      <c r="W723"/>
      <c r="X723"/>
      <c r="Y723"/>
      <c r="Z723"/>
    </row>
    <row r="724" spans="22:26" x14ac:dyDescent="0.2">
      <c r="V724"/>
      <c r="W724"/>
      <c r="X724"/>
      <c r="Y724"/>
      <c r="Z724"/>
    </row>
    <row r="725" spans="22:26" x14ac:dyDescent="0.2">
      <c r="V725"/>
      <c r="W725"/>
      <c r="X725"/>
      <c r="Y725"/>
      <c r="Z725"/>
    </row>
    <row r="726" spans="22:26" x14ac:dyDescent="0.2">
      <c r="V726"/>
      <c r="W726"/>
      <c r="X726"/>
      <c r="Y726"/>
      <c r="Z726"/>
    </row>
    <row r="727" spans="22:26" x14ac:dyDescent="0.2">
      <c r="V727"/>
      <c r="W727"/>
      <c r="X727"/>
      <c r="Y727"/>
      <c r="Z727"/>
    </row>
    <row r="728" spans="22:26" x14ac:dyDescent="0.2">
      <c r="V728"/>
      <c r="W728"/>
      <c r="X728"/>
      <c r="Y728"/>
      <c r="Z728"/>
    </row>
    <row r="729" spans="22:26" x14ac:dyDescent="0.2">
      <c r="V729"/>
      <c r="W729"/>
      <c r="X729"/>
      <c r="Y729"/>
      <c r="Z729"/>
    </row>
    <row r="730" spans="22:26" x14ac:dyDescent="0.2">
      <c r="V730"/>
      <c r="W730"/>
      <c r="X730"/>
      <c r="Y730"/>
      <c r="Z730"/>
    </row>
    <row r="731" spans="22:26" x14ac:dyDescent="0.2">
      <c r="V731"/>
      <c r="W731"/>
      <c r="X731"/>
      <c r="Y731"/>
      <c r="Z731"/>
    </row>
    <row r="732" spans="22:26" x14ac:dyDescent="0.2">
      <c r="V732"/>
      <c r="W732"/>
      <c r="X732"/>
      <c r="Y732"/>
      <c r="Z732"/>
    </row>
    <row r="733" spans="22:26" x14ac:dyDescent="0.2">
      <c r="V733"/>
      <c r="W733"/>
      <c r="X733"/>
      <c r="Y733"/>
      <c r="Z733"/>
    </row>
    <row r="734" spans="22:26" x14ac:dyDescent="0.2">
      <c r="V734"/>
      <c r="W734"/>
      <c r="X734"/>
      <c r="Y734"/>
      <c r="Z734"/>
    </row>
    <row r="735" spans="22:26" x14ac:dyDescent="0.2">
      <c r="V735"/>
      <c r="W735"/>
      <c r="X735"/>
      <c r="Y735"/>
      <c r="Z735"/>
    </row>
    <row r="736" spans="22:26" x14ac:dyDescent="0.2">
      <c r="V736"/>
      <c r="W736"/>
      <c r="X736"/>
      <c r="Y736"/>
      <c r="Z736"/>
    </row>
    <row r="737" spans="22:26" x14ac:dyDescent="0.2">
      <c r="V737"/>
      <c r="W737"/>
      <c r="X737"/>
      <c r="Y737"/>
      <c r="Z737"/>
    </row>
    <row r="738" spans="22:26" x14ac:dyDescent="0.2">
      <c r="V738"/>
      <c r="W738"/>
      <c r="X738"/>
      <c r="Y738"/>
      <c r="Z738"/>
    </row>
    <row r="739" spans="22:26" x14ac:dyDescent="0.2">
      <c r="V739"/>
      <c r="W739"/>
      <c r="X739"/>
      <c r="Y739"/>
      <c r="Z739"/>
    </row>
    <row r="740" spans="22:26" x14ac:dyDescent="0.2">
      <c r="V740"/>
      <c r="W740"/>
      <c r="X740"/>
      <c r="Y740"/>
      <c r="Z740"/>
    </row>
    <row r="741" spans="22:26" x14ac:dyDescent="0.2">
      <c r="V741"/>
      <c r="W741"/>
      <c r="X741"/>
      <c r="Y741"/>
      <c r="Z741"/>
    </row>
    <row r="742" spans="22:26" x14ac:dyDescent="0.2">
      <c r="V742"/>
      <c r="W742"/>
      <c r="X742"/>
      <c r="Y742"/>
      <c r="Z742"/>
    </row>
    <row r="743" spans="22:26" x14ac:dyDescent="0.2">
      <c r="V743"/>
      <c r="W743"/>
      <c r="X743"/>
      <c r="Y743"/>
      <c r="Z743"/>
    </row>
    <row r="744" spans="22:26" x14ac:dyDescent="0.2">
      <c r="V744"/>
      <c r="W744"/>
      <c r="X744"/>
      <c r="Y744"/>
      <c r="Z744"/>
    </row>
    <row r="745" spans="22:26" x14ac:dyDescent="0.2">
      <c r="V745"/>
      <c r="W745"/>
      <c r="X745"/>
      <c r="Y745"/>
      <c r="Z745"/>
    </row>
    <row r="746" spans="22:26" x14ac:dyDescent="0.2">
      <c r="V746"/>
      <c r="W746"/>
      <c r="X746"/>
      <c r="Y746"/>
      <c r="Z746"/>
    </row>
    <row r="747" spans="22:26" x14ac:dyDescent="0.2">
      <c r="V747"/>
      <c r="W747"/>
      <c r="X747"/>
      <c r="Y747"/>
      <c r="Z747"/>
    </row>
    <row r="748" spans="22:26" x14ac:dyDescent="0.2">
      <c r="V748"/>
      <c r="W748"/>
      <c r="X748"/>
      <c r="Y748"/>
      <c r="Z748"/>
    </row>
    <row r="749" spans="22:26" x14ac:dyDescent="0.2">
      <c r="V749"/>
      <c r="W749"/>
      <c r="X749"/>
      <c r="Y749"/>
      <c r="Z749"/>
    </row>
    <row r="750" spans="22:26" x14ac:dyDescent="0.2">
      <c r="V750"/>
      <c r="W750"/>
      <c r="X750"/>
      <c r="Y750"/>
      <c r="Z750"/>
    </row>
    <row r="751" spans="22:26" x14ac:dyDescent="0.2">
      <c r="V751"/>
      <c r="W751"/>
      <c r="X751"/>
      <c r="Y751"/>
      <c r="Z751"/>
    </row>
    <row r="752" spans="22:26" x14ac:dyDescent="0.2">
      <c r="V752"/>
      <c r="W752"/>
      <c r="X752"/>
      <c r="Y752"/>
      <c r="Z752"/>
    </row>
    <row r="753" spans="22:26" x14ac:dyDescent="0.2">
      <c r="V753"/>
      <c r="W753"/>
      <c r="X753"/>
      <c r="Y753"/>
      <c r="Z753"/>
    </row>
    <row r="754" spans="22:26" x14ac:dyDescent="0.2">
      <c r="V754"/>
      <c r="W754"/>
      <c r="X754"/>
      <c r="Y754"/>
      <c r="Z754"/>
    </row>
    <row r="755" spans="22:26" x14ac:dyDescent="0.2">
      <c r="V755"/>
      <c r="W755"/>
      <c r="X755"/>
      <c r="Y755"/>
      <c r="Z755"/>
    </row>
    <row r="756" spans="22:26" x14ac:dyDescent="0.2">
      <c r="V756"/>
      <c r="W756"/>
      <c r="X756"/>
      <c r="Y756"/>
      <c r="Z756"/>
    </row>
    <row r="757" spans="22:26" x14ac:dyDescent="0.2">
      <c r="V757"/>
      <c r="W757"/>
      <c r="X757"/>
      <c r="Y757"/>
      <c r="Z757"/>
    </row>
    <row r="758" spans="22:26" x14ac:dyDescent="0.2">
      <c r="V758"/>
      <c r="W758"/>
      <c r="X758"/>
      <c r="Y758"/>
      <c r="Z758"/>
    </row>
    <row r="759" spans="22:26" x14ac:dyDescent="0.2">
      <c r="V759"/>
      <c r="W759"/>
      <c r="X759"/>
      <c r="Y759"/>
      <c r="Z759"/>
    </row>
    <row r="760" spans="22:26" x14ac:dyDescent="0.2">
      <c r="V760"/>
      <c r="W760"/>
      <c r="X760"/>
      <c r="Y760"/>
      <c r="Z760"/>
    </row>
    <row r="761" spans="22:26" x14ac:dyDescent="0.2">
      <c r="V761"/>
      <c r="W761"/>
      <c r="X761"/>
      <c r="Y761"/>
      <c r="Z761"/>
    </row>
    <row r="762" spans="22:26" x14ac:dyDescent="0.2">
      <c r="V762"/>
      <c r="W762"/>
      <c r="X762"/>
      <c r="Y762"/>
      <c r="Z762"/>
    </row>
    <row r="763" spans="22:26" x14ac:dyDescent="0.2">
      <c r="V763"/>
      <c r="W763"/>
      <c r="X763"/>
      <c r="Y763"/>
      <c r="Z763"/>
    </row>
    <row r="764" spans="22:26" x14ac:dyDescent="0.2">
      <c r="V764"/>
      <c r="W764"/>
      <c r="X764"/>
      <c r="Y764"/>
      <c r="Z764"/>
    </row>
    <row r="765" spans="22:26" x14ac:dyDescent="0.2">
      <c r="V765"/>
      <c r="W765"/>
      <c r="X765"/>
      <c r="Y765"/>
      <c r="Z765"/>
    </row>
    <row r="766" spans="22:26" x14ac:dyDescent="0.2">
      <c r="V766"/>
      <c r="W766"/>
      <c r="X766"/>
      <c r="Y766"/>
      <c r="Z766"/>
    </row>
    <row r="767" spans="22:26" x14ac:dyDescent="0.2">
      <c r="V767"/>
      <c r="W767"/>
      <c r="X767"/>
      <c r="Y767"/>
      <c r="Z767"/>
    </row>
    <row r="768" spans="22:26" x14ac:dyDescent="0.2">
      <c r="V768"/>
      <c r="W768"/>
      <c r="X768"/>
      <c r="Y768"/>
      <c r="Z768"/>
    </row>
    <row r="769" spans="22:26" x14ac:dyDescent="0.2">
      <c r="V769"/>
      <c r="W769"/>
      <c r="X769"/>
      <c r="Y769"/>
      <c r="Z769"/>
    </row>
    <row r="770" spans="22:26" x14ac:dyDescent="0.2">
      <c r="V770"/>
      <c r="W770"/>
      <c r="X770"/>
      <c r="Y770"/>
      <c r="Z770"/>
    </row>
    <row r="771" spans="22:26" x14ac:dyDescent="0.2">
      <c r="V771"/>
      <c r="W771"/>
      <c r="X771"/>
      <c r="Y771"/>
      <c r="Z771"/>
    </row>
    <row r="772" spans="22:26" x14ac:dyDescent="0.2">
      <c r="V772"/>
      <c r="W772"/>
      <c r="X772"/>
      <c r="Y772"/>
      <c r="Z772"/>
    </row>
    <row r="773" spans="22:26" x14ac:dyDescent="0.2">
      <c r="V773"/>
      <c r="W773"/>
      <c r="X773"/>
      <c r="Y773"/>
      <c r="Z773"/>
    </row>
    <row r="774" spans="22:26" x14ac:dyDescent="0.2">
      <c r="V774"/>
      <c r="W774"/>
      <c r="X774"/>
      <c r="Y774"/>
      <c r="Z774"/>
    </row>
    <row r="775" spans="22:26" x14ac:dyDescent="0.2">
      <c r="V775"/>
      <c r="W775"/>
      <c r="X775"/>
      <c r="Y775"/>
      <c r="Z775"/>
    </row>
    <row r="776" spans="22:26" x14ac:dyDescent="0.2">
      <c r="V776"/>
      <c r="W776"/>
      <c r="X776"/>
      <c r="Y776"/>
      <c r="Z776"/>
    </row>
    <row r="777" spans="22:26" x14ac:dyDescent="0.2">
      <c r="V777"/>
      <c r="W777"/>
      <c r="X777"/>
      <c r="Y777"/>
      <c r="Z777"/>
    </row>
    <row r="778" spans="22:26" x14ac:dyDescent="0.2">
      <c r="V778"/>
      <c r="W778"/>
      <c r="X778"/>
      <c r="Y778"/>
      <c r="Z778"/>
    </row>
    <row r="779" spans="22:26" x14ac:dyDescent="0.2">
      <c r="V779"/>
      <c r="W779"/>
      <c r="X779"/>
      <c r="Y779"/>
      <c r="Z779"/>
    </row>
    <row r="780" spans="22:26" x14ac:dyDescent="0.2">
      <c r="V780"/>
      <c r="W780"/>
      <c r="X780"/>
      <c r="Y780"/>
      <c r="Z780"/>
    </row>
    <row r="781" spans="22:26" x14ac:dyDescent="0.2">
      <c r="V781"/>
      <c r="W781"/>
      <c r="X781"/>
      <c r="Y781"/>
      <c r="Z781"/>
    </row>
    <row r="782" spans="22:26" x14ac:dyDescent="0.2">
      <c r="V782"/>
      <c r="W782"/>
      <c r="X782"/>
      <c r="Y782"/>
      <c r="Z782"/>
    </row>
    <row r="783" spans="22:26" x14ac:dyDescent="0.2">
      <c r="V783"/>
      <c r="W783"/>
      <c r="X783"/>
      <c r="Y783"/>
      <c r="Z783"/>
    </row>
    <row r="784" spans="22:26" x14ac:dyDescent="0.2">
      <c r="V784"/>
      <c r="W784"/>
      <c r="X784"/>
      <c r="Y784"/>
      <c r="Z784"/>
    </row>
    <row r="785" spans="22:26" x14ac:dyDescent="0.2">
      <c r="V785"/>
      <c r="W785"/>
      <c r="X785"/>
      <c r="Y785"/>
      <c r="Z785"/>
    </row>
    <row r="786" spans="22:26" x14ac:dyDescent="0.2">
      <c r="V786"/>
      <c r="W786"/>
      <c r="X786"/>
      <c r="Y786"/>
      <c r="Z786"/>
    </row>
    <row r="787" spans="22:26" x14ac:dyDescent="0.2">
      <c r="V787"/>
      <c r="W787"/>
      <c r="X787"/>
      <c r="Y787"/>
      <c r="Z787"/>
    </row>
    <row r="788" spans="22:26" x14ac:dyDescent="0.2">
      <c r="V788"/>
      <c r="W788"/>
      <c r="X788"/>
      <c r="Y788"/>
      <c r="Z788"/>
    </row>
    <row r="789" spans="22:26" x14ac:dyDescent="0.2">
      <c r="V789"/>
      <c r="W789"/>
      <c r="X789"/>
      <c r="Y789"/>
      <c r="Z789"/>
    </row>
    <row r="790" spans="22:26" x14ac:dyDescent="0.2">
      <c r="V790"/>
      <c r="W790"/>
      <c r="X790"/>
      <c r="Y790"/>
      <c r="Z790"/>
    </row>
    <row r="791" spans="22:26" x14ac:dyDescent="0.2">
      <c r="V791"/>
      <c r="W791"/>
      <c r="X791"/>
      <c r="Y791"/>
      <c r="Z791"/>
    </row>
    <row r="792" spans="22:26" x14ac:dyDescent="0.2">
      <c r="V792"/>
      <c r="W792"/>
      <c r="X792"/>
      <c r="Y792"/>
      <c r="Z792"/>
    </row>
    <row r="793" spans="22:26" x14ac:dyDescent="0.2">
      <c r="V793"/>
      <c r="W793"/>
      <c r="X793"/>
      <c r="Y793"/>
      <c r="Z793"/>
    </row>
    <row r="794" spans="22:26" x14ac:dyDescent="0.2">
      <c r="V794"/>
      <c r="W794"/>
      <c r="X794"/>
      <c r="Y794"/>
      <c r="Z794"/>
    </row>
    <row r="795" spans="22:26" x14ac:dyDescent="0.2">
      <c r="V795"/>
      <c r="W795"/>
      <c r="X795"/>
      <c r="Y795"/>
      <c r="Z795"/>
    </row>
    <row r="796" spans="22:26" x14ac:dyDescent="0.2">
      <c r="V796"/>
      <c r="W796"/>
      <c r="X796"/>
      <c r="Y796"/>
      <c r="Z796"/>
    </row>
    <row r="797" spans="22:26" x14ac:dyDescent="0.2">
      <c r="V797"/>
      <c r="W797"/>
      <c r="X797"/>
      <c r="Y797"/>
      <c r="Z797"/>
    </row>
    <row r="798" spans="22:26" x14ac:dyDescent="0.2">
      <c r="V798"/>
      <c r="W798"/>
      <c r="X798"/>
      <c r="Y798"/>
      <c r="Z798"/>
    </row>
    <row r="799" spans="22:26" x14ac:dyDescent="0.2">
      <c r="V799"/>
      <c r="W799"/>
      <c r="X799"/>
      <c r="Y799"/>
      <c r="Z799"/>
    </row>
    <row r="800" spans="22:26" x14ac:dyDescent="0.2">
      <c r="V800"/>
      <c r="W800"/>
      <c r="X800"/>
      <c r="Y800"/>
      <c r="Z800"/>
    </row>
    <row r="801" spans="22:26" x14ac:dyDescent="0.2">
      <c r="V801"/>
      <c r="W801"/>
      <c r="X801"/>
      <c r="Y801"/>
      <c r="Z801"/>
    </row>
    <row r="802" spans="22:26" x14ac:dyDescent="0.2">
      <c r="V802"/>
      <c r="W802"/>
      <c r="X802"/>
      <c r="Y802"/>
      <c r="Z802"/>
    </row>
    <row r="803" spans="22:26" x14ac:dyDescent="0.2">
      <c r="V803"/>
      <c r="W803"/>
      <c r="X803"/>
      <c r="Y803"/>
      <c r="Z803"/>
    </row>
    <row r="804" spans="22:26" x14ac:dyDescent="0.2">
      <c r="V804"/>
      <c r="W804"/>
      <c r="X804"/>
      <c r="Y804"/>
      <c r="Z804"/>
    </row>
    <row r="805" spans="22:26" x14ac:dyDescent="0.2">
      <c r="V805"/>
      <c r="W805"/>
      <c r="X805"/>
      <c r="Y805"/>
      <c r="Z805"/>
    </row>
    <row r="806" spans="22:26" x14ac:dyDescent="0.2">
      <c r="V806"/>
      <c r="W806"/>
      <c r="X806"/>
      <c r="Y806"/>
      <c r="Z806"/>
    </row>
    <row r="807" spans="22:26" x14ac:dyDescent="0.2">
      <c r="V807"/>
      <c r="W807"/>
      <c r="X807"/>
      <c r="Y807"/>
      <c r="Z807"/>
    </row>
    <row r="808" spans="22:26" x14ac:dyDescent="0.2">
      <c r="V808"/>
      <c r="W808"/>
      <c r="X808"/>
      <c r="Y808"/>
      <c r="Z808"/>
    </row>
    <row r="809" spans="22:26" x14ac:dyDescent="0.2">
      <c r="V809"/>
      <c r="W809"/>
      <c r="X809"/>
      <c r="Y809"/>
      <c r="Z809"/>
    </row>
    <row r="810" spans="22:26" x14ac:dyDescent="0.2">
      <c r="V810"/>
      <c r="W810"/>
      <c r="X810"/>
      <c r="Y810"/>
      <c r="Z810"/>
    </row>
    <row r="811" spans="22:26" x14ac:dyDescent="0.2">
      <c r="V811"/>
      <c r="W811"/>
      <c r="X811"/>
      <c r="Y811"/>
      <c r="Z811"/>
    </row>
    <row r="812" spans="22:26" x14ac:dyDescent="0.2">
      <c r="V812"/>
      <c r="W812"/>
      <c r="X812"/>
      <c r="Y812"/>
      <c r="Z812"/>
    </row>
    <row r="813" spans="22:26" x14ac:dyDescent="0.2">
      <c r="V813"/>
      <c r="W813"/>
      <c r="X813"/>
      <c r="Y813"/>
      <c r="Z813"/>
    </row>
    <row r="814" spans="22:26" x14ac:dyDescent="0.2">
      <c r="V814"/>
      <c r="W814"/>
      <c r="X814"/>
      <c r="Y814"/>
      <c r="Z814"/>
    </row>
    <row r="815" spans="22:26" x14ac:dyDescent="0.2">
      <c r="V815"/>
      <c r="W815"/>
      <c r="X815"/>
      <c r="Y815"/>
      <c r="Z815"/>
    </row>
    <row r="816" spans="22:26" x14ac:dyDescent="0.2">
      <c r="V816"/>
      <c r="W816"/>
      <c r="X816"/>
      <c r="Y816"/>
      <c r="Z816"/>
    </row>
    <row r="817" spans="22:26" x14ac:dyDescent="0.2">
      <c r="V817"/>
      <c r="W817"/>
      <c r="X817"/>
      <c r="Y817"/>
      <c r="Z817"/>
    </row>
    <row r="818" spans="22:26" x14ac:dyDescent="0.2">
      <c r="V818"/>
      <c r="W818"/>
      <c r="X818"/>
      <c r="Y818"/>
      <c r="Z818"/>
    </row>
    <row r="819" spans="22:26" x14ac:dyDescent="0.2">
      <c r="V819"/>
      <c r="W819"/>
      <c r="X819"/>
      <c r="Y819"/>
      <c r="Z819"/>
    </row>
    <row r="820" spans="22:26" x14ac:dyDescent="0.2">
      <c r="V820"/>
      <c r="W820"/>
      <c r="X820"/>
      <c r="Y820"/>
      <c r="Z820"/>
    </row>
    <row r="821" spans="22:26" x14ac:dyDescent="0.2">
      <c r="V821"/>
      <c r="W821"/>
      <c r="X821"/>
      <c r="Y821"/>
      <c r="Z821"/>
    </row>
    <row r="822" spans="22:26" x14ac:dyDescent="0.2">
      <c r="V822"/>
      <c r="W822"/>
      <c r="X822"/>
      <c r="Y822"/>
      <c r="Z822"/>
    </row>
    <row r="823" spans="22:26" x14ac:dyDescent="0.2">
      <c r="V823"/>
      <c r="W823"/>
      <c r="X823"/>
      <c r="Y823"/>
      <c r="Z823"/>
    </row>
    <row r="824" spans="22:26" x14ac:dyDescent="0.2">
      <c r="V824"/>
      <c r="W824"/>
      <c r="X824"/>
      <c r="Y824"/>
      <c r="Z824"/>
    </row>
    <row r="825" spans="22:26" x14ac:dyDescent="0.2">
      <c r="V825"/>
      <c r="W825"/>
      <c r="X825"/>
      <c r="Y825"/>
      <c r="Z825"/>
    </row>
    <row r="826" spans="22:26" x14ac:dyDescent="0.2">
      <c r="V826"/>
      <c r="W826"/>
      <c r="X826"/>
      <c r="Y826"/>
      <c r="Z826"/>
    </row>
    <row r="827" spans="22:26" x14ac:dyDescent="0.2">
      <c r="V827"/>
      <c r="W827"/>
      <c r="X827"/>
      <c r="Y827"/>
      <c r="Z827"/>
    </row>
    <row r="828" spans="22:26" x14ac:dyDescent="0.2">
      <c r="V828"/>
      <c r="W828"/>
      <c r="X828"/>
      <c r="Y828"/>
      <c r="Z828"/>
    </row>
    <row r="829" spans="22:26" x14ac:dyDescent="0.2">
      <c r="V829"/>
      <c r="W829"/>
      <c r="X829"/>
      <c r="Y829"/>
      <c r="Z829"/>
    </row>
    <row r="830" spans="22:26" x14ac:dyDescent="0.2">
      <c r="V830"/>
      <c r="W830"/>
      <c r="X830"/>
      <c r="Y830"/>
      <c r="Z830"/>
    </row>
    <row r="831" spans="22:26" x14ac:dyDescent="0.2">
      <c r="V831"/>
      <c r="W831"/>
      <c r="X831"/>
      <c r="Y831"/>
      <c r="Z831"/>
    </row>
    <row r="832" spans="22:26" x14ac:dyDescent="0.2">
      <c r="V832"/>
      <c r="W832"/>
      <c r="X832"/>
      <c r="Y832"/>
      <c r="Z832"/>
    </row>
    <row r="833" spans="22:26" x14ac:dyDescent="0.2">
      <c r="V833"/>
      <c r="W833"/>
      <c r="X833"/>
      <c r="Y833"/>
      <c r="Z833"/>
    </row>
    <row r="834" spans="22:26" x14ac:dyDescent="0.2">
      <c r="V834"/>
      <c r="W834"/>
      <c r="X834"/>
      <c r="Y834"/>
      <c r="Z834"/>
    </row>
    <row r="835" spans="22:26" x14ac:dyDescent="0.2">
      <c r="V835"/>
      <c r="W835"/>
      <c r="X835"/>
      <c r="Y835"/>
      <c r="Z835"/>
    </row>
    <row r="836" spans="22:26" x14ac:dyDescent="0.2">
      <c r="V836"/>
      <c r="W836"/>
      <c r="X836"/>
      <c r="Y836"/>
      <c r="Z836"/>
    </row>
    <row r="837" spans="22:26" x14ac:dyDescent="0.2">
      <c r="V837"/>
      <c r="W837"/>
      <c r="X837"/>
      <c r="Y837"/>
      <c r="Z837"/>
    </row>
    <row r="838" spans="22:26" x14ac:dyDescent="0.2">
      <c r="V838"/>
      <c r="W838"/>
      <c r="X838"/>
      <c r="Y838"/>
      <c r="Z838"/>
    </row>
    <row r="839" spans="22:26" x14ac:dyDescent="0.2">
      <c r="V839"/>
      <c r="W839"/>
      <c r="X839"/>
      <c r="Y839"/>
      <c r="Z839"/>
    </row>
    <row r="840" spans="22:26" x14ac:dyDescent="0.2">
      <c r="V840"/>
      <c r="W840"/>
      <c r="X840"/>
      <c r="Y840"/>
      <c r="Z840"/>
    </row>
    <row r="841" spans="22:26" x14ac:dyDescent="0.2">
      <c r="V841"/>
      <c r="W841"/>
      <c r="X841"/>
      <c r="Y841"/>
      <c r="Z841"/>
    </row>
    <row r="842" spans="22:26" x14ac:dyDescent="0.2">
      <c r="V842"/>
      <c r="W842"/>
      <c r="X842"/>
      <c r="Y842"/>
      <c r="Z842"/>
    </row>
    <row r="843" spans="22:26" x14ac:dyDescent="0.2">
      <c r="V843"/>
      <c r="W843"/>
      <c r="X843"/>
      <c r="Y843"/>
      <c r="Z843"/>
    </row>
    <row r="844" spans="22:26" x14ac:dyDescent="0.2">
      <c r="V844"/>
      <c r="W844"/>
      <c r="X844"/>
      <c r="Y844"/>
      <c r="Z844"/>
    </row>
    <row r="845" spans="22:26" x14ac:dyDescent="0.2">
      <c r="V845"/>
      <c r="W845"/>
      <c r="X845"/>
      <c r="Y845"/>
      <c r="Z845"/>
    </row>
    <row r="846" spans="22:26" x14ac:dyDescent="0.2">
      <c r="V846"/>
      <c r="W846"/>
      <c r="X846"/>
      <c r="Y846"/>
      <c r="Z846"/>
    </row>
    <row r="847" spans="22:26" x14ac:dyDescent="0.2">
      <c r="V847"/>
      <c r="W847"/>
      <c r="X847"/>
      <c r="Y847"/>
      <c r="Z847"/>
    </row>
    <row r="848" spans="22:26" x14ac:dyDescent="0.2">
      <c r="V848"/>
      <c r="W848"/>
      <c r="X848"/>
      <c r="Y848"/>
      <c r="Z848"/>
    </row>
    <row r="849" spans="22:26" x14ac:dyDescent="0.2">
      <c r="V849"/>
      <c r="W849"/>
      <c r="X849"/>
      <c r="Y849"/>
      <c r="Z849"/>
    </row>
    <row r="850" spans="22:26" x14ac:dyDescent="0.2">
      <c r="V850"/>
      <c r="W850"/>
      <c r="X850"/>
      <c r="Y850"/>
      <c r="Z850"/>
    </row>
    <row r="851" spans="22:26" x14ac:dyDescent="0.2">
      <c r="V851"/>
      <c r="W851"/>
      <c r="X851"/>
      <c r="Y851"/>
      <c r="Z851"/>
    </row>
    <row r="852" spans="22:26" x14ac:dyDescent="0.2">
      <c r="V852"/>
      <c r="W852"/>
      <c r="X852"/>
      <c r="Y852"/>
      <c r="Z852"/>
    </row>
    <row r="853" spans="22:26" x14ac:dyDescent="0.2">
      <c r="V853"/>
      <c r="W853"/>
      <c r="X853"/>
      <c r="Y853"/>
      <c r="Z853"/>
    </row>
    <row r="854" spans="22:26" x14ac:dyDescent="0.2">
      <c r="V854"/>
      <c r="W854"/>
      <c r="X854"/>
      <c r="Y854"/>
      <c r="Z854"/>
    </row>
    <row r="855" spans="22:26" x14ac:dyDescent="0.2">
      <c r="V855"/>
      <c r="W855"/>
      <c r="X855"/>
      <c r="Y855"/>
      <c r="Z855"/>
    </row>
    <row r="856" spans="22:26" x14ac:dyDescent="0.2">
      <c r="V856"/>
      <c r="W856"/>
      <c r="X856"/>
      <c r="Y856"/>
      <c r="Z856"/>
    </row>
    <row r="857" spans="22:26" x14ac:dyDescent="0.2">
      <c r="V857"/>
      <c r="W857"/>
      <c r="X857"/>
      <c r="Y857"/>
      <c r="Z857"/>
    </row>
    <row r="858" spans="22:26" x14ac:dyDescent="0.2">
      <c r="V858"/>
      <c r="W858"/>
      <c r="X858"/>
      <c r="Y858"/>
      <c r="Z858"/>
    </row>
    <row r="859" spans="22:26" x14ac:dyDescent="0.2">
      <c r="V859"/>
      <c r="W859"/>
      <c r="X859"/>
      <c r="Y859"/>
      <c r="Z859"/>
    </row>
    <row r="860" spans="22:26" x14ac:dyDescent="0.2">
      <c r="V860"/>
      <c r="W860"/>
      <c r="X860"/>
      <c r="Y860"/>
      <c r="Z860"/>
    </row>
    <row r="861" spans="22:26" x14ac:dyDescent="0.2">
      <c r="V861"/>
      <c r="W861"/>
      <c r="X861"/>
      <c r="Y861"/>
      <c r="Z861"/>
    </row>
    <row r="862" spans="22:26" x14ac:dyDescent="0.2">
      <c r="V862"/>
      <c r="W862"/>
      <c r="X862"/>
      <c r="Y862"/>
      <c r="Z862"/>
    </row>
    <row r="863" spans="22:26" x14ac:dyDescent="0.2">
      <c r="V863"/>
      <c r="W863"/>
      <c r="X863"/>
      <c r="Y863"/>
      <c r="Z863"/>
    </row>
    <row r="864" spans="22:26" x14ac:dyDescent="0.2">
      <c r="V864"/>
      <c r="W864"/>
      <c r="X864"/>
      <c r="Y864"/>
      <c r="Z864"/>
    </row>
    <row r="865" spans="22:26" x14ac:dyDescent="0.2">
      <c r="V865"/>
      <c r="W865"/>
      <c r="X865"/>
      <c r="Y865"/>
      <c r="Z865"/>
    </row>
    <row r="866" spans="22:26" x14ac:dyDescent="0.2">
      <c r="V866"/>
      <c r="W866"/>
      <c r="X866"/>
      <c r="Y866"/>
      <c r="Z866"/>
    </row>
    <row r="867" spans="22:26" x14ac:dyDescent="0.2">
      <c r="V867"/>
      <c r="W867"/>
      <c r="X867"/>
      <c r="Y867"/>
      <c r="Z867"/>
    </row>
    <row r="868" spans="22:26" x14ac:dyDescent="0.2">
      <c r="V868"/>
      <c r="W868"/>
      <c r="X868"/>
      <c r="Y868"/>
      <c r="Z868"/>
    </row>
    <row r="869" spans="22:26" x14ac:dyDescent="0.2">
      <c r="V869"/>
      <c r="W869"/>
      <c r="X869"/>
      <c r="Y869"/>
      <c r="Z869"/>
    </row>
    <row r="870" spans="22:26" x14ac:dyDescent="0.2">
      <c r="V870"/>
      <c r="W870"/>
      <c r="X870"/>
      <c r="Y870"/>
      <c r="Z870"/>
    </row>
    <row r="871" spans="22:26" x14ac:dyDescent="0.2">
      <c r="V871"/>
      <c r="W871"/>
      <c r="X871"/>
      <c r="Y871"/>
      <c r="Z871"/>
    </row>
    <row r="872" spans="22:26" x14ac:dyDescent="0.2">
      <c r="V872"/>
      <c r="W872"/>
      <c r="X872"/>
      <c r="Y872"/>
      <c r="Z872"/>
    </row>
    <row r="873" spans="22:26" x14ac:dyDescent="0.2">
      <c r="V873"/>
      <c r="W873"/>
      <c r="X873"/>
      <c r="Y873"/>
      <c r="Z873"/>
    </row>
    <row r="874" spans="22:26" x14ac:dyDescent="0.2">
      <c r="V874"/>
      <c r="W874"/>
      <c r="X874"/>
      <c r="Y874"/>
      <c r="Z874"/>
    </row>
    <row r="875" spans="22:26" x14ac:dyDescent="0.2">
      <c r="V875"/>
      <c r="W875"/>
      <c r="X875"/>
      <c r="Y875"/>
      <c r="Z875"/>
    </row>
    <row r="876" spans="22:26" x14ac:dyDescent="0.2">
      <c r="V876"/>
      <c r="W876"/>
      <c r="X876"/>
      <c r="Y876"/>
      <c r="Z876"/>
    </row>
    <row r="877" spans="22:26" x14ac:dyDescent="0.2">
      <c r="V877"/>
      <c r="W877"/>
      <c r="X877"/>
      <c r="Y877"/>
      <c r="Z877"/>
    </row>
    <row r="878" spans="22:26" x14ac:dyDescent="0.2">
      <c r="V878"/>
      <c r="W878"/>
      <c r="X878"/>
      <c r="Y878"/>
      <c r="Z878"/>
    </row>
    <row r="879" spans="22:26" x14ac:dyDescent="0.2">
      <c r="V879"/>
      <c r="W879"/>
      <c r="X879"/>
      <c r="Y879"/>
      <c r="Z879"/>
    </row>
    <row r="880" spans="22:26" x14ac:dyDescent="0.2">
      <c r="V880"/>
      <c r="W880"/>
      <c r="X880"/>
      <c r="Y880"/>
      <c r="Z880"/>
    </row>
    <row r="881" spans="22:26" x14ac:dyDescent="0.2">
      <c r="V881"/>
      <c r="W881"/>
      <c r="X881"/>
      <c r="Y881"/>
      <c r="Z881"/>
    </row>
    <row r="882" spans="22:26" x14ac:dyDescent="0.2">
      <c r="V882"/>
      <c r="W882"/>
      <c r="X882"/>
      <c r="Y882"/>
      <c r="Z882"/>
    </row>
    <row r="883" spans="22:26" x14ac:dyDescent="0.2">
      <c r="V883"/>
      <c r="W883"/>
      <c r="X883"/>
      <c r="Y883"/>
      <c r="Z883"/>
    </row>
    <row r="884" spans="22:26" x14ac:dyDescent="0.2">
      <c r="V884"/>
      <c r="W884"/>
      <c r="X884"/>
      <c r="Y884"/>
      <c r="Z884"/>
    </row>
    <row r="885" spans="22:26" x14ac:dyDescent="0.2">
      <c r="V885"/>
      <c r="W885"/>
      <c r="X885"/>
      <c r="Y885"/>
      <c r="Z885"/>
    </row>
    <row r="886" spans="22:26" x14ac:dyDescent="0.2">
      <c r="V886"/>
      <c r="W886"/>
      <c r="X886"/>
      <c r="Y886"/>
      <c r="Z886"/>
    </row>
    <row r="887" spans="22:26" x14ac:dyDescent="0.2">
      <c r="V887"/>
      <c r="W887"/>
      <c r="X887"/>
      <c r="Y887"/>
      <c r="Z887"/>
    </row>
    <row r="888" spans="22:26" x14ac:dyDescent="0.2">
      <c r="V888"/>
      <c r="W888"/>
      <c r="X888"/>
      <c r="Y888"/>
      <c r="Z888"/>
    </row>
    <row r="889" spans="22:26" x14ac:dyDescent="0.2">
      <c r="V889"/>
      <c r="W889"/>
      <c r="X889"/>
      <c r="Y889"/>
      <c r="Z889"/>
    </row>
    <row r="890" spans="22:26" x14ac:dyDescent="0.2">
      <c r="V890"/>
      <c r="W890"/>
      <c r="X890"/>
      <c r="Y890"/>
      <c r="Z890"/>
    </row>
    <row r="891" spans="22:26" x14ac:dyDescent="0.2">
      <c r="V891"/>
      <c r="W891"/>
      <c r="X891"/>
      <c r="Y891"/>
      <c r="Z891"/>
    </row>
    <row r="892" spans="22:26" x14ac:dyDescent="0.2">
      <c r="V892"/>
      <c r="W892"/>
      <c r="X892"/>
      <c r="Y892"/>
      <c r="Z892"/>
    </row>
    <row r="893" spans="22:26" x14ac:dyDescent="0.2">
      <c r="V893"/>
      <c r="W893"/>
      <c r="X893"/>
      <c r="Y893"/>
      <c r="Z893"/>
    </row>
    <row r="894" spans="22:26" x14ac:dyDescent="0.2">
      <c r="V894"/>
      <c r="W894"/>
      <c r="X894"/>
      <c r="Y894"/>
      <c r="Z894"/>
    </row>
    <row r="895" spans="22:26" x14ac:dyDescent="0.2">
      <c r="V895"/>
      <c r="W895"/>
      <c r="X895"/>
      <c r="Y895"/>
      <c r="Z895"/>
    </row>
    <row r="896" spans="22:26" x14ac:dyDescent="0.2">
      <c r="V896"/>
      <c r="W896"/>
      <c r="X896"/>
      <c r="Y896"/>
      <c r="Z896"/>
    </row>
    <row r="897" spans="22:26" x14ac:dyDescent="0.2">
      <c r="V897"/>
      <c r="W897"/>
      <c r="X897"/>
      <c r="Y897"/>
      <c r="Z897"/>
    </row>
    <row r="898" spans="22:26" x14ac:dyDescent="0.2">
      <c r="V898"/>
      <c r="W898"/>
      <c r="X898"/>
      <c r="Y898"/>
      <c r="Z898"/>
    </row>
    <row r="899" spans="22:26" x14ac:dyDescent="0.2">
      <c r="V899"/>
      <c r="W899"/>
      <c r="X899"/>
      <c r="Y899"/>
      <c r="Z899"/>
    </row>
    <row r="900" spans="22:26" x14ac:dyDescent="0.2">
      <c r="V900"/>
      <c r="W900"/>
      <c r="X900"/>
      <c r="Y900"/>
      <c r="Z900"/>
    </row>
    <row r="901" spans="22:26" x14ac:dyDescent="0.2">
      <c r="V901"/>
      <c r="W901"/>
      <c r="X901"/>
      <c r="Y901"/>
      <c r="Z901"/>
    </row>
    <row r="902" spans="22:26" x14ac:dyDescent="0.2">
      <c r="V902"/>
      <c r="W902"/>
      <c r="X902"/>
      <c r="Y902"/>
      <c r="Z902"/>
    </row>
    <row r="903" spans="22:26" x14ac:dyDescent="0.2">
      <c r="V903"/>
      <c r="W903"/>
      <c r="X903"/>
      <c r="Y903"/>
      <c r="Z903"/>
    </row>
    <row r="904" spans="22:26" x14ac:dyDescent="0.2">
      <c r="V904"/>
      <c r="W904"/>
      <c r="X904"/>
      <c r="Y904"/>
      <c r="Z904"/>
    </row>
    <row r="905" spans="22:26" x14ac:dyDescent="0.2">
      <c r="V905"/>
      <c r="W905"/>
      <c r="X905"/>
      <c r="Y905"/>
      <c r="Z905"/>
    </row>
    <row r="906" spans="22:26" x14ac:dyDescent="0.2">
      <c r="V906"/>
      <c r="W906"/>
      <c r="X906"/>
      <c r="Y906"/>
      <c r="Z906"/>
    </row>
    <row r="907" spans="22:26" x14ac:dyDescent="0.2">
      <c r="V907"/>
      <c r="W907"/>
      <c r="X907"/>
      <c r="Y907"/>
      <c r="Z907"/>
    </row>
    <row r="908" spans="22:26" x14ac:dyDescent="0.2">
      <c r="V908"/>
      <c r="W908"/>
      <c r="X908"/>
      <c r="Y908"/>
      <c r="Z908"/>
    </row>
    <row r="909" spans="22:26" x14ac:dyDescent="0.2">
      <c r="V909"/>
      <c r="W909"/>
      <c r="X909"/>
      <c r="Y909"/>
      <c r="Z909"/>
    </row>
    <row r="910" spans="22:26" x14ac:dyDescent="0.2">
      <c r="V910"/>
      <c r="W910"/>
      <c r="X910"/>
      <c r="Y910"/>
      <c r="Z910"/>
    </row>
    <row r="911" spans="22:26" x14ac:dyDescent="0.2">
      <c r="V911"/>
      <c r="W911"/>
      <c r="X911"/>
      <c r="Y911"/>
      <c r="Z911"/>
    </row>
    <row r="912" spans="22:26" x14ac:dyDescent="0.2">
      <c r="V912"/>
      <c r="W912"/>
      <c r="X912"/>
      <c r="Y912"/>
      <c r="Z912"/>
    </row>
    <row r="913" spans="22:26" x14ac:dyDescent="0.2">
      <c r="V913"/>
      <c r="W913"/>
      <c r="X913"/>
      <c r="Y913"/>
      <c r="Z913"/>
    </row>
    <row r="914" spans="22:26" x14ac:dyDescent="0.2">
      <c r="V914"/>
      <c r="W914"/>
      <c r="X914"/>
      <c r="Y914"/>
      <c r="Z914"/>
    </row>
    <row r="915" spans="22:26" x14ac:dyDescent="0.2">
      <c r="V915"/>
      <c r="W915"/>
      <c r="X915"/>
      <c r="Y915"/>
      <c r="Z915"/>
    </row>
    <row r="916" spans="22:26" x14ac:dyDescent="0.2">
      <c r="V916"/>
      <c r="W916"/>
      <c r="X916"/>
      <c r="Y916"/>
      <c r="Z916"/>
    </row>
    <row r="917" spans="22:26" x14ac:dyDescent="0.2">
      <c r="V917"/>
      <c r="W917"/>
      <c r="X917"/>
      <c r="Y917"/>
      <c r="Z917"/>
    </row>
    <row r="918" spans="22:26" x14ac:dyDescent="0.2">
      <c r="V918"/>
      <c r="W918"/>
      <c r="X918"/>
      <c r="Y918"/>
      <c r="Z918"/>
    </row>
    <row r="919" spans="22:26" x14ac:dyDescent="0.2">
      <c r="V919"/>
      <c r="W919"/>
      <c r="X919"/>
      <c r="Y919"/>
      <c r="Z919"/>
    </row>
    <row r="920" spans="22:26" x14ac:dyDescent="0.2">
      <c r="V920"/>
      <c r="W920"/>
      <c r="X920"/>
      <c r="Y920"/>
      <c r="Z920"/>
    </row>
    <row r="921" spans="22:26" x14ac:dyDescent="0.2">
      <c r="V921"/>
      <c r="W921"/>
      <c r="X921"/>
      <c r="Y921"/>
      <c r="Z921"/>
    </row>
    <row r="922" spans="22:26" x14ac:dyDescent="0.2">
      <c r="V922"/>
      <c r="W922"/>
      <c r="X922"/>
      <c r="Y922"/>
      <c r="Z922"/>
    </row>
    <row r="923" spans="22:26" x14ac:dyDescent="0.2">
      <c r="V923"/>
      <c r="W923"/>
      <c r="X923"/>
      <c r="Y923"/>
      <c r="Z923"/>
    </row>
    <row r="924" spans="22:26" x14ac:dyDescent="0.2">
      <c r="V924"/>
      <c r="W924"/>
      <c r="X924"/>
      <c r="Y924"/>
      <c r="Z924"/>
    </row>
    <row r="925" spans="22:26" x14ac:dyDescent="0.2">
      <c r="V925"/>
      <c r="W925"/>
      <c r="X925"/>
      <c r="Y925"/>
      <c r="Z925"/>
    </row>
    <row r="926" spans="22:26" x14ac:dyDescent="0.2">
      <c r="V926"/>
      <c r="W926"/>
      <c r="X926"/>
      <c r="Y926"/>
      <c r="Z926"/>
    </row>
    <row r="927" spans="22:26" x14ac:dyDescent="0.2">
      <c r="V927"/>
      <c r="W927"/>
      <c r="X927"/>
      <c r="Y927"/>
      <c r="Z927"/>
    </row>
    <row r="928" spans="22:26" x14ac:dyDescent="0.2">
      <c r="V928"/>
      <c r="W928"/>
      <c r="X928"/>
      <c r="Y928"/>
      <c r="Z928"/>
    </row>
    <row r="929" spans="22:26" x14ac:dyDescent="0.2">
      <c r="V929"/>
      <c r="W929"/>
      <c r="X929"/>
      <c r="Y929"/>
      <c r="Z929"/>
    </row>
    <row r="930" spans="22:26" x14ac:dyDescent="0.2">
      <c r="V930"/>
      <c r="W930"/>
      <c r="X930"/>
      <c r="Y930"/>
      <c r="Z930"/>
    </row>
    <row r="931" spans="22:26" x14ac:dyDescent="0.2">
      <c r="V931"/>
      <c r="W931"/>
      <c r="X931"/>
      <c r="Y931"/>
      <c r="Z931"/>
    </row>
    <row r="932" spans="22:26" x14ac:dyDescent="0.2">
      <c r="V932"/>
      <c r="W932"/>
      <c r="X932"/>
      <c r="Y932"/>
      <c r="Z932"/>
    </row>
    <row r="933" spans="22:26" x14ac:dyDescent="0.2">
      <c r="V933"/>
      <c r="W933"/>
      <c r="X933"/>
      <c r="Y933"/>
      <c r="Z933"/>
    </row>
    <row r="934" spans="22:26" x14ac:dyDescent="0.2">
      <c r="V934"/>
      <c r="W934"/>
      <c r="X934"/>
      <c r="Y934"/>
      <c r="Z934"/>
    </row>
    <row r="935" spans="22:26" x14ac:dyDescent="0.2">
      <c r="V935"/>
      <c r="W935"/>
      <c r="X935"/>
      <c r="Y935"/>
      <c r="Z935"/>
    </row>
    <row r="936" spans="22:26" x14ac:dyDescent="0.2">
      <c r="V936"/>
      <c r="W936"/>
      <c r="X936"/>
      <c r="Y936"/>
      <c r="Z936"/>
    </row>
    <row r="937" spans="22:26" x14ac:dyDescent="0.2">
      <c r="V937"/>
      <c r="W937"/>
      <c r="X937"/>
      <c r="Y937"/>
      <c r="Z937"/>
    </row>
    <row r="938" spans="22:26" x14ac:dyDescent="0.2">
      <c r="V938"/>
      <c r="W938"/>
      <c r="X938"/>
      <c r="Y938"/>
      <c r="Z938"/>
    </row>
    <row r="939" spans="22:26" x14ac:dyDescent="0.2">
      <c r="V939"/>
      <c r="W939"/>
      <c r="X939"/>
      <c r="Y939"/>
      <c r="Z939"/>
    </row>
    <row r="940" spans="22:26" x14ac:dyDescent="0.2">
      <c r="V940"/>
      <c r="W940"/>
      <c r="X940"/>
      <c r="Y940"/>
      <c r="Z940"/>
    </row>
    <row r="941" spans="22:26" x14ac:dyDescent="0.2">
      <c r="V941"/>
      <c r="W941"/>
      <c r="X941"/>
      <c r="Y941"/>
      <c r="Z941"/>
    </row>
    <row r="942" spans="22:26" x14ac:dyDescent="0.2">
      <c r="V942"/>
      <c r="W942"/>
      <c r="X942"/>
      <c r="Y942"/>
      <c r="Z942"/>
    </row>
    <row r="943" spans="22:26" x14ac:dyDescent="0.2">
      <c r="V943"/>
      <c r="W943"/>
      <c r="X943"/>
      <c r="Y943"/>
      <c r="Z943"/>
    </row>
    <row r="944" spans="22:26" x14ac:dyDescent="0.2">
      <c r="V944"/>
      <c r="W944"/>
      <c r="X944"/>
      <c r="Y944"/>
      <c r="Z944"/>
    </row>
    <row r="945" spans="22:26" x14ac:dyDescent="0.2">
      <c r="V945"/>
      <c r="W945"/>
      <c r="X945"/>
      <c r="Y945"/>
      <c r="Z945"/>
    </row>
    <row r="946" spans="22:26" x14ac:dyDescent="0.2">
      <c r="V946"/>
      <c r="W946"/>
      <c r="X946"/>
      <c r="Y946"/>
      <c r="Z946"/>
    </row>
    <row r="947" spans="22:26" x14ac:dyDescent="0.2">
      <c r="V947"/>
      <c r="W947"/>
      <c r="X947"/>
      <c r="Y947"/>
      <c r="Z947"/>
    </row>
    <row r="948" spans="22:26" x14ac:dyDescent="0.2">
      <c r="V948"/>
      <c r="W948"/>
      <c r="X948"/>
      <c r="Y948"/>
      <c r="Z948"/>
    </row>
    <row r="949" spans="22:26" x14ac:dyDescent="0.2">
      <c r="V949"/>
      <c r="W949"/>
      <c r="X949"/>
      <c r="Y949"/>
      <c r="Z949"/>
    </row>
    <row r="950" spans="22:26" x14ac:dyDescent="0.2">
      <c r="V950"/>
      <c r="W950"/>
      <c r="X950"/>
      <c r="Y950"/>
      <c r="Z950"/>
    </row>
    <row r="951" spans="22:26" x14ac:dyDescent="0.2">
      <c r="V951"/>
      <c r="W951"/>
      <c r="X951"/>
      <c r="Y951"/>
      <c r="Z951"/>
    </row>
    <row r="952" spans="22:26" x14ac:dyDescent="0.2">
      <c r="V952"/>
      <c r="W952"/>
      <c r="X952"/>
      <c r="Y952"/>
      <c r="Z952"/>
    </row>
    <row r="953" spans="22:26" x14ac:dyDescent="0.2">
      <c r="V953"/>
      <c r="W953"/>
      <c r="X953"/>
      <c r="Y953"/>
      <c r="Z953"/>
    </row>
    <row r="954" spans="22:26" x14ac:dyDescent="0.2">
      <c r="V954"/>
      <c r="W954"/>
      <c r="X954"/>
      <c r="Y954"/>
      <c r="Z954"/>
    </row>
    <row r="955" spans="22:26" x14ac:dyDescent="0.2">
      <c r="V955"/>
      <c r="W955"/>
      <c r="X955"/>
      <c r="Y955"/>
      <c r="Z955"/>
    </row>
    <row r="956" spans="22:26" x14ac:dyDescent="0.2">
      <c r="V956"/>
      <c r="W956"/>
      <c r="X956"/>
      <c r="Y956"/>
      <c r="Z956"/>
    </row>
    <row r="957" spans="22:26" x14ac:dyDescent="0.2">
      <c r="V957"/>
      <c r="W957"/>
      <c r="X957"/>
      <c r="Y957"/>
      <c r="Z957"/>
    </row>
    <row r="958" spans="22:26" x14ac:dyDescent="0.2">
      <c r="V958"/>
      <c r="W958"/>
      <c r="X958"/>
      <c r="Y958"/>
      <c r="Z958"/>
    </row>
    <row r="959" spans="22:26" x14ac:dyDescent="0.2">
      <c r="V959"/>
      <c r="W959"/>
      <c r="X959"/>
      <c r="Y959"/>
      <c r="Z959"/>
    </row>
    <row r="960" spans="22:26" x14ac:dyDescent="0.2">
      <c r="V960"/>
      <c r="W960"/>
      <c r="X960"/>
      <c r="Y960"/>
      <c r="Z960"/>
    </row>
    <row r="961" spans="22:26" x14ac:dyDescent="0.2">
      <c r="V961"/>
      <c r="W961"/>
      <c r="X961"/>
      <c r="Y961"/>
      <c r="Z961"/>
    </row>
    <row r="962" spans="22:26" x14ac:dyDescent="0.2">
      <c r="V962"/>
      <c r="W962"/>
      <c r="X962"/>
      <c r="Y962"/>
      <c r="Z962"/>
    </row>
    <row r="963" spans="22:26" x14ac:dyDescent="0.2">
      <c r="V963"/>
      <c r="W963"/>
      <c r="X963"/>
      <c r="Y963"/>
      <c r="Z963"/>
    </row>
    <row r="964" spans="22:26" x14ac:dyDescent="0.2">
      <c r="V964"/>
      <c r="W964"/>
      <c r="X964"/>
      <c r="Y964"/>
      <c r="Z964"/>
    </row>
    <row r="965" spans="22:26" x14ac:dyDescent="0.2">
      <c r="V965"/>
      <c r="W965"/>
      <c r="X965"/>
      <c r="Y965"/>
      <c r="Z965"/>
    </row>
    <row r="966" spans="22:26" x14ac:dyDescent="0.2">
      <c r="V966"/>
      <c r="W966"/>
      <c r="X966"/>
      <c r="Y966"/>
      <c r="Z966"/>
    </row>
    <row r="967" spans="22:26" x14ac:dyDescent="0.2">
      <c r="V967"/>
      <c r="W967"/>
      <c r="X967"/>
      <c r="Y967"/>
      <c r="Z967"/>
    </row>
    <row r="968" spans="22:26" x14ac:dyDescent="0.2">
      <c r="V968"/>
      <c r="W968"/>
      <c r="X968"/>
      <c r="Y968"/>
      <c r="Z968"/>
    </row>
    <row r="969" spans="22:26" x14ac:dyDescent="0.2">
      <c r="V969"/>
      <c r="W969"/>
      <c r="X969"/>
      <c r="Y969"/>
      <c r="Z969"/>
    </row>
    <row r="970" spans="22:26" x14ac:dyDescent="0.2">
      <c r="V970"/>
      <c r="W970"/>
      <c r="X970"/>
      <c r="Y970"/>
      <c r="Z970"/>
    </row>
    <row r="971" spans="22:26" x14ac:dyDescent="0.2">
      <c r="V971"/>
      <c r="W971"/>
      <c r="X971"/>
      <c r="Y971"/>
      <c r="Z971"/>
    </row>
    <row r="972" spans="22:26" x14ac:dyDescent="0.2">
      <c r="V972"/>
      <c r="W972"/>
      <c r="X972"/>
      <c r="Y972"/>
      <c r="Z972"/>
    </row>
    <row r="973" spans="22:26" x14ac:dyDescent="0.2">
      <c r="V973"/>
      <c r="W973"/>
      <c r="X973"/>
      <c r="Y973"/>
      <c r="Z973"/>
    </row>
    <row r="974" spans="22:26" x14ac:dyDescent="0.2">
      <c r="V974"/>
      <c r="W974"/>
      <c r="X974"/>
      <c r="Y974"/>
      <c r="Z974"/>
    </row>
    <row r="975" spans="22:26" x14ac:dyDescent="0.2">
      <c r="V975"/>
      <c r="W975"/>
      <c r="X975"/>
      <c r="Y975"/>
      <c r="Z975"/>
    </row>
    <row r="976" spans="22:26" x14ac:dyDescent="0.2">
      <c r="V976"/>
      <c r="W976"/>
      <c r="X976"/>
      <c r="Y976"/>
      <c r="Z976"/>
    </row>
    <row r="977" spans="22:26" x14ac:dyDescent="0.2">
      <c r="V977"/>
      <c r="W977"/>
      <c r="X977"/>
      <c r="Y977"/>
      <c r="Z977"/>
    </row>
    <row r="978" spans="22:26" x14ac:dyDescent="0.2">
      <c r="V978"/>
      <c r="W978"/>
      <c r="X978"/>
      <c r="Y978"/>
      <c r="Z978"/>
    </row>
    <row r="979" spans="22:26" x14ac:dyDescent="0.2">
      <c r="V979"/>
      <c r="W979"/>
      <c r="X979"/>
      <c r="Y979"/>
      <c r="Z979"/>
    </row>
    <row r="980" spans="22:26" x14ac:dyDescent="0.2">
      <c r="V980"/>
      <c r="W980"/>
      <c r="X980"/>
      <c r="Y980"/>
      <c r="Z980"/>
    </row>
    <row r="981" spans="22:26" x14ac:dyDescent="0.2">
      <c r="V981"/>
      <c r="W981"/>
      <c r="X981"/>
      <c r="Y981"/>
      <c r="Z981"/>
    </row>
    <row r="982" spans="22:26" x14ac:dyDescent="0.2">
      <c r="V982"/>
      <c r="W982"/>
      <c r="X982"/>
      <c r="Y982"/>
      <c r="Z982"/>
    </row>
    <row r="983" spans="22:26" x14ac:dyDescent="0.2">
      <c r="V983"/>
      <c r="W983"/>
      <c r="X983"/>
      <c r="Y983"/>
      <c r="Z983"/>
    </row>
    <row r="984" spans="22:26" x14ac:dyDescent="0.2">
      <c r="V984"/>
      <c r="W984"/>
      <c r="X984"/>
      <c r="Y984"/>
      <c r="Z984"/>
    </row>
    <row r="985" spans="22:26" x14ac:dyDescent="0.2">
      <c r="V985"/>
      <c r="W985"/>
      <c r="X985"/>
      <c r="Y985"/>
      <c r="Z985"/>
    </row>
    <row r="986" spans="22:26" x14ac:dyDescent="0.2">
      <c r="V986"/>
      <c r="W986"/>
      <c r="X986"/>
      <c r="Y986"/>
      <c r="Z986"/>
    </row>
    <row r="987" spans="22:26" x14ac:dyDescent="0.2">
      <c r="V987"/>
      <c r="W987"/>
      <c r="X987"/>
      <c r="Y987"/>
      <c r="Z987"/>
    </row>
    <row r="988" spans="22:26" x14ac:dyDescent="0.2">
      <c r="V988"/>
      <c r="W988"/>
      <c r="X988"/>
      <c r="Y988"/>
      <c r="Z988"/>
    </row>
    <row r="989" spans="22:26" x14ac:dyDescent="0.2">
      <c r="V989"/>
      <c r="W989"/>
      <c r="X989"/>
      <c r="Y989"/>
      <c r="Z989"/>
    </row>
    <row r="990" spans="22:26" x14ac:dyDescent="0.2">
      <c r="V990"/>
      <c r="W990"/>
      <c r="X990"/>
      <c r="Y990"/>
      <c r="Z990"/>
    </row>
    <row r="991" spans="22:26" x14ac:dyDescent="0.2">
      <c r="V991"/>
      <c r="W991"/>
      <c r="X991"/>
      <c r="Y991"/>
      <c r="Z991"/>
    </row>
    <row r="992" spans="22:26" x14ac:dyDescent="0.2">
      <c r="V992"/>
      <c r="W992"/>
      <c r="X992"/>
      <c r="Y992"/>
      <c r="Z992"/>
    </row>
    <row r="993" spans="22:26" x14ac:dyDescent="0.2">
      <c r="V993"/>
      <c r="W993"/>
      <c r="X993"/>
      <c r="Y993"/>
      <c r="Z993"/>
    </row>
    <row r="994" spans="22:26" x14ac:dyDescent="0.2">
      <c r="V994"/>
      <c r="W994"/>
      <c r="X994"/>
      <c r="Y994"/>
      <c r="Z994"/>
    </row>
    <row r="995" spans="22:26" x14ac:dyDescent="0.2">
      <c r="V995"/>
      <c r="W995"/>
      <c r="X995"/>
      <c r="Y995"/>
      <c r="Z995"/>
    </row>
    <row r="996" spans="22:26" x14ac:dyDescent="0.2">
      <c r="V996"/>
      <c r="W996"/>
      <c r="X996"/>
      <c r="Y996"/>
      <c r="Z996"/>
    </row>
    <row r="997" spans="22:26" x14ac:dyDescent="0.2">
      <c r="V997"/>
      <c r="W997"/>
      <c r="X997"/>
      <c r="Y997"/>
      <c r="Z997"/>
    </row>
    <row r="998" spans="22:26" x14ac:dyDescent="0.2">
      <c r="V998"/>
      <c r="W998"/>
      <c r="X998"/>
      <c r="Y998"/>
      <c r="Z998"/>
    </row>
    <row r="999" spans="22:26" x14ac:dyDescent="0.2">
      <c r="V999"/>
      <c r="W999"/>
      <c r="X999"/>
      <c r="Y999"/>
      <c r="Z999"/>
    </row>
    <row r="1000" spans="22:26" x14ac:dyDescent="0.2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21:V121"/>
    <mergeCell ref="AE1:AF1"/>
    <mergeCell ref="R1:AB1"/>
    <mergeCell ref="R105:AB105"/>
  </mergeCells>
  <conditionalFormatting sqref="A2:B2 D2:E2 G2:H2 J2:K2 M2:N2 A16:B16 A26:B26 D14:E14 G17:H17 J14:K14 M14:N14 D29:E29 J25:K25 AQ28:AQ31"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7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650" priority="897" stopIfTrue="1">
      <formula>LEN(TRIM(B3))=0</formula>
    </cfRule>
    <cfRule type="cellIs" dxfId="649" priority="896" stopIfTrue="1" operator="between">
      <formula>10</formula>
      <formula>10</formula>
    </cfRule>
    <cfRule type="cellIs" dxfId="648" priority="895" operator="between">
      <formula>9</formula>
      <formula>9.9</formula>
    </cfRule>
    <cfRule type="cellIs" dxfId="647" priority="894" stopIfTrue="1" operator="between">
      <formula>8</formula>
      <formula>8.9</formula>
    </cfRule>
    <cfRule type="cellIs" dxfId="646" priority="893" operator="between">
      <formula>7</formula>
      <formula>7.9</formula>
    </cfRule>
    <cfRule type="cellIs" dxfId="645" priority="855" operator="between">
      <formula>10.1</formula>
      <formula>10.6</formula>
    </cfRule>
  </conditionalFormatting>
  <conditionalFormatting sqref="B17:B24">
    <cfRule type="cellIs" dxfId="644" priority="834" operator="between">
      <formula>9</formula>
      <formula>9.9</formula>
    </cfRule>
    <cfRule type="containsBlanks" dxfId="643" priority="836" stopIfTrue="1">
      <formula>LEN(TRIM(B17))=0</formula>
    </cfRule>
    <cfRule type="cellIs" dxfId="642" priority="835" stopIfTrue="1" operator="between">
      <formula>10</formula>
      <formula>10</formula>
    </cfRule>
    <cfRule type="cellIs" dxfId="641" priority="831" operator="between">
      <formula>10.1</formula>
      <formula>10.6</formula>
    </cfRule>
    <cfRule type="cellIs" dxfId="640" priority="832" operator="between">
      <formula>7</formula>
      <formula>7.9</formula>
    </cfRule>
    <cfRule type="cellIs" dxfId="639" priority="833" stopIfTrue="1" operator="between">
      <formula>8</formula>
      <formula>8.9</formula>
    </cfRule>
  </conditionalFormatting>
  <conditionalFormatting sqref="B27:B31">
    <cfRule type="cellIs" dxfId="638" priority="826" operator="between">
      <formula>7</formula>
      <formula>7.9</formula>
    </cfRule>
    <cfRule type="containsBlanks" dxfId="637" priority="830" stopIfTrue="1">
      <formula>LEN(TRIM(B27))=0</formula>
    </cfRule>
    <cfRule type="cellIs" dxfId="636" priority="829" stopIfTrue="1" operator="between">
      <formula>10</formula>
      <formula>10</formula>
    </cfRule>
    <cfRule type="cellIs" dxfId="635" priority="828" operator="between">
      <formula>9</formula>
      <formula>9.9</formula>
    </cfRule>
    <cfRule type="cellIs" dxfId="634" priority="827" stopIfTrue="1" operator="between">
      <formula>8</formula>
      <formula>8.9</formula>
    </cfRule>
    <cfRule type="cellIs" dxfId="633" priority="825" operator="between">
      <formula>10.1</formula>
      <formula>10.6</formula>
    </cfRule>
  </conditionalFormatting>
  <conditionalFormatting sqref="B33"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32" priority="820" operator="between">
      <formula>7</formula>
      <formula>7.9</formula>
    </cfRule>
    <cfRule type="cellIs" dxfId="631" priority="819" operator="between">
      <formula>10.1</formula>
      <formula>10.6</formula>
    </cfRule>
    <cfRule type="containsBlanks" dxfId="630" priority="824" stopIfTrue="1">
      <formula>LEN(TRIM(B34))=0</formula>
    </cfRule>
    <cfRule type="cellIs" dxfId="629" priority="823" stopIfTrue="1" operator="between">
      <formula>10</formula>
      <formula>10</formula>
    </cfRule>
    <cfRule type="cellIs" dxfId="628" priority="822" operator="between">
      <formula>9</formula>
      <formula>9.9</formula>
    </cfRule>
    <cfRule type="cellIs" dxfId="627" priority="821" stopIfTrue="1" operator="between">
      <formula>8</formula>
      <formula>8.9</formula>
    </cfRule>
  </conditionalFormatting>
  <conditionalFormatting sqref="B47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626" priority="794" stopIfTrue="1">
      <formula>LEN(TRIM(B48))=0</formula>
    </cfRule>
    <cfRule type="cellIs" dxfId="625" priority="793" stopIfTrue="1" operator="between">
      <formula>10</formula>
      <formula>10</formula>
    </cfRule>
    <cfRule type="cellIs" dxfId="624" priority="792" operator="between">
      <formula>9</formula>
      <formula>9.9</formula>
    </cfRule>
    <cfRule type="cellIs" dxfId="623" priority="791" stopIfTrue="1" operator="between">
      <formula>8</formula>
      <formula>8.9</formula>
    </cfRule>
    <cfRule type="cellIs" dxfId="622" priority="790" operator="between">
      <formula>7</formula>
      <formula>7.9</formula>
    </cfRule>
    <cfRule type="cellIs" dxfId="621" priority="789" operator="between">
      <formula>10.1</formula>
      <formula>10.6</formula>
    </cfRule>
  </conditionalFormatting>
  <conditionalFormatting sqref="B59">
    <cfRule type="colorScale" priority="774">
      <colorScale>
        <cfvo type="num" val="5"/>
        <cfvo type="num" val="10"/>
        <color rgb="FFFF494D"/>
        <color rgb="FF00FF66"/>
      </colorScale>
    </cfRule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620" priority="772" stopIfTrue="1">
      <formula>LEN(TRIM(B60))=0</formula>
    </cfRule>
    <cfRule type="cellIs" dxfId="619" priority="771" stopIfTrue="1" operator="between">
      <formula>10</formula>
      <formula>10</formula>
    </cfRule>
    <cfRule type="cellIs" dxfId="618" priority="770" operator="between">
      <formula>9</formula>
      <formula>9.9</formula>
    </cfRule>
    <cfRule type="cellIs" dxfId="617" priority="769" stopIfTrue="1" operator="between">
      <formula>8</formula>
      <formula>8.9</formula>
    </cfRule>
    <cfRule type="cellIs" dxfId="616" priority="768" operator="between">
      <formula>7</formula>
      <formula>7.9</formula>
    </cfRule>
    <cfRule type="cellIs" dxfId="615" priority="767" operator="between">
      <formula>10.1</formula>
      <formula>10.6</formula>
    </cfRule>
  </conditionalFormatting>
  <conditionalFormatting sqref="B70">
    <cfRule type="colorScale" priority="701">
      <colorScale>
        <cfvo type="num" val="5"/>
        <cfvo type="num" val="10"/>
        <color rgb="FFFF494D"/>
        <color rgb="FF00FF66"/>
      </colorScale>
    </cfRule>
    <cfRule type="colorScale" priority="7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614" priority="686" stopIfTrue="1">
      <formula>LEN(TRIM(B71))=0</formula>
    </cfRule>
    <cfRule type="cellIs" dxfId="613" priority="685" stopIfTrue="1" operator="between">
      <formula>10</formula>
      <formula>10</formula>
    </cfRule>
    <cfRule type="cellIs" dxfId="612" priority="684" operator="between">
      <formula>9</formula>
      <formula>9.9</formula>
    </cfRule>
    <cfRule type="cellIs" dxfId="611" priority="683" stopIfTrue="1" operator="between">
      <formula>8</formula>
      <formula>8.9</formula>
    </cfRule>
    <cfRule type="cellIs" dxfId="610" priority="682" operator="between">
      <formula>7</formula>
      <formula>7.9</formula>
    </cfRule>
    <cfRule type="cellIs" dxfId="609" priority="681" operator="between">
      <formula>10.1</formula>
      <formula>10.6</formula>
    </cfRule>
  </conditionalFormatting>
  <conditionalFormatting sqref="B73">
    <cfRule type="cellIs" dxfId="608" priority="680" operator="between">
      <formula>6</formula>
      <formula>6.9</formula>
    </cfRule>
  </conditionalFormatting>
  <conditionalFormatting sqref="B79">
    <cfRule type="colorScale" priority="664">
      <colorScale>
        <cfvo type="num" val="5"/>
        <cfvo type="num" val="10"/>
        <color rgb="FFFF494D"/>
        <color rgb="FF00FF66"/>
      </colorScale>
    </cfRule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607" priority="662" stopIfTrue="1">
      <formula>LEN(TRIM(B80))=0</formula>
    </cfRule>
    <cfRule type="cellIs" dxfId="606" priority="661" stopIfTrue="1" operator="between">
      <formula>10</formula>
      <formula>10</formula>
    </cfRule>
    <cfRule type="cellIs" dxfId="605" priority="660" operator="between">
      <formula>9</formula>
      <formula>9.9</formula>
    </cfRule>
    <cfRule type="cellIs" dxfId="604" priority="659" stopIfTrue="1" operator="between">
      <formula>8</formula>
      <formula>8.9</formula>
    </cfRule>
    <cfRule type="cellIs" dxfId="603" priority="658" operator="between">
      <formula>7</formula>
      <formula>7.9</formula>
    </cfRule>
    <cfRule type="cellIs" dxfId="602" priority="657" operator="between">
      <formula>10.1</formula>
      <formula>10.6</formula>
    </cfRule>
  </conditionalFormatting>
  <conditionalFormatting sqref="B93">
    <cfRule type="colorScale" priority="617">
      <colorScale>
        <cfvo type="num" val="5"/>
        <cfvo type="num" val="10"/>
        <color rgb="FFFF494D"/>
        <color rgb="FF00FF66"/>
      </colorScale>
    </cfRule>
    <cfRule type="colorScale" priority="6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601" priority="615" stopIfTrue="1">
      <formula>LEN(TRIM(B94))=0</formula>
    </cfRule>
    <cfRule type="cellIs" dxfId="600" priority="614" stopIfTrue="1" operator="between">
      <formula>10</formula>
      <formula>10</formula>
    </cfRule>
    <cfRule type="cellIs" dxfId="599" priority="613" operator="between">
      <formula>9</formula>
      <formula>9.9</formula>
    </cfRule>
    <cfRule type="cellIs" dxfId="598" priority="612" stopIfTrue="1" operator="between">
      <formula>8</formula>
      <formula>8.9</formula>
    </cfRule>
    <cfRule type="cellIs" dxfId="597" priority="611" operator="between">
      <formula>7</formula>
      <formula>7.9</formula>
    </cfRule>
    <cfRule type="cellIs" dxfId="596" priority="610" operator="between">
      <formula>10.1</formula>
      <formula>10.6</formula>
    </cfRule>
  </conditionalFormatting>
  <conditionalFormatting sqref="B103">
    <cfRule type="colorScale" priority="568">
      <colorScale>
        <cfvo type="num" val="5"/>
        <cfvo type="num" val="10"/>
        <color rgb="FFFF494D"/>
        <color rgb="FF00FF66"/>
      </colorScale>
    </cfRule>
    <cfRule type="colorScale" priority="5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595" priority="566" stopIfTrue="1">
      <formula>LEN(TRIM(B104))=0</formula>
    </cfRule>
    <cfRule type="cellIs" dxfId="594" priority="565" stopIfTrue="1" operator="between">
      <formula>10</formula>
      <formula>10</formula>
    </cfRule>
    <cfRule type="cellIs" dxfId="593" priority="564" operator="between">
      <formula>9</formula>
      <formula>9.9</formula>
    </cfRule>
    <cfRule type="cellIs" dxfId="592" priority="563" stopIfTrue="1" operator="between">
      <formula>8</formula>
      <formula>8.9</formula>
    </cfRule>
    <cfRule type="cellIs" dxfId="591" priority="562" operator="between">
      <formula>7</formula>
      <formula>7.9</formula>
    </cfRule>
    <cfRule type="cellIs" dxfId="590" priority="561" operator="between">
      <formula>10.1</formula>
      <formula>10.6</formula>
    </cfRule>
  </conditionalFormatting>
  <conditionalFormatting sqref="B114">
    <cfRule type="colorScale" priority="529">
      <colorScale>
        <cfvo type="num" val="5"/>
        <cfvo type="num" val="10"/>
        <color rgb="FFFF494D"/>
        <color rgb="FF00FF66"/>
      </colorScale>
    </cfRule>
    <cfRule type="colorScale" priority="5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589" priority="521" stopIfTrue="1">
      <formula>LEN(TRIM(B115))=0</formula>
    </cfRule>
    <cfRule type="cellIs" dxfId="588" priority="520" stopIfTrue="1" operator="between">
      <formula>10</formula>
      <formula>10</formula>
    </cfRule>
    <cfRule type="cellIs" dxfId="587" priority="519" operator="between">
      <formula>9</formula>
      <formula>9.9</formula>
    </cfRule>
    <cfRule type="cellIs" dxfId="586" priority="518" stopIfTrue="1" operator="between">
      <formula>8</formula>
      <formula>8.9</formula>
    </cfRule>
    <cfRule type="cellIs" dxfId="585" priority="517" operator="between">
      <formula>7</formula>
      <formula>7.9</formula>
    </cfRule>
    <cfRule type="cellIs" dxfId="584" priority="516" operator="between">
      <formula>10.1</formula>
      <formula>10.6</formula>
    </cfRule>
    <cfRule type="cellIs" dxfId="583" priority="515" operator="between">
      <formula>6</formula>
      <formula>6.9</formula>
    </cfRule>
  </conditionalFormatting>
  <conditionalFormatting sqref="B134">
    <cfRule type="colorScale" priority="446">
      <colorScale>
        <cfvo type="num" val="5"/>
        <cfvo type="num" val="10"/>
        <color rgb="FFFF494D"/>
        <color rgb="FF00FF66"/>
      </colorScale>
    </cfRule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582" priority="441" stopIfTrue="1" operator="between">
      <formula>8</formula>
      <formula>8.9</formula>
    </cfRule>
    <cfRule type="cellIs" dxfId="581" priority="442" operator="between">
      <formula>9</formula>
      <formula>9.9</formula>
    </cfRule>
    <cfRule type="cellIs" dxfId="580" priority="440" operator="between">
      <formula>7</formula>
      <formula>7.9</formula>
    </cfRule>
    <cfRule type="cellIs" dxfId="579" priority="439" operator="between">
      <formula>10.1</formula>
      <formula>10.6</formula>
    </cfRule>
    <cfRule type="cellIs" dxfId="578" priority="438" operator="between">
      <formula>6</formula>
      <formula>6.9</formula>
    </cfRule>
    <cfRule type="cellIs" dxfId="577" priority="443" stopIfTrue="1" operator="between">
      <formula>10</formula>
      <formula>10</formula>
    </cfRule>
    <cfRule type="containsBlanks" dxfId="576" priority="444" stopIfTrue="1">
      <formula>LEN(TRIM(B135))=0</formula>
    </cfRule>
  </conditionalFormatting>
  <conditionalFormatting sqref="B145">
    <cfRule type="colorScale" priority="401">
      <colorScale>
        <cfvo type="num" val="5"/>
        <cfvo type="num" val="10"/>
        <color rgb="FFFF494D"/>
        <color rgb="FF00FF66"/>
      </colorScale>
    </cfRule>
    <cfRule type="colorScale" priority="4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575" priority="394" operator="between">
      <formula>10.1</formula>
      <formula>10.6</formula>
    </cfRule>
    <cfRule type="cellIs" dxfId="574" priority="393" operator="between">
      <formula>6</formula>
      <formula>6.9</formula>
    </cfRule>
    <cfRule type="containsBlanks" dxfId="573" priority="399" stopIfTrue="1">
      <formula>LEN(TRIM(B146))=0</formula>
    </cfRule>
    <cfRule type="cellIs" dxfId="572" priority="398" stopIfTrue="1" operator="between">
      <formula>10</formula>
      <formula>10</formula>
    </cfRule>
    <cfRule type="cellIs" dxfId="571" priority="397" operator="between">
      <formula>9</formula>
      <formula>9.9</formula>
    </cfRule>
    <cfRule type="cellIs" dxfId="570" priority="395" operator="between">
      <formula>7</formula>
      <formula>7.9</formula>
    </cfRule>
    <cfRule type="cellIs" dxfId="569" priority="396" stopIfTrue="1" operator="between">
      <formula>8</formula>
      <formula>8.9</formula>
    </cfRule>
  </conditionalFormatting>
  <conditionalFormatting sqref="B162">
    <cfRule type="colorScale" priority="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568" priority="334" operator="between">
      <formula>7</formula>
      <formula>7.9</formula>
    </cfRule>
    <cfRule type="cellIs" dxfId="567" priority="336" operator="between">
      <formula>9</formula>
      <formula>9.9</formula>
    </cfRule>
    <cfRule type="cellIs" dxfId="566" priority="332" operator="between">
      <formula>6</formula>
      <formula>6.9</formula>
    </cfRule>
    <cfRule type="cellIs" dxfId="565" priority="333" operator="between">
      <formula>10.1</formula>
      <formula>10.6</formula>
    </cfRule>
    <cfRule type="cellIs" dxfId="564" priority="335" stopIfTrue="1" operator="between">
      <formula>8</formula>
      <formula>8.9</formula>
    </cfRule>
    <cfRule type="containsBlanks" dxfId="563" priority="338" stopIfTrue="1">
      <formula>LEN(TRIM(B163))=0</formula>
    </cfRule>
    <cfRule type="cellIs" dxfId="562" priority="337" stopIfTrue="1" operator="between">
      <formula>10</formula>
      <formula>10</formula>
    </cfRule>
  </conditionalFormatting>
  <conditionalFormatting sqref="B172">
    <cfRule type="colorScale" priority="302">
      <colorScale>
        <cfvo type="num" val="5"/>
        <cfvo type="num" val="10"/>
        <color rgb="FFFF494D"/>
        <color rgb="FF00FF66"/>
      </colorScale>
    </cfRule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561" priority="294" operator="between">
      <formula>6</formula>
      <formula>6.9</formula>
    </cfRule>
    <cfRule type="cellIs" dxfId="560" priority="299" stopIfTrue="1" operator="between">
      <formula>10</formula>
      <formula>10</formula>
    </cfRule>
    <cfRule type="cellIs" dxfId="559" priority="298" operator="between">
      <formula>9</formula>
      <formula>9.9</formula>
    </cfRule>
    <cfRule type="cellIs" dxfId="558" priority="297" stopIfTrue="1" operator="between">
      <formula>8</formula>
      <formula>8.9</formula>
    </cfRule>
    <cfRule type="cellIs" dxfId="557" priority="296" operator="between">
      <formula>7</formula>
      <formula>7.9</formula>
    </cfRule>
    <cfRule type="cellIs" dxfId="556" priority="295" operator="between">
      <formula>10.1</formula>
      <formula>10.6</formula>
    </cfRule>
    <cfRule type="containsBlanks" dxfId="555" priority="300" stopIfTrue="1">
      <formula>LEN(TRIM(B173))=0</formula>
    </cfRule>
  </conditionalFormatting>
  <conditionalFormatting sqref="B185">
    <cfRule type="colorScale" priority="264">
      <colorScale>
        <cfvo type="num" val="5"/>
        <cfvo type="num" val="10"/>
        <color rgb="FFFF494D"/>
        <color rgb="FF00FF66"/>
      </colorScale>
    </cfRule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554" priority="262" stopIfTrue="1">
      <formula>LEN(TRIM(B186))=0</formula>
    </cfRule>
    <cfRule type="cellIs" dxfId="553" priority="261" stopIfTrue="1" operator="between">
      <formula>10</formula>
      <formula>10</formula>
    </cfRule>
    <cfRule type="cellIs" dxfId="552" priority="260" operator="between">
      <formula>9</formula>
      <formula>9.9</formula>
    </cfRule>
    <cfRule type="cellIs" dxfId="551" priority="259" stopIfTrue="1" operator="between">
      <formula>8</formula>
      <formula>8.9</formula>
    </cfRule>
    <cfRule type="cellIs" dxfId="550" priority="258" operator="between">
      <formula>7</formula>
      <formula>7.9</formula>
    </cfRule>
    <cfRule type="cellIs" dxfId="549" priority="257" operator="between">
      <formula>10.1</formula>
      <formula>10.6</formula>
    </cfRule>
    <cfRule type="cellIs" dxfId="548" priority="256" operator="between">
      <formula>6</formula>
      <formula>6.9</formula>
    </cfRule>
  </conditionalFormatting>
  <conditionalFormatting sqref="B196">
    <cfRule type="colorScale" priority="206">
      <colorScale>
        <cfvo type="num" val="5"/>
        <cfvo type="num" val="10"/>
        <color rgb="FFFF494D"/>
        <color rgb="FF00FF66"/>
      </colorScale>
    </cfRule>
    <cfRule type="colorScale" priority="2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547" priority="212" stopIfTrue="1" operator="between">
      <formula>10</formula>
      <formula>10</formula>
    </cfRule>
    <cfRule type="cellIs" dxfId="546" priority="207" operator="between">
      <formula>6</formula>
      <formula>6.9</formula>
    </cfRule>
    <cfRule type="containsBlanks" dxfId="545" priority="213" stopIfTrue="1">
      <formula>LEN(TRIM(B197))=0</formula>
    </cfRule>
    <cfRule type="cellIs" dxfId="544" priority="211" operator="between">
      <formula>9</formula>
      <formula>9.9</formula>
    </cfRule>
    <cfRule type="cellIs" dxfId="543" priority="210" stopIfTrue="1" operator="between">
      <formula>8</formula>
      <formula>8.9</formula>
    </cfRule>
    <cfRule type="cellIs" dxfId="542" priority="209" operator="between">
      <formula>7</formula>
      <formula>7.9</formula>
    </cfRule>
    <cfRule type="cellIs" dxfId="541" priority="208" operator="between">
      <formula>10.1</formula>
      <formula>10.6</formula>
    </cfRule>
  </conditionalFormatting>
  <conditionalFormatting sqref="B213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540" priority="131" operator="between">
      <formula>6</formula>
      <formula>6.9</formula>
    </cfRule>
    <cfRule type="cellIs" dxfId="539" priority="132" operator="between">
      <formula>10.1</formula>
      <formula>10.6</formula>
    </cfRule>
    <cfRule type="cellIs" dxfId="538" priority="133" operator="between">
      <formula>7</formula>
      <formula>7.9</formula>
    </cfRule>
    <cfRule type="cellIs" dxfId="537" priority="134" stopIfTrue="1" operator="between">
      <formula>8</formula>
      <formula>8.9</formula>
    </cfRule>
    <cfRule type="cellIs" dxfId="536" priority="135" operator="between">
      <formula>9</formula>
      <formula>9.9</formula>
    </cfRule>
    <cfRule type="cellIs" dxfId="535" priority="136" stopIfTrue="1" operator="between">
      <formula>10</formula>
      <formula>10</formula>
    </cfRule>
    <cfRule type="containsBlanks" dxfId="534" priority="137" stopIfTrue="1">
      <formula>LEN(TRIM(B214))=0</formula>
    </cfRule>
  </conditionalFormatting>
  <conditionalFormatting sqref="B226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533" priority="74" stopIfTrue="1">
      <formula>LEN(TRIM(B236))=0</formula>
    </cfRule>
    <cfRule type="cellIs" dxfId="532" priority="69" operator="between">
      <formula>10.1</formula>
      <formula>10.6</formula>
    </cfRule>
    <cfRule type="cellIs" dxfId="531" priority="73" stopIfTrue="1" operator="between">
      <formula>10</formula>
      <formula>10</formula>
    </cfRule>
    <cfRule type="cellIs" dxfId="530" priority="68" operator="between">
      <formula>6</formula>
      <formula>6.9</formula>
    </cfRule>
    <cfRule type="cellIs" dxfId="529" priority="72" operator="between">
      <formula>9</formula>
      <formula>9.9</formula>
    </cfRule>
    <cfRule type="cellIs" dxfId="528" priority="71" stopIfTrue="1" operator="between">
      <formula>8</formula>
      <formula>8.9</formula>
    </cfRule>
    <cfRule type="cellIs" dxfId="527" priority="70" operator="between">
      <formula>7</formula>
      <formula>7.9</formula>
    </cfRule>
  </conditionalFormatting>
  <conditionalFormatting sqref="B246">
    <cfRule type="colorScale" priority="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526" priority="26" stopIfTrue="1" operator="between">
      <formula>8</formula>
      <formula>8.9</formula>
    </cfRule>
    <cfRule type="cellIs" dxfId="525" priority="27" operator="between">
      <formula>9</formula>
      <formula>9.9</formula>
    </cfRule>
    <cfRule type="cellIs" dxfId="524" priority="28" stopIfTrue="1" operator="between">
      <formula>10</formula>
      <formula>10</formula>
    </cfRule>
    <cfRule type="containsBlanks" dxfId="523" priority="29" stopIfTrue="1">
      <formula>LEN(TRIM(B247))=0</formula>
    </cfRule>
    <cfRule type="cellIs" dxfId="522" priority="23" operator="between">
      <formula>6</formula>
      <formula>6.9</formula>
    </cfRule>
    <cfRule type="cellIs" dxfId="521" priority="24" operator="between">
      <formula>10.1</formula>
      <formula>10.6</formula>
    </cfRule>
    <cfRule type="cellIs" dxfId="520" priority="25" operator="between">
      <formula>7</formula>
      <formula>7.9</formula>
    </cfRule>
  </conditionalFormatting>
  <conditionalFormatting sqref="E3:E12">
    <cfRule type="containsBlanks" dxfId="519" priority="854" stopIfTrue="1">
      <formula>LEN(TRIM(E3))=0</formula>
    </cfRule>
    <cfRule type="cellIs" dxfId="518" priority="853" stopIfTrue="1" operator="between">
      <formula>10</formula>
      <formula>10</formula>
    </cfRule>
    <cfRule type="cellIs" dxfId="517" priority="852" operator="between">
      <formula>9</formula>
      <formula>9.9</formula>
    </cfRule>
    <cfRule type="cellIs" dxfId="516" priority="851" stopIfTrue="1" operator="between">
      <formula>8</formula>
      <formula>8.9</formula>
    </cfRule>
    <cfRule type="cellIs" dxfId="515" priority="850" operator="between">
      <formula>7</formula>
      <formula>7.9</formula>
    </cfRule>
    <cfRule type="cellIs" dxfId="514" priority="849" operator="between">
      <formula>10.1</formula>
      <formula>10.6</formula>
    </cfRule>
  </conditionalFormatting>
  <conditionalFormatting sqref="E15:E27">
    <cfRule type="cellIs" dxfId="513" priority="162" stopIfTrue="1" operator="between">
      <formula>10</formula>
      <formula>10</formula>
    </cfRule>
    <cfRule type="cellIs" dxfId="512" priority="159" operator="between">
      <formula>7</formula>
      <formula>7.9</formula>
    </cfRule>
    <cfRule type="cellIs" dxfId="511" priority="160" stopIfTrue="1" operator="between">
      <formula>8</formula>
      <formula>8.9</formula>
    </cfRule>
    <cfRule type="cellIs" dxfId="510" priority="161" operator="between">
      <formula>9</formula>
      <formula>9.9</formula>
    </cfRule>
    <cfRule type="containsBlanks" dxfId="509" priority="163" stopIfTrue="1">
      <formula>LEN(TRIM(E15))=0</formula>
    </cfRule>
  </conditionalFormatting>
  <conditionalFormatting sqref="E16">
    <cfRule type="cellIs" dxfId="508" priority="158" operator="between">
      <formula>10.1</formula>
      <formula>10.6</formula>
    </cfRule>
  </conditionalFormatting>
  <conditionalFormatting sqref="E30:E36">
    <cfRule type="cellIs" dxfId="507" priority="813" operator="between">
      <formula>10.1</formula>
      <formula>10.6</formula>
    </cfRule>
    <cfRule type="cellIs" dxfId="506" priority="814" operator="between">
      <formula>7</formula>
      <formula>7.9</formula>
    </cfRule>
    <cfRule type="cellIs" dxfId="505" priority="815" stopIfTrue="1" operator="between">
      <formula>8</formula>
      <formula>8.9</formula>
    </cfRule>
    <cfRule type="cellIs" dxfId="504" priority="816" operator="between">
      <formula>9</formula>
      <formula>9.9</formula>
    </cfRule>
    <cfRule type="cellIs" dxfId="503" priority="817" stopIfTrue="1" operator="between">
      <formula>10</formula>
      <formula>10</formula>
    </cfRule>
    <cfRule type="containsBlanks" dxfId="502" priority="818" stopIfTrue="1">
      <formula>LEN(TRIM(E30))=0</formula>
    </cfRule>
  </conditionalFormatting>
  <conditionalFormatting sqref="E38"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4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01" priority="928" stopIfTrue="1" operator="between">
      <formula>10</formula>
      <formula>10</formula>
    </cfRule>
    <cfRule type="cellIs" dxfId="500" priority="926" stopIfTrue="1" operator="between">
      <formula>8</formula>
      <formula>8.9</formula>
    </cfRule>
    <cfRule type="cellIs" dxfId="499" priority="927" operator="between">
      <formula>9</formula>
      <formula>9.9</formula>
    </cfRule>
    <cfRule type="cellIs" dxfId="498" priority="925" operator="between">
      <formula>7</formula>
      <formula>7.9</formula>
    </cfRule>
  </conditionalFormatting>
  <conditionalFormatting sqref="E53"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7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497" priority="796" operator="between">
      <formula>7</formula>
      <formula>7.9</formula>
    </cfRule>
    <cfRule type="cellIs" dxfId="496" priority="795" operator="between">
      <formula>10.1</formula>
      <formula>10.6</formula>
    </cfRule>
    <cfRule type="containsBlanks" dxfId="495" priority="800" stopIfTrue="1">
      <formula>LEN(TRIM(E54))=0</formula>
    </cfRule>
    <cfRule type="cellIs" dxfId="494" priority="799" stopIfTrue="1" operator="between">
      <formula>10</formula>
      <formula>10</formula>
    </cfRule>
    <cfRule type="cellIs" dxfId="493" priority="798" operator="between">
      <formula>9</formula>
      <formula>9.9</formula>
    </cfRule>
    <cfRule type="cellIs" dxfId="492" priority="797" stopIfTrue="1" operator="between">
      <formula>8</formula>
      <formula>8.9</formula>
    </cfRule>
  </conditionalFormatting>
  <conditionalFormatting sqref="E64">
    <cfRule type="colorScale" priority="727">
      <colorScale>
        <cfvo type="num" val="5"/>
        <cfvo type="num" val="10"/>
        <color rgb="FFFF494D"/>
        <color rgb="FF00FF66"/>
      </colorScale>
    </cfRule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ontainsBlanks" dxfId="491" priority="733" stopIfTrue="1">
      <formula>LEN(TRIM(E65))=0</formula>
    </cfRule>
    <cfRule type="cellIs" dxfId="490" priority="732" stopIfTrue="1" operator="between">
      <formula>10</formula>
      <formula>10</formula>
    </cfRule>
    <cfRule type="cellIs" dxfId="489" priority="731" operator="between">
      <formula>9</formula>
      <formula>9.9</formula>
    </cfRule>
    <cfRule type="cellIs" dxfId="488" priority="730" stopIfTrue="1" operator="between">
      <formula>8</formula>
      <formula>8.9</formula>
    </cfRule>
    <cfRule type="cellIs" dxfId="487" priority="729" operator="between">
      <formula>7</formula>
      <formula>7.9</formula>
    </cfRule>
    <cfRule type="cellIs" dxfId="486" priority="728" operator="between">
      <formula>10.1</formula>
      <formula>10.6</formula>
    </cfRule>
  </conditionalFormatting>
  <conditionalFormatting sqref="E79">
    <cfRule type="colorScale" priority="656">
      <colorScale>
        <cfvo type="num" val="5"/>
        <cfvo type="num" val="10"/>
        <color rgb="FFFF494D"/>
        <color rgb="FF00FF66"/>
      </colorScale>
    </cfRule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485" priority="651" stopIfTrue="1" operator="between">
      <formula>8</formula>
      <formula>8.9</formula>
    </cfRule>
    <cfRule type="containsBlanks" dxfId="484" priority="654" stopIfTrue="1">
      <formula>LEN(TRIM(E80))=0</formula>
    </cfRule>
    <cfRule type="cellIs" dxfId="483" priority="653" stopIfTrue="1" operator="between">
      <formula>10</formula>
      <formula>10</formula>
    </cfRule>
    <cfRule type="cellIs" dxfId="482" priority="652" operator="between">
      <formula>9</formula>
      <formula>9.9</formula>
    </cfRule>
    <cfRule type="cellIs" dxfId="481" priority="650" operator="between">
      <formula>7</formula>
      <formula>7.9</formula>
    </cfRule>
    <cfRule type="cellIs" dxfId="480" priority="649" operator="between">
      <formula>10.1</formula>
      <formula>10.6</formula>
    </cfRule>
  </conditionalFormatting>
  <conditionalFormatting sqref="E100">
    <cfRule type="colorScale" priority="570">
      <colorScale>
        <cfvo type="num" val="5"/>
        <cfvo type="num" val="10"/>
        <color rgb="FFFF494D"/>
        <color rgb="FF00FF66"/>
      </colorScale>
    </cfRule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479" priority="574" operator="between">
      <formula>9</formula>
      <formula>9.9</formula>
    </cfRule>
    <cfRule type="containsBlanks" dxfId="478" priority="576" stopIfTrue="1">
      <formula>LEN(TRIM(E101))=0</formula>
    </cfRule>
    <cfRule type="cellIs" dxfId="477" priority="573" stopIfTrue="1" operator="between">
      <formula>8</formula>
      <formula>8.9</formula>
    </cfRule>
    <cfRule type="cellIs" dxfId="476" priority="575" stopIfTrue="1" operator="between">
      <formula>10</formula>
      <formula>10</formula>
    </cfRule>
    <cfRule type="cellIs" dxfId="475" priority="571" operator="between">
      <formula>10.1</formula>
      <formula>10.6</formula>
    </cfRule>
    <cfRule type="cellIs" dxfId="474" priority="572" operator="between">
      <formula>7</formula>
      <formula>7.9</formula>
    </cfRule>
  </conditionalFormatting>
  <conditionalFormatting sqref="E116"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2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473" priority="509" stopIfTrue="1" operator="between">
      <formula>10</formula>
      <formula>10</formula>
    </cfRule>
    <cfRule type="containsBlanks" dxfId="472" priority="510" stopIfTrue="1">
      <formula>LEN(TRIM(E117))=0</formula>
    </cfRule>
    <cfRule type="cellIs" dxfId="471" priority="504" operator="between">
      <formula>6</formula>
      <formula>6.9</formula>
    </cfRule>
    <cfRule type="cellIs" dxfId="470" priority="505" operator="between">
      <formula>10.1</formula>
      <formula>10.6</formula>
    </cfRule>
    <cfRule type="cellIs" dxfId="469" priority="506" operator="between">
      <formula>7</formula>
      <formula>7.9</formula>
    </cfRule>
    <cfRule type="cellIs" dxfId="468" priority="507" stopIfTrue="1" operator="between">
      <formula>8</formula>
      <formula>8.9</formula>
    </cfRule>
    <cfRule type="cellIs" dxfId="467" priority="508" operator="between">
      <formula>9</formula>
      <formula>9.9</formula>
    </cfRule>
  </conditionalFormatting>
  <conditionalFormatting sqref="E127"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9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466" priority="472" operator="between">
      <formula>10.1</formula>
      <formula>10.6</formula>
    </cfRule>
    <cfRule type="cellIs" dxfId="465" priority="473" operator="between">
      <formula>7</formula>
      <formula>7.9</formula>
    </cfRule>
    <cfRule type="cellIs" dxfId="464" priority="474" stopIfTrue="1" operator="between">
      <formula>8</formula>
      <formula>8.9</formula>
    </cfRule>
    <cfRule type="cellIs" dxfId="463" priority="475" operator="between">
      <formula>9</formula>
      <formula>9.9</formula>
    </cfRule>
    <cfRule type="cellIs" dxfId="462" priority="476" stopIfTrue="1" operator="between">
      <formula>10</formula>
      <formula>10</formula>
    </cfRule>
    <cfRule type="containsBlanks" dxfId="461" priority="477" stopIfTrue="1">
      <formula>LEN(TRIM(E128))=0</formula>
    </cfRule>
    <cfRule type="cellIs" dxfId="460" priority="471" operator="between">
      <formula>6</formula>
      <formula>6.9</formula>
    </cfRule>
  </conditionalFormatting>
  <conditionalFormatting sqref="E145">
    <cfRule type="colorScale" priority="3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2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ontainsBlanks" dxfId="459" priority="390" stopIfTrue="1">
      <formula>LEN(TRIM(E146))=0</formula>
    </cfRule>
    <cfRule type="cellIs" dxfId="458" priority="389" stopIfTrue="1" operator="between">
      <formula>10</formula>
      <formula>10</formula>
    </cfRule>
    <cfRule type="cellIs" dxfId="457" priority="388" operator="between">
      <formula>9</formula>
      <formula>9.9</formula>
    </cfRule>
    <cfRule type="cellIs" dxfId="456" priority="387" stopIfTrue="1" operator="between">
      <formula>8</formula>
      <formula>8.9</formula>
    </cfRule>
    <cfRule type="cellIs" dxfId="455" priority="386" operator="between">
      <formula>7</formula>
      <formula>7.9</formula>
    </cfRule>
    <cfRule type="cellIs" dxfId="454" priority="385" operator="between">
      <formula>10.1</formula>
      <formula>10.6</formula>
    </cfRule>
    <cfRule type="cellIs" dxfId="453" priority="384" operator="between">
      <formula>6</formula>
      <formula>6.9</formula>
    </cfRule>
  </conditionalFormatting>
  <conditionalFormatting sqref="E160"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6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52" priority="350" operator="between">
      <formula>7</formula>
      <formula>7.9</formula>
    </cfRule>
    <cfRule type="cellIs" dxfId="451" priority="349" operator="between">
      <formula>10.1</formula>
      <formula>10.6</formula>
    </cfRule>
    <cfRule type="cellIs" dxfId="450" priority="348" operator="between">
      <formula>6</formula>
      <formula>6.9</formula>
    </cfRule>
    <cfRule type="cellIs" dxfId="449" priority="351" stopIfTrue="1" operator="between">
      <formula>8</formula>
      <formula>8.9</formula>
    </cfRule>
    <cfRule type="cellIs" dxfId="448" priority="352" operator="between">
      <formula>9</formula>
      <formula>9.9</formula>
    </cfRule>
    <cfRule type="containsBlanks" dxfId="447" priority="354" stopIfTrue="1">
      <formula>LEN(TRIM(E161))=0</formula>
    </cfRule>
    <cfRule type="cellIs" dxfId="446" priority="353" stopIfTrue="1" operator="between">
      <formula>10</formula>
      <formula>10</formula>
    </cfRule>
  </conditionalFormatting>
  <conditionalFormatting sqref="E171"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445" priority="308" stopIfTrue="1" operator="between">
      <formula>10</formula>
      <formula>10</formula>
    </cfRule>
    <cfRule type="containsBlanks" dxfId="444" priority="309" stopIfTrue="1">
      <formula>LEN(TRIM(E172))=0</formula>
    </cfRule>
    <cfRule type="cellIs" dxfId="443" priority="303" operator="between">
      <formula>6</formula>
      <formula>6.9</formula>
    </cfRule>
    <cfRule type="cellIs" dxfId="442" priority="307" operator="between">
      <formula>9</formula>
      <formula>9.9</formula>
    </cfRule>
    <cfRule type="cellIs" dxfId="441" priority="306" stopIfTrue="1" operator="between">
      <formula>8</formula>
      <formula>8.9</formula>
    </cfRule>
    <cfRule type="cellIs" dxfId="440" priority="305" operator="between">
      <formula>7</formula>
      <formula>7.9</formula>
    </cfRule>
    <cfRule type="cellIs" dxfId="439" priority="304" operator="between">
      <formula>10.1</formula>
      <formula>10.6</formula>
    </cfRule>
  </conditionalFormatting>
  <conditionalFormatting sqref="E185">
    <cfRule type="colorScale" priority="249">
      <colorScale>
        <cfvo type="num" val="5"/>
        <cfvo type="num" val="10"/>
        <color rgb="FFFF494D"/>
        <color rgb="FF00FF66"/>
      </colorScale>
    </cfRule>
    <cfRule type="colorScale" priority="2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ellIs" dxfId="438" priority="245" operator="between">
      <formula>9</formula>
      <formula>9.9</formula>
    </cfRule>
    <cfRule type="cellIs" dxfId="437" priority="244" stopIfTrue="1" operator="between">
      <formula>8</formula>
      <formula>8.9</formula>
    </cfRule>
    <cfRule type="cellIs" dxfId="436" priority="246" stopIfTrue="1" operator="between">
      <formula>10</formula>
      <formula>10</formula>
    </cfRule>
    <cfRule type="containsBlanks" dxfId="435" priority="247" stopIfTrue="1">
      <formula>LEN(TRIM(E186))=0</formula>
    </cfRule>
    <cfRule type="cellIs" dxfId="434" priority="241" operator="between">
      <formula>6</formula>
      <formula>6.9</formula>
    </cfRule>
    <cfRule type="cellIs" dxfId="433" priority="242" operator="between">
      <formula>10.1</formula>
      <formula>10.6</formula>
    </cfRule>
    <cfRule type="cellIs" dxfId="432" priority="243" operator="between">
      <formula>7</formula>
      <formula>7.9</formula>
    </cfRule>
  </conditionalFormatting>
  <conditionalFormatting sqref="E200">
    <cfRule type="colorScale" priority="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431" priority="191" operator="between">
      <formula>9</formula>
      <formula>9.9</formula>
    </cfRule>
    <cfRule type="cellIs" dxfId="430" priority="190" stopIfTrue="1" operator="between">
      <formula>8</formula>
      <formula>8.9</formula>
    </cfRule>
    <cfRule type="cellIs" dxfId="429" priority="189" operator="between">
      <formula>7</formula>
      <formula>7.9</formula>
    </cfRule>
    <cfRule type="containsBlanks" dxfId="428" priority="193" stopIfTrue="1">
      <formula>LEN(TRIM(E201))=0</formula>
    </cfRule>
    <cfRule type="cellIs" dxfId="427" priority="188" operator="between">
      <formula>10.1</formula>
      <formula>11</formula>
    </cfRule>
    <cfRule type="cellIs" dxfId="426" priority="187" operator="between">
      <formula>6</formula>
      <formula>6.9</formula>
    </cfRule>
    <cfRule type="cellIs" dxfId="425" priority="192" stopIfTrue="1" operator="between">
      <formula>10</formula>
      <formula>10</formula>
    </cfRule>
  </conditionalFormatting>
  <conditionalFormatting sqref="E212">
    <cfRule type="colorScale" priority="141">
      <colorScale>
        <cfvo type="num" val="5"/>
        <cfvo type="num" val="10"/>
        <color rgb="FFFF494D"/>
        <color rgb="FF00FF66"/>
      </colorScale>
    </cfRule>
    <cfRule type="colorScale" priority="1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3:E226">
    <cfRule type="cellIs" dxfId="424" priority="142" operator="between">
      <formula>6</formula>
      <formula>6.9</formula>
    </cfRule>
    <cfRule type="cellIs" dxfId="423" priority="144" operator="between">
      <formula>7</formula>
      <formula>7.9</formula>
    </cfRule>
    <cfRule type="cellIs" dxfId="422" priority="143" operator="between">
      <formula>10.1</formula>
      <formula>10.6</formula>
    </cfRule>
    <cfRule type="cellIs" dxfId="421" priority="145" stopIfTrue="1" operator="between">
      <formula>8</formula>
      <formula>8.9</formula>
    </cfRule>
    <cfRule type="containsBlanks" dxfId="420" priority="148" stopIfTrue="1">
      <formula>LEN(TRIM(E213))=0</formula>
    </cfRule>
    <cfRule type="cellIs" dxfId="419" priority="147" stopIfTrue="1" operator="between">
      <formula>10</formula>
      <formula>10</formula>
    </cfRule>
    <cfRule type="cellIs" dxfId="418" priority="146" operator="between">
      <formula>9</formula>
      <formula>9.9</formula>
    </cfRule>
  </conditionalFormatting>
  <conditionalFormatting sqref="E228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17" priority="102" operator="between">
      <formula>6</formula>
      <formula>6.9</formula>
    </cfRule>
    <cfRule type="cellIs" dxfId="416" priority="104" operator="between">
      <formula>7</formula>
      <formula>7.9</formula>
    </cfRule>
    <cfRule type="cellIs" dxfId="415" priority="105" stopIfTrue="1" operator="between">
      <formula>8</formula>
      <formula>8.9</formula>
    </cfRule>
    <cfRule type="cellIs" dxfId="414" priority="106" operator="between">
      <formula>9</formula>
      <formula>9.9</formula>
    </cfRule>
    <cfRule type="cellIs" dxfId="413" priority="107" stopIfTrue="1" operator="between">
      <formula>10</formula>
      <formula>10</formula>
    </cfRule>
    <cfRule type="containsBlanks" dxfId="412" priority="108" stopIfTrue="1">
      <formula>LEN(TRIM(E229))=0</formula>
    </cfRule>
    <cfRule type="cellIs" dxfId="411" priority="103" operator="between">
      <formula>10.1</formula>
      <formula>10.6</formula>
    </cfRule>
  </conditionalFormatting>
  <conditionalFormatting sqref="E236">
    <cfRule type="colorScale" priority="60">
      <colorScale>
        <cfvo type="num" val="5"/>
        <cfvo type="num" val="10"/>
        <color rgb="FFFF494D"/>
        <color rgb="FF00FF66"/>
      </colorScale>
    </cfRule>
    <cfRule type="colorScale" priority="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7:E251 E254:E263">
    <cfRule type="containsBlanks" dxfId="410" priority="67" stopIfTrue="1">
      <formula>LEN(TRIM(E237))=0</formula>
    </cfRule>
    <cfRule type="cellIs" dxfId="409" priority="66" stopIfTrue="1" operator="between">
      <formula>10</formula>
      <formula>10</formula>
    </cfRule>
    <cfRule type="cellIs" dxfId="408" priority="61" operator="between">
      <formula>6</formula>
      <formula>6.9</formula>
    </cfRule>
    <cfRule type="cellIs" dxfId="407" priority="62" operator="between">
      <formula>10.1</formula>
      <formula>10.6</formula>
    </cfRule>
    <cfRule type="cellIs" dxfId="406" priority="63" operator="between">
      <formula>7</formula>
      <formula>7.9</formula>
    </cfRule>
    <cfRule type="cellIs" dxfId="405" priority="64" stopIfTrue="1" operator="between">
      <formula>8</formula>
      <formula>8.9</formula>
    </cfRule>
    <cfRule type="cellIs" dxfId="404" priority="65" operator="between">
      <formula>9</formula>
      <formula>9.9</formula>
    </cfRule>
  </conditionalFormatting>
  <conditionalFormatting sqref="H3:H15">
    <cfRule type="cellIs" dxfId="403" priority="943" operator="between">
      <formula>9</formula>
      <formula>9.9</formula>
    </cfRule>
    <cfRule type="cellIs" dxfId="402" priority="941" operator="between">
      <formula>7</formula>
      <formula>7.9</formula>
    </cfRule>
    <cfRule type="cellIs" dxfId="401" priority="942" stopIfTrue="1" operator="between">
      <formula>8</formula>
      <formula>8.9</formula>
    </cfRule>
    <cfRule type="cellIs" dxfId="400" priority="944" stopIfTrue="1" operator="between">
      <formula>10</formula>
      <formula>10</formula>
    </cfRule>
  </conditionalFormatting>
  <conditionalFormatting sqref="H18:H28">
    <cfRule type="cellIs" dxfId="399" priority="946" stopIfTrue="1" operator="between">
      <formula>8</formula>
      <formula>8.9</formula>
    </cfRule>
    <cfRule type="cellIs" dxfId="398" priority="945" operator="between">
      <formula>7</formula>
      <formula>7.9</formula>
    </cfRule>
    <cfRule type="cellIs" dxfId="397" priority="947" operator="between">
      <formula>9</formula>
      <formula>9.9</formula>
    </cfRule>
    <cfRule type="cellIs" dxfId="396" priority="948" stopIfTrue="1" operator="between">
      <formula>10</formula>
      <formula>10</formula>
    </cfRule>
  </conditionalFormatting>
  <conditionalFormatting sqref="H30">
    <cfRule type="colorScale" priority="12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0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395" priority="812" stopIfTrue="1">
      <formula>LEN(TRIM(H31))=0</formula>
    </cfRule>
    <cfRule type="cellIs" dxfId="394" priority="811" stopIfTrue="1" operator="between">
      <formula>10</formula>
      <formula>10</formula>
    </cfRule>
    <cfRule type="cellIs" dxfId="393" priority="810" operator="between">
      <formula>9</formula>
      <formula>9.9</formula>
    </cfRule>
    <cfRule type="cellIs" dxfId="392" priority="809" stopIfTrue="1" operator="between">
      <formula>8</formula>
      <formula>8.9</formula>
    </cfRule>
    <cfRule type="cellIs" dxfId="391" priority="807" operator="between">
      <formula>10.1</formula>
      <formula>10.6</formula>
    </cfRule>
    <cfRule type="cellIs" dxfId="390" priority="808" operator="between">
      <formula>7</formula>
      <formula>7.9</formula>
    </cfRule>
  </conditionalFormatting>
  <conditionalFormatting sqref="H47">
    <cfRule type="colorScale" priority="1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2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389" priority="801" operator="between">
      <formula>10.1</formula>
      <formula>10.6</formula>
    </cfRule>
    <cfRule type="containsBlanks" dxfId="388" priority="806" stopIfTrue="1">
      <formula>LEN(TRIM(H48))=0</formula>
    </cfRule>
    <cfRule type="cellIs" dxfId="387" priority="805" stopIfTrue="1" operator="between">
      <formula>10</formula>
      <formula>10</formula>
    </cfRule>
    <cfRule type="cellIs" dxfId="386" priority="804" operator="between">
      <formula>9</formula>
      <formula>9.9</formula>
    </cfRule>
    <cfRule type="cellIs" dxfId="385" priority="803" stopIfTrue="1" operator="between">
      <formula>8</formula>
      <formula>8.9</formula>
    </cfRule>
    <cfRule type="cellIs" dxfId="384" priority="802" operator="between">
      <formula>7</formula>
      <formula>7.9</formula>
    </cfRule>
  </conditionalFormatting>
  <conditionalFormatting sqref="H57"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4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383" priority="676" stopIfTrue="1" operator="between">
      <formula>8</formula>
      <formula>8.9</formula>
    </cfRule>
    <cfRule type="cellIs" dxfId="382" priority="677" operator="between">
      <formula>9</formula>
      <formula>9.9</formula>
    </cfRule>
    <cfRule type="cellIs" dxfId="381" priority="678" stopIfTrue="1" operator="between">
      <formula>10</formula>
      <formula>10</formula>
    </cfRule>
    <cfRule type="containsBlanks" dxfId="380" priority="679" stopIfTrue="1">
      <formula>LEN(TRIM(H58))=0</formula>
    </cfRule>
    <cfRule type="cellIs" dxfId="379" priority="675" operator="between">
      <formula>7</formula>
      <formula>7.9</formula>
    </cfRule>
    <cfRule type="cellIs" dxfId="378" priority="674" operator="between">
      <formula>10.1</formula>
      <formula>10.6</formula>
    </cfRule>
    <cfRule type="cellIs" dxfId="377" priority="673" operator="between">
      <formula>6</formula>
      <formula>6.9</formula>
    </cfRule>
  </conditionalFormatting>
  <conditionalFormatting sqref="H69">
    <cfRule type="colorScale" priority="7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9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376" priority="704" stopIfTrue="1" operator="between">
      <formula>8</formula>
      <formula>8.9</formula>
    </cfRule>
    <cfRule type="containsBlanks" dxfId="375" priority="707" stopIfTrue="1">
      <formula>LEN(TRIM(H70))=0</formula>
    </cfRule>
    <cfRule type="cellIs" dxfId="374" priority="706" stopIfTrue="1" operator="between">
      <formula>10</formula>
      <formula>10</formula>
    </cfRule>
    <cfRule type="cellIs" dxfId="373" priority="705" operator="between">
      <formula>9</formula>
      <formula>9.9</formula>
    </cfRule>
    <cfRule type="cellIs" dxfId="372" priority="703" operator="between">
      <formula>7</formula>
      <formula>7.9</formula>
    </cfRule>
    <cfRule type="cellIs" dxfId="371" priority="702" operator="between">
      <formula>10.1</formula>
      <formula>10.6</formula>
    </cfRule>
  </conditionalFormatting>
  <conditionalFormatting sqref="H83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370" priority="626" operator="between">
      <formula>6</formula>
      <formula>6.9</formula>
    </cfRule>
    <cfRule type="cellIs" dxfId="369" priority="627" operator="between">
      <formula>10.1</formula>
      <formula>10.6</formula>
    </cfRule>
    <cfRule type="cellIs" dxfId="368" priority="628" operator="between">
      <formula>7</formula>
      <formula>7.9</formula>
    </cfRule>
    <cfRule type="cellIs" dxfId="367" priority="629" stopIfTrue="1" operator="between">
      <formula>8</formula>
      <formula>8.9</formula>
    </cfRule>
    <cfRule type="cellIs" dxfId="366" priority="630" operator="between">
      <formula>9</formula>
      <formula>9.9</formula>
    </cfRule>
    <cfRule type="cellIs" dxfId="365" priority="631" stopIfTrue="1" operator="between">
      <formula>10</formula>
      <formula>10</formula>
    </cfRule>
    <cfRule type="containsBlanks" dxfId="364" priority="632" stopIfTrue="1">
      <formula>LEN(TRIM(H84))=0</formula>
    </cfRule>
  </conditionalFormatting>
  <conditionalFormatting sqref="H97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363" priority="581" operator="between">
      <formula>9</formula>
      <formula>9.9</formula>
    </cfRule>
    <cfRule type="containsBlanks" dxfId="362" priority="583" stopIfTrue="1">
      <formula>LEN(TRIM(H98))=0</formula>
    </cfRule>
    <cfRule type="cellIs" dxfId="361" priority="582" stopIfTrue="1" operator="between">
      <formula>10</formula>
      <formula>10</formula>
    </cfRule>
    <cfRule type="cellIs" dxfId="360" priority="577" operator="between">
      <formula>6</formula>
      <formula>6.9</formula>
    </cfRule>
    <cfRule type="cellIs" dxfId="359" priority="578" operator="between">
      <formula>10.1</formula>
      <formula>10.6</formula>
    </cfRule>
    <cfRule type="cellIs" dxfId="358" priority="579" operator="between">
      <formula>7</formula>
      <formula>7.9</formula>
    </cfRule>
    <cfRule type="cellIs" dxfId="357" priority="580" stopIfTrue="1" operator="between">
      <formula>8</formula>
      <formula>8.9</formula>
    </cfRule>
  </conditionalFormatting>
  <conditionalFormatting sqref="H110">
    <cfRule type="colorScale" priority="560">
      <colorScale>
        <cfvo type="num" val="5"/>
        <cfvo type="num" val="10"/>
        <color rgb="FFFF494D"/>
        <color rgb="FF00FF66"/>
      </colorScale>
    </cfRule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356" priority="558" stopIfTrue="1">
      <formula>LEN(TRIM(H111))=0</formula>
    </cfRule>
    <cfRule type="cellIs" dxfId="355" priority="557" stopIfTrue="1" operator="between">
      <formula>10</formula>
      <formula>10</formula>
    </cfRule>
    <cfRule type="cellIs" dxfId="354" priority="556" operator="between">
      <formula>9</formula>
      <formula>9.9</formula>
    </cfRule>
    <cfRule type="cellIs" dxfId="353" priority="555" stopIfTrue="1" operator="between">
      <formula>8</formula>
      <formula>8.9</formula>
    </cfRule>
    <cfRule type="cellIs" dxfId="352" priority="554" operator="between">
      <formula>7</formula>
      <formula>7.9</formula>
    </cfRule>
    <cfRule type="cellIs" dxfId="351" priority="553" operator="between">
      <formula>10.1</formula>
      <formula>10.6</formula>
    </cfRule>
  </conditionalFormatting>
  <conditionalFormatting sqref="H125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50" priority="485" stopIfTrue="1" operator="between">
      <formula>10</formula>
      <formula>10</formula>
    </cfRule>
    <cfRule type="containsBlanks" dxfId="349" priority="486" stopIfTrue="1">
      <formula>LEN(TRIM(H126))=0</formula>
    </cfRule>
    <cfRule type="cellIs" dxfId="348" priority="480" operator="between">
      <formula>6</formula>
      <formula>6.9</formula>
    </cfRule>
    <cfRule type="cellIs" dxfId="347" priority="481" operator="between">
      <formula>10.1</formula>
      <formula>10.6</formula>
    </cfRule>
    <cfRule type="cellIs" dxfId="346" priority="482" operator="between">
      <formula>7</formula>
      <formula>7.9</formula>
    </cfRule>
    <cfRule type="cellIs" dxfId="345" priority="483" stopIfTrue="1" operator="between">
      <formula>8</formula>
      <formula>8.9</formula>
    </cfRule>
    <cfRule type="cellIs" dxfId="344" priority="484" operator="between">
      <formula>9</formula>
      <formula>9.9</formula>
    </cfRule>
  </conditionalFormatting>
  <conditionalFormatting sqref="H131">
    <cfRule type="colorScale" priority="455">
      <colorScale>
        <cfvo type="num" val="5"/>
        <cfvo type="num" val="10"/>
        <color rgb="FFFF494D"/>
        <color rgb="FF00FF66"/>
      </colorScale>
    </cfRule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343" priority="453" stopIfTrue="1">
      <formula>LEN(TRIM(H132))=0</formula>
    </cfRule>
    <cfRule type="cellIs" dxfId="342" priority="452" stopIfTrue="1" operator="between">
      <formula>10</formula>
      <formula>10</formula>
    </cfRule>
    <cfRule type="cellIs" dxfId="341" priority="451" operator="between">
      <formula>9</formula>
      <formula>9.9</formula>
    </cfRule>
    <cfRule type="cellIs" dxfId="340" priority="450" stopIfTrue="1" operator="between">
      <formula>8</formula>
      <formula>8.9</formula>
    </cfRule>
    <cfRule type="cellIs" dxfId="339" priority="449" operator="between">
      <formula>7</formula>
      <formula>7.9</formula>
    </cfRule>
    <cfRule type="cellIs" dxfId="338" priority="448" operator="between">
      <formula>10.1</formula>
      <formula>10.6</formula>
    </cfRule>
    <cfRule type="cellIs" dxfId="337" priority="447" operator="between">
      <formula>6</formula>
      <formula>6.9</formula>
    </cfRule>
  </conditionalFormatting>
  <conditionalFormatting sqref="H149"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36" priority="378" stopIfTrue="1" operator="between">
      <formula>8</formula>
      <formula>8.9</formula>
    </cfRule>
    <cfRule type="containsBlanks" dxfId="335" priority="381" stopIfTrue="1">
      <formula>LEN(TRIM(H150))=0</formula>
    </cfRule>
    <cfRule type="cellIs" dxfId="334" priority="376" operator="between">
      <formula>10.1</formula>
      <formula>10.6</formula>
    </cfRule>
    <cfRule type="cellIs" dxfId="333" priority="375" operator="between">
      <formula>6</formula>
      <formula>6.9</formula>
    </cfRule>
    <cfRule type="cellIs" dxfId="332" priority="377" operator="between">
      <formula>7</formula>
      <formula>7.9</formula>
    </cfRule>
    <cfRule type="cellIs" dxfId="331" priority="379" operator="between">
      <formula>9</formula>
      <formula>9.9</formula>
    </cfRule>
    <cfRule type="cellIs" dxfId="330" priority="380" stopIfTrue="1" operator="between">
      <formula>10</formula>
      <formula>10</formula>
    </cfRule>
  </conditionalFormatting>
  <conditionalFormatting sqref="H165">
    <cfRule type="colorScale" priority="322">
      <colorScale>
        <cfvo type="num" val="5"/>
        <cfvo type="num" val="10"/>
        <color rgb="FFFF494D"/>
        <color rgb="FF00FF66"/>
      </colorScale>
    </cfRule>
    <cfRule type="colorScale" priority="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329" priority="323" operator="between">
      <formula>6</formula>
      <formula>6.9</formula>
    </cfRule>
    <cfRule type="cellIs" dxfId="328" priority="324" operator="between">
      <formula>10.1</formula>
      <formula>10.6</formula>
    </cfRule>
    <cfRule type="cellIs" dxfId="327" priority="325" operator="between">
      <formula>7</formula>
      <formula>7.9</formula>
    </cfRule>
    <cfRule type="cellIs" dxfId="326" priority="326" stopIfTrue="1" operator="between">
      <formula>8</formula>
      <formula>8.9</formula>
    </cfRule>
    <cfRule type="cellIs" dxfId="325" priority="327" operator="between">
      <formula>9</formula>
      <formula>9.9</formula>
    </cfRule>
    <cfRule type="cellIs" dxfId="324" priority="328" stopIfTrue="1" operator="between">
      <formula>10</formula>
      <formula>10</formula>
    </cfRule>
    <cfRule type="containsBlanks" dxfId="323" priority="329" stopIfTrue="1">
      <formula>LEN(TRIM(H166))=0</formula>
    </cfRule>
  </conditionalFormatting>
  <conditionalFormatting sqref="H177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22" priority="277" stopIfTrue="1" operator="between">
      <formula>8</formula>
      <formula>8.9</formula>
    </cfRule>
    <cfRule type="cellIs" dxfId="321" priority="276" operator="between">
      <formula>7</formula>
      <formula>7.9</formula>
    </cfRule>
    <cfRule type="cellIs" dxfId="320" priority="278" operator="between">
      <formula>9</formula>
      <formula>9.9</formula>
    </cfRule>
    <cfRule type="cellIs" dxfId="319" priority="274" operator="between">
      <formula>6</formula>
      <formula>6.9</formula>
    </cfRule>
    <cfRule type="cellIs" dxfId="318" priority="279" stopIfTrue="1" operator="between">
      <formula>10</formula>
      <formula>10</formula>
    </cfRule>
    <cfRule type="containsBlanks" dxfId="317" priority="280" stopIfTrue="1">
      <formula>LEN(TRIM(H178))=0</formula>
    </cfRule>
    <cfRule type="cellIs" dxfId="316" priority="275" operator="between">
      <formula>10.1</formula>
      <formula>10.6</formula>
    </cfRule>
  </conditionalFormatting>
  <conditionalFormatting sqref="H191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15" priority="215" operator="between">
      <formula>10.1</formula>
      <formula>10.6</formula>
    </cfRule>
    <cfRule type="cellIs" dxfId="314" priority="219" stopIfTrue="1" operator="between">
      <formula>10</formula>
      <formula>10</formula>
    </cfRule>
    <cfRule type="containsBlanks" dxfId="313" priority="220" stopIfTrue="1">
      <formula>LEN(TRIM(H192))=0</formula>
    </cfRule>
    <cfRule type="cellIs" dxfId="312" priority="216" operator="between">
      <formula>7</formula>
      <formula>7.9</formula>
    </cfRule>
    <cfRule type="cellIs" dxfId="311" priority="214" operator="between">
      <formula>6</formula>
      <formula>6.9</formula>
    </cfRule>
    <cfRule type="cellIs" dxfId="310" priority="218" operator="between">
      <formula>9</formula>
      <formula>9.9</formula>
    </cfRule>
    <cfRule type="cellIs" dxfId="309" priority="217" stopIfTrue="1" operator="between">
      <formula>8</formula>
      <formula>8.9</formula>
    </cfRule>
  </conditionalFormatting>
  <conditionalFormatting sqref="H202">
    <cfRule type="colorScale" priority="1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08" priority="177" operator="between">
      <formula>7</formula>
      <formula>7.9</formula>
    </cfRule>
    <cfRule type="cellIs" dxfId="307" priority="178" stopIfTrue="1" operator="between">
      <formula>8</formula>
      <formula>8.9</formula>
    </cfRule>
    <cfRule type="cellIs" dxfId="306" priority="176" operator="between">
      <formula>10.1</formula>
      <formula>11</formula>
    </cfRule>
    <cfRule type="cellIs" dxfId="305" priority="175" operator="between">
      <formula>6</formula>
      <formula>6.9</formula>
    </cfRule>
    <cfRule type="cellIs" dxfId="304" priority="179" operator="between">
      <formula>9</formula>
      <formula>9.9</formula>
    </cfRule>
    <cfRule type="cellIs" dxfId="303" priority="180" stopIfTrue="1" operator="between">
      <formula>10</formula>
      <formula>10</formula>
    </cfRule>
    <cfRule type="containsBlanks" dxfId="302" priority="181" stopIfTrue="1">
      <formula>LEN(TRIM(H203))=0</formula>
    </cfRule>
  </conditionalFormatting>
  <conditionalFormatting sqref="H215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ontainsBlanks" dxfId="301" priority="130" stopIfTrue="1">
      <formula>LEN(TRIM(H216))=0</formula>
    </cfRule>
    <cfRule type="cellIs" dxfId="300" priority="124" operator="between">
      <formula>6</formula>
      <formula>6.9</formula>
    </cfRule>
    <cfRule type="cellIs" dxfId="299" priority="129" stopIfTrue="1" operator="between">
      <formula>10</formula>
      <formula>10</formula>
    </cfRule>
    <cfRule type="cellIs" dxfId="298" priority="128" operator="between">
      <formula>9</formula>
      <formula>9.9</formula>
    </cfRule>
    <cfRule type="cellIs" dxfId="297" priority="127" stopIfTrue="1" operator="between">
      <formula>8</formula>
      <formula>8.9</formula>
    </cfRule>
    <cfRule type="cellIs" dxfId="296" priority="126" operator="between">
      <formula>7</formula>
      <formula>7.9</formula>
    </cfRule>
    <cfRule type="cellIs" dxfId="295" priority="125" operator="between">
      <formula>10.1</formula>
      <formula>10.6</formula>
    </cfRule>
  </conditionalFormatting>
  <conditionalFormatting sqref="H229"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294" priority="88" operator="between">
      <formula>9</formula>
      <formula>9.9</formula>
    </cfRule>
    <cfRule type="cellIs" dxfId="293" priority="86" operator="between">
      <formula>7</formula>
      <formula>7.9</formula>
    </cfRule>
    <cfRule type="cellIs" dxfId="292" priority="85" operator="between">
      <formula>10.1</formula>
      <formula>10.6</formula>
    </cfRule>
    <cfRule type="cellIs" dxfId="291" priority="89" stopIfTrue="1" operator="between">
      <formula>10</formula>
      <formula>10</formula>
    </cfRule>
    <cfRule type="containsBlanks" dxfId="290" priority="90" stopIfTrue="1">
      <formula>LEN(TRIM(H230))=0</formula>
    </cfRule>
    <cfRule type="cellIs" dxfId="289" priority="87" stopIfTrue="1" operator="between">
      <formula>8</formula>
      <formula>8.9</formula>
    </cfRule>
    <cfRule type="cellIs" dxfId="288" priority="84" operator="between">
      <formula>6</formula>
      <formula>6.9</formula>
    </cfRule>
  </conditionalFormatting>
  <conditionalFormatting sqref="H246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287" priority="37" stopIfTrue="1" operator="between">
      <formula>8</formula>
      <formula>8.9</formula>
    </cfRule>
    <cfRule type="cellIs" dxfId="286" priority="38" operator="between">
      <formula>9</formula>
      <formula>9.9</formula>
    </cfRule>
    <cfRule type="cellIs" dxfId="285" priority="35" operator="between">
      <formula>10.1</formula>
      <formula>10.6</formula>
    </cfRule>
    <cfRule type="cellIs" dxfId="284" priority="39" stopIfTrue="1" operator="between">
      <formula>10</formula>
      <formula>10</formula>
    </cfRule>
    <cfRule type="cellIs" dxfId="283" priority="34" operator="between">
      <formula>6</formula>
      <formula>6.9</formula>
    </cfRule>
    <cfRule type="containsBlanks" dxfId="282" priority="40" stopIfTrue="1">
      <formula>LEN(TRIM(H247))=0</formula>
    </cfRule>
    <cfRule type="cellIs" dxfId="281" priority="36" operator="between">
      <formula>7</formula>
      <formula>7.9</formula>
    </cfRule>
  </conditionalFormatting>
  <conditionalFormatting sqref="K3:K12">
    <cfRule type="containsBlanks" dxfId="280" priority="848" stopIfTrue="1">
      <formula>LEN(TRIM(K3))=0</formula>
    </cfRule>
    <cfRule type="cellIs" dxfId="279" priority="846" operator="between">
      <formula>9</formula>
      <formula>9.9</formula>
    </cfRule>
    <cfRule type="cellIs" dxfId="278" priority="845" stopIfTrue="1" operator="between">
      <formula>8</formula>
      <formula>8.9</formula>
    </cfRule>
    <cfRule type="cellIs" dxfId="277" priority="844" operator="between">
      <formula>7</formula>
      <formula>7.9</formula>
    </cfRule>
    <cfRule type="cellIs" dxfId="276" priority="843" operator="between">
      <formula>10.1</formula>
      <formula>10.6</formula>
    </cfRule>
    <cfRule type="cellIs" dxfId="275" priority="847" stopIfTrue="1" operator="between">
      <formula>10</formula>
      <formula>10</formula>
    </cfRule>
  </conditionalFormatting>
  <conditionalFormatting sqref="K15:K23">
    <cfRule type="cellIs" dxfId="274" priority="251" operator="between">
      <formula>7</formula>
      <formula>7.9</formula>
    </cfRule>
    <cfRule type="cellIs" dxfId="273" priority="252" stopIfTrue="1" operator="between">
      <formula>8</formula>
      <formula>8.9</formula>
    </cfRule>
    <cfRule type="cellIs" dxfId="272" priority="253" operator="between">
      <formula>9</formula>
      <formula>9.9</formula>
    </cfRule>
    <cfRule type="cellIs" dxfId="271" priority="254" stopIfTrue="1" operator="between">
      <formula>10</formula>
      <formula>10</formula>
    </cfRule>
  </conditionalFormatting>
  <conditionalFormatting sqref="K23">
    <cfRule type="cellIs" dxfId="270" priority="250" operator="between">
      <formula>10.1</formula>
      <formula>10.6</formula>
    </cfRule>
    <cfRule type="containsBlanks" dxfId="269" priority="255" stopIfTrue="1">
      <formula>LEN(TRIM(K23))=0</formula>
    </cfRule>
  </conditionalFormatting>
  <conditionalFormatting sqref="K26:K38">
    <cfRule type="containsBlanks" dxfId="268" priority="882" stopIfTrue="1">
      <formula>LEN(TRIM(K26))=0</formula>
    </cfRule>
    <cfRule type="cellIs" dxfId="267" priority="878" operator="between">
      <formula>7</formula>
      <formula>7.9</formula>
    </cfRule>
    <cfRule type="cellIs" dxfId="266" priority="881" stopIfTrue="1" operator="between">
      <formula>10</formula>
      <formula>10</formula>
    </cfRule>
    <cfRule type="cellIs" dxfId="265" priority="879" stopIfTrue="1" operator="between">
      <formula>8</formula>
      <formula>8.9</formula>
    </cfRule>
    <cfRule type="cellIs" dxfId="264" priority="880" operator="between">
      <formula>9</formula>
      <formula>9.9</formula>
    </cfRule>
  </conditionalFormatting>
  <conditionalFormatting sqref="K40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63" priority="787" stopIfTrue="1" operator="between">
      <formula>10</formula>
      <formula>10</formula>
    </cfRule>
    <cfRule type="cellIs" dxfId="262" priority="783" operator="between">
      <formula>10.1</formula>
      <formula>10.6</formula>
    </cfRule>
    <cfRule type="cellIs" dxfId="261" priority="784" operator="between">
      <formula>7</formula>
      <formula>7.9</formula>
    </cfRule>
    <cfRule type="cellIs" dxfId="260" priority="785" stopIfTrue="1" operator="between">
      <formula>8</formula>
      <formula>8.9</formula>
    </cfRule>
    <cfRule type="containsBlanks" dxfId="259" priority="788" stopIfTrue="1">
      <formula>LEN(TRIM(K41))=0</formula>
    </cfRule>
    <cfRule type="cellIs" dxfId="258" priority="786" operator="between">
      <formula>9</formula>
      <formula>9.9</formula>
    </cfRule>
  </conditionalFormatting>
  <conditionalFormatting sqref="K54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57" priority="745" operator="between">
      <formula>10.1</formula>
      <formula>10.6</formula>
    </cfRule>
    <cfRule type="cellIs" dxfId="256" priority="746" operator="between">
      <formula>7</formula>
      <formula>7.9</formula>
    </cfRule>
    <cfRule type="cellIs" dxfId="255" priority="747" stopIfTrue="1" operator="between">
      <formula>8</formula>
      <formula>8.9</formula>
    </cfRule>
    <cfRule type="cellIs" dxfId="254" priority="748" operator="between">
      <formula>9</formula>
      <formula>9.9</formula>
    </cfRule>
    <cfRule type="containsBlanks" dxfId="253" priority="750" stopIfTrue="1">
      <formula>LEN(TRIM(K55))=0</formula>
    </cfRule>
    <cfRule type="cellIs" dxfId="252" priority="749" stopIfTrue="1" operator="between">
      <formula>10</formula>
      <formula>10</formula>
    </cfRule>
  </conditionalFormatting>
  <conditionalFormatting sqref="K66">
    <cfRule type="colorScale" priority="725">
      <colorScale>
        <cfvo type="num" val="5"/>
        <cfvo type="num" val="10"/>
        <color rgb="FFFF494D"/>
        <color rgb="FF00FF66"/>
      </colorScale>
    </cfRule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251" priority="723" stopIfTrue="1">
      <formula>LEN(TRIM(K67))=0</formula>
    </cfRule>
    <cfRule type="cellIs" dxfId="250" priority="722" stopIfTrue="1" operator="between">
      <formula>10</formula>
      <formula>10</formula>
    </cfRule>
    <cfRule type="cellIs" dxfId="249" priority="721" operator="between">
      <formula>9</formula>
      <formula>9.9</formula>
    </cfRule>
    <cfRule type="cellIs" dxfId="248" priority="720" stopIfTrue="1" operator="between">
      <formula>8</formula>
      <formula>8.9</formula>
    </cfRule>
    <cfRule type="cellIs" dxfId="247" priority="719" operator="between">
      <formula>7</formula>
      <formula>7.9</formula>
    </cfRule>
    <cfRule type="cellIs" dxfId="246" priority="718" operator="between">
      <formula>10.1</formula>
      <formula>10.6</formula>
    </cfRule>
  </conditionalFormatting>
  <conditionalFormatting sqref="K77">
    <cfRule type="colorScale" priority="672">
      <colorScale>
        <cfvo type="num" val="5"/>
        <cfvo type="num" val="10"/>
        <color rgb="FFFF494D"/>
        <color rgb="FF00FF66"/>
      </colorScale>
    </cfRule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245" priority="670" stopIfTrue="1">
      <formula>LEN(TRIM(K78))=0</formula>
    </cfRule>
    <cfRule type="cellIs" dxfId="244" priority="665" operator="between">
      <formula>10.1</formula>
      <formula>10.6</formula>
    </cfRule>
    <cfRule type="cellIs" dxfId="243" priority="666" operator="between">
      <formula>7</formula>
      <formula>7.9</formula>
    </cfRule>
    <cfRule type="cellIs" dxfId="242" priority="667" stopIfTrue="1" operator="between">
      <formula>8</formula>
      <formula>8.9</formula>
    </cfRule>
    <cfRule type="cellIs" dxfId="241" priority="668" operator="between">
      <formula>9</formula>
      <formula>9.9</formula>
    </cfRule>
    <cfRule type="cellIs" dxfId="240" priority="669" stopIfTrue="1" operator="between">
      <formula>10</formula>
      <formula>10</formula>
    </cfRule>
  </conditionalFormatting>
  <conditionalFormatting sqref="K90">
    <cfRule type="colorScale" priority="6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ontainsBlanks" dxfId="239" priority="625" stopIfTrue="1">
      <formula>LEN(TRIM(K91))=0</formula>
    </cfRule>
    <cfRule type="cellIs" dxfId="238" priority="622" stopIfTrue="1" operator="between">
      <formula>8</formula>
      <formula>8.9</formula>
    </cfRule>
    <cfRule type="cellIs" dxfId="237" priority="621" operator="between">
      <formula>7</formula>
      <formula>7.9</formula>
    </cfRule>
    <cfRule type="cellIs" dxfId="236" priority="620" operator="between">
      <formula>10.1</formula>
      <formula>10.6</formula>
    </cfRule>
    <cfRule type="cellIs" dxfId="235" priority="623" operator="between">
      <formula>9</formula>
      <formula>9.9</formula>
    </cfRule>
    <cfRule type="cellIs" dxfId="234" priority="624" stopIfTrue="1" operator="between">
      <formula>10</formula>
      <formula>10</formula>
    </cfRule>
  </conditionalFormatting>
  <conditionalFormatting sqref="K98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33" priority="589" stopIfTrue="1" operator="between">
      <formula>8</formula>
      <formula>8.9</formula>
    </cfRule>
    <cfRule type="containsBlanks" dxfId="232" priority="592" stopIfTrue="1">
      <formula>LEN(TRIM(K99))=0</formula>
    </cfRule>
    <cfRule type="cellIs" dxfId="231" priority="591" stopIfTrue="1" operator="between">
      <formula>10</formula>
      <formula>10</formula>
    </cfRule>
    <cfRule type="cellIs" dxfId="230" priority="590" operator="between">
      <formula>9</formula>
      <formula>9.9</formula>
    </cfRule>
    <cfRule type="cellIs" dxfId="229" priority="586" operator="between">
      <formula>6</formula>
      <formula>6.9</formula>
    </cfRule>
    <cfRule type="cellIs" dxfId="228" priority="587" operator="between">
      <formula>10.1</formula>
      <formula>10.6</formula>
    </cfRule>
    <cfRule type="cellIs" dxfId="227" priority="588" operator="between">
      <formula>7</formula>
      <formula>7.9</formula>
    </cfRule>
  </conditionalFormatting>
  <conditionalFormatting sqref="K111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26" priority="542" operator="between">
      <formula>9</formula>
      <formula>9.9</formula>
    </cfRule>
    <cfRule type="cellIs" dxfId="225" priority="540" operator="between">
      <formula>7</formula>
      <formula>7.9</formula>
    </cfRule>
    <cfRule type="cellIs" dxfId="224" priority="539" operator="between">
      <formula>10.1</formula>
      <formula>10.6</formula>
    </cfRule>
    <cfRule type="containsBlanks" dxfId="223" priority="544" stopIfTrue="1">
      <formula>LEN(TRIM(K112))=0</formula>
    </cfRule>
    <cfRule type="cellIs" dxfId="222" priority="543" stopIfTrue="1" operator="between">
      <formula>10</formula>
      <formula>10</formula>
    </cfRule>
    <cfRule type="cellIs" dxfId="221" priority="541" stopIfTrue="1" operator="between">
      <formula>8</formula>
      <formula>8.9</formula>
    </cfRule>
  </conditionalFormatting>
  <conditionalFormatting sqref="K114">
    <cfRule type="cellIs" dxfId="220" priority="538" operator="between">
      <formula>6</formula>
      <formula>6.9</formula>
    </cfRule>
  </conditionalFormatting>
  <conditionalFormatting sqref="K124">
    <cfRule type="colorScale" priority="503">
      <colorScale>
        <cfvo type="num" val="5"/>
        <cfvo type="num" val="10"/>
        <color rgb="FFFF494D"/>
        <color rgb="FF00FF66"/>
      </colorScale>
    </cfRule>
    <cfRule type="colorScale" priority="5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19" priority="498" stopIfTrue="1" operator="between">
      <formula>8</formula>
      <formula>8.9</formula>
    </cfRule>
    <cfRule type="cellIs" dxfId="218" priority="499" operator="between">
      <formula>9</formula>
      <formula>9.9</formula>
    </cfRule>
    <cfRule type="cellIs" dxfId="217" priority="500" stopIfTrue="1" operator="between">
      <formula>10</formula>
      <formula>10</formula>
    </cfRule>
    <cfRule type="containsBlanks" dxfId="216" priority="501" stopIfTrue="1">
      <formula>LEN(TRIM(K125))=0</formula>
    </cfRule>
    <cfRule type="cellIs" dxfId="215" priority="496" operator="between">
      <formula>10.1</formula>
      <formula>10.6</formula>
    </cfRule>
    <cfRule type="cellIs" dxfId="214" priority="497" operator="between">
      <formula>7</formula>
      <formula>7.9</formula>
    </cfRule>
  </conditionalFormatting>
  <conditionalFormatting sqref="K125:K134">
    <cfRule type="cellIs" dxfId="213" priority="491" operator="between">
      <formula>7</formula>
      <formula>7.9</formula>
    </cfRule>
    <cfRule type="cellIs" dxfId="212" priority="490" operator="between">
      <formula>10.1</formula>
      <formula>10.6</formula>
    </cfRule>
    <cfRule type="containsBlanks" dxfId="211" priority="495" stopIfTrue="1">
      <formula>LEN(TRIM(K125))=0</formula>
    </cfRule>
    <cfRule type="cellIs" dxfId="210" priority="494" stopIfTrue="1" operator="between">
      <formula>10</formula>
      <formula>10</formula>
    </cfRule>
    <cfRule type="cellIs" dxfId="209" priority="493" operator="between">
      <formula>9</formula>
      <formula>9.9</formula>
    </cfRule>
    <cfRule type="cellIs" dxfId="208" priority="492" stopIfTrue="1" operator="between">
      <formula>8</formula>
      <formula>8.9</formula>
    </cfRule>
    <cfRule type="cellIs" dxfId="207" priority="489" operator="between">
      <formula>6</formula>
      <formula>6.9</formula>
    </cfRule>
  </conditionalFormatting>
  <conditionalFormatting sqref="K136">
    <cfRule type="colorScale" priority="430">
      <colorScale>
        <cfvo type="num" val="5"/>
        <cfvo type="num" val="10"/>
        <color rgb="FFFF494D"/>
        <color rgb="FF00FF66"/>
      </colorScale>
    </cfRule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206" priority="435" operator="between">
      <formula>9</formula>
      <formula>9.9</formula>
    </cfRule>
    <cfRule type="cellIs" dxfId="205" priority="436" stopIfTrue="1" operator="between">
      <formula>10</formula>
      <formula>10</formula>
    </cfRule>
    <cfRule type="cellIs" dxfId="204" priority="434" stopIfTrue="1" operator="between">
      <formula>8</formula>
      <formula>8.9</formula>
    </cfRule>
    <cfRule type="cellIs" dxfId="203" priority="433" operator="between">
      <formula>7</formula>
      <formula>7.9</formula>
    </cfRule>
    <cfRule type="cellIs" dxfId="202" priority="432" operator="between">
      <formula>10.1</formula>
      <formula>10.6</formula>
    </cfRule>
    <cfRule type="cellIs" dxfId="201" priority="431" operator="between">
      <formula>6</formula>
      <formula>6.9</formula>
    </cfRule>
    <cfRule type="containsBlanks" dxfId="200" priority="437" stopIfTrue="1">
      <formula>LEN(TRIM(K137))=0</formula>
    </cfRule>
  </conditionalFormatting>
  <conditionalFormatting sqref="K149"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7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199" priority="368" operator="between">
      <formula>6</formula>
      <formula>6.9</formula>
    </cfRule>
    <cfRule type="containsBlanks" dxfId="198" priority="374" stopIfTrue="1">
      <formula>LEN(TRIM(K150))=0</formula>
    </cfRule>
    <cfRule type="cellIs" dxfId="197" priority="373" stopIfTrue="1" operator="between">
      <formula>10</formula>
      <formula>10</formula>
    </cfRule>
    <cfRule type="cellIs" dxfId="196" priority="372" operator="between">
      <formula>9</formula>
      <formula>9.9</formula>
    </cfRule>
    <cfRule type="cellIs" dxfId="195" priority="371" stopIfTrue="1" operator="between">
      <formula>8</formula>
      <formula>8.9</formula>
    </cfRule>
    <cfRule type="cellIs" dxfId="194" priority="370" operator="between">
      <formula>7</formula>
      <formula>7.9</formula>
    </cfRule>
    <cfRule type="cellIs" dxfId="193" priority="369" operator="between">
      <formula>10.1</formula>
      <formula>10.6</formula>
    </cfRule>
  </conditionalFormatting>
  <conditionalFormatting sqref="K165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192" priority="316" operator="between">
      <formula>9</formula>
      <formula>9.9</formula>
    </cfRule>
    <cfRule type="cellIs" dxfId="191" priority="315" stopIfTrue="1" operator="between">
      <formula>8</formula>
      <formula>8.9</formula>
    </cfRule>
    <cfRule type="containsBlanks" dxfId="190" priority="318" stopIfTrue="1">
      <formula>LEN(TRIM(K166))=0</formula>
    </cfRule>
    <cfRule type="cellIs" dxfId="189" priority="317" stopIfTrue="1" operator="between">
      <formula>10</formula>
      <formula>10</formula>
    </cfRule>
    <cfRule type="cellIs" dxfId="188" priority="312" operator="between">
      <formula>6</formula>
      <formula>6.9</formula>
    </cfRule>
    <cfRule type="cellIs" dxfId="187" priority="314" operator="between">
      <formula>7</formula>
      <formula>7.9</formula>
    </cfRule>
    <cfRule type="cellIs" dxfId="186" priority="313" operator="between">
      <formula>10.1</formula>
      <formula>10.6</formula>
    </cfRule>
  </conditionalFormatting>
  <conditionalFormatting sqref="K175">
    <cfRule type="colorScale" priority="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185" priority="288" stopIfTrue="1" operator="between">
      <formula>8</formula>
      <formula>8.9</formula>
    </cfRule>
    <cfRule type="cellIs" dxfId="184" priority="287" operator="between">
      <formula>7</formula>
      <formula>7.9</formula>
    </cfRule>
    <cfRule type="cellIs" dxfId="183" priority="289" operator="between">
      <formula>9</formula>
      <formula>9.9</formula>
    </cfRule>
    <cfRule type="cellIs" dxfId="182" priority="285" operator="between">
      <formula>6</formula>
      <formula>6.9</formula>
    </cfRule>
    <cfRule type="cellIs" dxfId="181" priority="286" operator="between">
      <formula>10.1</formula>
      <formula>10.6</formula>
    </cfRule>
    <cfRule type="cellIs" dxfId="180" priority="290" stopIfTrue="1" operator="between">
      <formula>10</formula>
      <formula>10</formula>
    </cfRule>
    <cfRule type="containsBlanks" dxfId="179" priority="291" stopIfTrue="1">
      <formula>LEN(TRIM(K176))=0</formula>
    </cfRule>
  </conditionalFormatting>
  <conditionalFormatting sqref="K182"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178" priority="265" operator="between">
      <formula>6</formula>
      <formula>6.9</formula>
    </cfRule>
    <cfRule type="containsBlanks" dxfId="177" priority="271" stopIfTrue="1">
      <formula>LEN(TRIM(K183))=0</formula>
    </cfRule>
    <cfRule type="cellIs" dxfId="176" priority="270" stopIfTrue="1" operator="between">
      <formula>10</formula>
      <formula>10</formula>
    </cfRule>
    <cfRule type="cellIs" dxfId="175" priority="269" operator="between">
      <formula>9</formula>
      <formula>9.9</formula>
    </cfRule>
    <cfRule type="cellIs" dxfId="174" priority="268" stopIfTrue="1" operator="between">
      <formula>8</formula>
      <formula>8.9</formula>
    </cfRule>
    <cfRule type="cellIs" dxfId="173" priority="267" operator="between">
      <formula>7</formula>
      <formula>7.9</formula>
    </cfRule>
    <cfRule type="cellIs" dxfId="172" priority="266" operator="between">
      <formula>10.1</formula>
      <formula>10.6</formula>
    </cfRule>
  </conditionalFormatting>
  <conditionalFormatting sqref="K189">
    <cfRule type="colorScale" priority="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171" priority="229" operator="between">
      <formula>9</formula>
      <formula>9.9</formula>
    </cfRule>
    <cfRule type="cellIs" dxfId="170" priority="228" stopIfTrue="1" operator="between">
      <formula>8</formula>
      <formula>8.9</formula>
    </cfRule>
    <cfRule type="cellIs" dxfId="169" priority="230" stopIfTrue="1" operator="between">
      <formula>10</formula>
      <formula>10</formula>
    </cfRule>
    <cfRule type="cellIs" dxfId="168" priority="225" operator="between">
      <formula>6</formula>
      <formula>6.9</formula>
    </cfRule>
    <cfRule type="cellIs" dxfId="167" priority="226" operator="between">
      <formula>10.1</formula>
      <formula>10.6</formula>
    </cfRule>
    <cfRule type="cellIs" dxfId="166" priority="227" operator="between">
      <formula>7</formula>
      <formula>7.9</formula>
    </cfRule>
    <cfRule type="containsBlanks" dxfId="165" priority="231" stopIfTrue="1">
      <formula>LEN(TRIM(K190))=0</formula>
    </cfRule>
  </conditionalFormatting>
  <conditionalFormatting sqref="K199">
    <cfRule type="colorScale" priority="2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ontainsBlanks" dxfId="164" priority="202" stopIfTrue="1">
      <formula>LEN(TRIM(K200))=0</formula>
    </cfRule>
    <cfRule type="cellIs" dxfId="163" priority="196" operator="between">
      <formula>6</formula>
      <formula>6.9</formula>
    </cfRule>
    <cfRule type="cellIs" dxfId="162" priority="197" operator="between">
      <formula>10.1</formula>
      <formula>10.6</formula>
    </cfRule>
    <cfRule type="cellIs" dxfId="161" priority="198" operator="between">
      <formula>7</formula>
      <formula>7.9</formula>
    </cfRule>
    <cfRule type="cellIs" dxfId="160" priority="199" stopIfTrue="1" operator="between">
      <formula>8</formula>
      <formula>8.9</formula>
    </cfRule>
    <cfRule type="cellIs" dxfId="159" priority="200" operator="between">
      <formula>9</formula>
      <formula>9.9</formula>
    </cfRule>
    <cfRule type="cellIs" dxfId="158" priority="201" stopIfTrue="1" operator="between">
      <formula>10</formula>
      <formula>10</formula>
    </cfRule>
  </conditionalFormatting>
  <conditionalFormatting sqref="K208"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57" priority="167" operator="between">
      <formula>10.1</formula>
      <formula>11</formula>
    </cfRule>
    <cfRule type="cellIs" dxfId="156" priority="168" operator="between">
      <formula>7</formula>
      <formula>7.9</formula>
    </cfRule>
    <cfRule type="cellIs" dxfId="155" priority="169" stopIfTrue="1" operator="between">
      <formula>8</formula>
      <formula>8.9</formula>
    </cfRule>
    <cfRule type="containsBlanks" dxfId="154" priority="172" stopIfTrue="1">
      <formula>LEN(TRIM(K209))=0</formula>
    </cfRule>
    <cfRule type="cellIs" dxfId="153" priority="166" operator="between">
      <formula>6</formula>
      <formula>6.9</formula>
    </cfRule>
    <cfRule type="cellIs" dxfId="152" priority="170" operator="between">
      <formula>9</formula>
      <formula>9.9</formula>
    </cfRule>
    <cfRule type="cellIs" dxfId="151" priority="171" stopIfTrue="1" operator="between">
      <formula>10</formula>
      <formula>10</formula>
    </cfRule>
  </conditionalFormatting>
  <conditionalFormatting sqref="K219">
    <cfRule type="colorScale" priority="121">
      <colorScale>
        <cfvo type="num" val="5"/>
        <cfvo type="num" val="10"/>
        <color rgb="FFFF494D"/>
        <color rgb="FF00FF66"/>
      </colorScale>
    </cfRule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50" priority="114" operator="between">
      <formula>10.1</formula>
      <formula>10.6</formula>
    </cfRule>
    <cfRule type="containsBlanks" dxfId="149" priority="119" stopIfTrue="1">
      <formula>LEN(TRIM(K220))=0</formula>
    </cfRule>
    <cfRule type="cellIs" dxfId="148" priority="118" stopIfTrue="1" operator="between">
      <formula>10</formula>
      <formula>10</formula>
    </cfRule>
    <cfRule type="cellIs" dxfId="147" priority="117" operator="between">
      <formula>9</formula>
      <formula>9.9</formula>
    </cfRule>
    <cfRule type="cellIs" dxfId="146" priority="116" stopIfTrue="1" operator="between">
      <formula>8</formula>
      <formula>8.9</formula>
    </cfRule>
    <cfRule type="cellIs" dxfId="145" priority="113" operator="between">
      <formula>6</formula>
      <formula>6.9</formula>
    </cfRule>
    <cfRule type="cellIs" dxfId="144" priority="115" operator="between">
      <formula>7</formula>
      <formula>7.9</formula>
    </cfRule>
  </conditionalFormatting>
  <conditionalFormatting sqref="K237">
    <cfRule type="colorScale" priority="58">
      <colorScale>
        <cfvo type="num" val="5"/>
        <cfvo type="num" val="10"/>
        <color rgb="FFFF494D"/>
        <color rgb="FF00FF66"/>
      </colorScale>
    </cfRule>
    <cfRule type="colorScale" priority="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143" priority="50" operator="between">
      <formula>6</formula>
      <formula>6.9</formula>
    </cfRule>
    <cfRule type="cellIs" dxfId="142" priority="52" operator="between">
      <formula>7</formula>
      <formula>7.9</formula>
    </cfRule>
    <cfRule type="cellIs" dxfId="141" priority="53" stopIfTrue="1" operator="between">
      <formula>8</formula>
      <formula>8.9</formula>
    </cfRule>
    <cfRule type="cellIs" dxfId="140" priority="54" operator="between">
      <formula>9</formula>
      <formula>9.9</formula>
    </cfRule>
    <cfRule type="cellIs" dxfId="139" priority="55" stopIfTrue="1" operator="between">
      <formula>10</formula>
      <formula>10</formula>
    </cfRule>
    <cfRule type="containsBlanks" dxfId="138" priority="56" stopIfTrue="1">
      <formula>LEN(TRIM(K238))=0</formula>
    </cfRule>
    <cfRule type="cellIs" dxfId="137" priority="51" operator="between">
      <formula>10.1</formula>
      <formula>10.6</formula>
    </cfRule>
  </conditionalFormatting>
  <conditionalFormatting sqref="K252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136" priority="5" operator="between">
      <formula>6</formula>
      <formula>6.9</formula>
    </cfRule>
    <cfRule type="containsBlanks" dxfId="135" priority="11" stopIfTrue="1">
      <formula>LEN(TRIM(K253))=0</formula>
    </cfRule>
    <cfRule type="cellIs" dxfId="134" priority="10" stopIfTrue="1" operator="between">
      <formula>10</formula>
      <formula>10</formula>
    </cfRule>
    <cfRule type="cellIs" dxfId="133" priority="9" operator="between">
      <formula>9</formula>
      <formula>9.9</formula>
    </cfRule>
    <cfRule type="cellIs" dxfId="132" priority="7" operator="between">
      <formula>7</formula>
      <formula>7.9</formula>
    </cfRule>
    <cfRule type="cellIs" dxfId="131" priority="8" stopIfTrue="1" operator="between">
      <formula>8</formula>
      <formula>8.9</formula>
    </cfRule>
    <cfRule type="cellIs" dxfId="130" priority="6" operator="between">
      <formula>10.1</formula>
      <formula>10.6</formula>
    </cfRule>
  </conditionalFormatting>
  <conditionalFormatting sqref="M28">
    <cfRule type="colorScale" priority="1241">
      <colorScale>
        <cfvo type="num" val="5"/>
        <cfvo type="num" val="10"/>
        <color rgb="FFFF494D"/>
        <color rgb="FF00FF66"/>
      </colorScale>
    </cfRule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29" priority="838" operator="between">
      <formula>7</formula>
      <formula>7.9</formula>
    </cfRule>
    <cfRule type="cellIs" dxfId="128" priority="839" stopIfTrue="1" operator="between">
      <formula>8</formula>
      <formula>8.9</formula>
    </cfRule>
    <cfRule type="cellIs" dxfId="127" priority="840" operator="between">
      <formula>9</formula>
      <formula>9.9</formula>
    </cfRule>
    <cfRule type="cellIs" dxfId="126" priority="841" stopIfTrue="1" operator="between">
      <formula>10</formula>
      <formula>10</formula>
    </cfRule>
    <cfRule type="cellIs" dxfId="125" priority="837" operator="between">
      <formula>10.1</formula>
      <formula>10.6</formula>
    </cfRule>
    <cfRule type="containsBlanks" dxfId="124" priority="842" stopIfTrue="1">
      <formula>LEN(TRIM(N3))=0</formula>
    </cfRule>
  </conditionalFormatting>
  <conditionalFormatting sqref="N15:N26">
    <cfRule type="cellIs" dxfId="123" priority="969" operator="between">
      <formula>7</formula>
      <formula>7.9</formula>
    </cfRule>
    <cfRule type="cellIs" dxfId="122" priority="970" stopIfTrue="1" operator="between">
      <formula>8</formula>
      <formula>8.9</formula>
    </cfRule>
    <cfRule type="cellIs" dxfId="121" priority="971" operator="between">
      <formula>9</formula>
      <formula>9.9</formula>
    </cfRule>
    <cfRule type="cellIs" dxfId="120" priority="972" stopIfTrue="1" operator="between">
      <formula>10</formula>
      <formula>10</formula>
    </cfRule>
  </conditionalFormatting>
  <conditionalFormatting sqref="N28"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5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19" priority="976" stopIfTrue="1" operator="between">
      <formula>10</formula>
      <formula>10</formula>
    </cfRule>
    <cfRule type="cellIs" dxfId="118" priority="973" operator="between">
      <formula>7</formula>
      <formula>7.9</formula>
    </cfRule>
    <cfRule type="cellIs" dxfId="117" priority="974" stopIfTrue="1" operator="between">
      <formula>8</formula>
      <formula>8.9</formula>
    </cfRule>
    <cfRule type="cellIs" dxfId="116" priority="975" operator="between">
      <formula>9</formula>
      <formula>9.9</formula>
    </cfRule>
  </conditionalFormatting>
  <conditionalFormatting sqref="N39">
    <cfRule type="colorScale" priority="1208">
      <colorScale>
        <cfvo type="num" val="5"/>
        <cfvo type="num" val="10"/>
        <color rgb="FFFF494D"/>
        <color rgb="FF00FF66"/>
      </colorScale>
    </cfRule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115" priority="782" stopIfTrue="1">
      <formula>LEN(TRIM(N40))=0</formula>
    </cfRule>
    <cfRule type="cellIs" dxfId="114" priority="781" stopIfTrue="1" operator="between">
      <formula>10</formula>
      <formula>10</formula>
    </cfRule>
    <cfRule type="cellIs" dxfId="113" priority="780" operator="between">
      <formula>9</formula>
      <formula>9.9</formula>
    </cfRule>
    <cfRule type="cellIs" dxfId="112" priority="779" stopIfTrue="1" operator="between">
      <formula>8</formula>
      <formula>8.9</formula>
    </cfRule>
    <cfRule type="cellIs" dxfId="111" priority="778" operator="between">
      <formula>7</formula>
      <formula>7.9</formula>
    </cfRule>
    <cfRule type="cellIs" dxfId="110" priority="777" operator="between">
      <formula>10.1</formula>
      <formula>10.6</formula>
    </cfRule>
  </conditionalFormatting>
  <conditionalFormatting sqref="N54">
    <cfRule type="colorScale" priority="7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6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109" priority="764" stopIfTrue="1">
      <formula>LEN(TRIM(N55))=0</formula>
    </cfRule>
    <cfRule type="cellIs" dxfId="108" priority="763" stopIfTrue="1" operator="between">
      <formula>10</formula>
      <formula>10</formula>
    </cfRule>
    <cfRule type="cellIs" dxfId="107" priority="762" operator="between">
      <formula>9</formula>
      <formula>9.9</formula>
    </cfRule>
    <cfRule type="cellIs" dxfId="106" priority="761" stopIfTrue="1" operator="between">
      <formula>8</formula>
      <formula>8.9</formula>
    </cfRule>
    <cfRule type="cellIs" dxfId="105" priority="760" operator="between">
      <formula>7</formula>
      <formula>7.9</formula>
    </cfRule>
    <cfRule type="cellIs" dxfId="104" priority="759" operator="between">
      <formula>10.1</formula>
      <formula>10.6</formula>
    </cfRule>
  </conditionalFormatting>
  <conditionalFormatting sqref="N67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03" priority="713" operator="between">
      <formula>9</formula>
      <formula>9.9</formula>
    </cfRule>
    <cfRule type="containsBlanks" dxfId="102" priority="715" stopIfTrue="1">
      <formula>LEN(TRIM(N68))=0</formula>
    </cfRule>
    <cfRule type="cellIs" dxfId="101" priority="714" stopIfTrue="1" operator="between">
      <formula>10</formula>
      <formula>10</formula>
    </cfRule>
    <cfRule type="cellIs" dxfId="100" priority="710" operator="between">
      <formula>10.1</formula>
      <formula>10.6</formula>
    </cfRule>
    <cfRule type="cellIs" dxfId="99" priority="711" operator="between">
      <formula>7</formula>
      <formula>7.9</formula>
    </cfRule>
    <cfRule type="cellIs" dxfId="98" priority="712" stopIfTrue="1" operator="between">
      <formula>8</formula>
      <formula>8.9</formula>
    </cfRule>
  </conditionalFormatting>
  <conditionalFormatting sqref="N79">
    <cfRule type="colorScale" priority="648">
      <colorScale>
        <cfvo type="num" val="5"/>
        <cfvo type="num" val="10"/>
        <color rgb="FFFF494D"/>
        <color rgb="FF00FF66"/>
      </colorScale>
    </cfRule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97" priority="643" stopIfTrue="1" operator="between">
      <formula>8</formula>
      <formula>8.9</formula>
    </cfRule>
    <cfRule type="cellIs" dxfId="96" priority="641" operator="between">
      <formula>10.1</formula>
      <formula>10.6</formula>
    </cfRule>
    <cfRule type="cellIs" dxfId="95" priority="644" operator="between">
      <formula>9</formula>
      <formula>9.9</formula>
    </cfRule>
    <cfRule type="containsBlanks" dxfId="94" priority="646" stopIfTrue="1">
      <formula>LEN(TRIM(N80))=0</formula>
    </cfRule>
    <cfRule type="cellIs" dxfId="93" priority="642" operator="between">
      <formula>7</formula>
      <formula>7.9</formula>
    </cfRule>
    <cfRule type="cellIs" dxfId="92" priority="645" stopIfTrue="1" operator="between">
      <formula>10</formula>
      <formula>10</formula>
    </cfRule>
  </conditionalFormatting>
  <conditionalFormatting sqref="N93">
    <cfRule type="colorScale" priority="603">
      <colorScale>
        <cfvo type="num" val="5"/>
        <cfvo type="num" val="10"/>
        <color rgb="FFFF494D"/>
        <color rgb="FF00FF66"/>
      </colorScale>
    </cfRule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91" priority="609" stopIfTrue="1">
      <formula>LEN(TRIM(N94))=0</formula>
    </cfRule>
    <cfRule type="cellIs" dxfId="90" priority="608" stopIfTrue="1" operator="between">
      <formula>10</formula>
      <formula>10</formula>
    </cfRule>
    <cfRule type="cellIs" dxfId="89" priority="607" operator="between">
      <formula>9</formula>
      <formula>9.9</formula>
    </cfRule>
    <cfRule type="cellIs" dxfId="88" priority="606" stopIfTrue="1" operator="between">
      <formula>8</formula>
      <formula>8.9</formula>
    </cfRule>
    <cfRule type="cellIs" dxfId="87" priority="605" operator="between">
      <formula>7</formula>
      <formula>7.9</formula>
    </cfRule>
    <cfRule type="cellIs" dxfId="86" priority="604" operator="between">
      <formula>10.1</formula>
      <formula>10.6</formula>
    </cfRule>
  </conditionalFormatting>
  <conditionalFormatting sqref="N112">
    <cfRule type="colorScale" priority="537">
      <colorScale>
        <cfvo type="num" val="5"/>
        <cfvo type="num" val="10"/>
        <color rgb="FFFF494D"/>
        <color rgb="FF00FF66"/>
      </colorScale>
    </cfRule>
    <cfRule type="colorScale" priority="5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85" priority="530" operator="between">
      <formula>10.1</formula>
      <formula>10.6</formula>
    </cfRule>
    <cfRule type="cellIs" dxfId="84" priority="531" operator="between">
      <formula>7</formula>
      <formula>7.9</formula>
    </cfRule>
    <cfRule type="cellIs" dxfId="83" priority="532" stopIfTrue="1" operator="between">
      <formula>8</formula>
      <formula>8.9</formula>
    </cfRule>
    <cfRule type="cellIs" dxfId="82" priority="533" operator="between">
      <formula>9</formula>
      <formula>9.9</formula>
    </cfRule>
    <cfRule type="cellIs" dxfId="81" priority="534" stopIfTrue="1" operator="between">
      <formula>10</formula>
      <formula>10</formula>
    </cfRule>
    <cfRule type="containsBlanks" dxfId="80" priority="535" stopIfTrue="1">
      <formula>LEN(TRIM(N113))=0</formula>
    </cfRule>
  </conditionalFormatting>
  <conditionalFormatting sqref="N127">
    <cfRule type="colorScale" priority="470">
      <colorScale>
        <cfvo type="num" val="5"/>
        <cfvo type="num" val="10"/>
        <color rgb="FFFF494D"/>
        <color rgb="FF00FF66"/>
      </colorScale>
    </cfRule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79" priority="461" stopIfTrue="1" operator="between">
      <formula>10</formula>
      <formula>10</formula>
    </cfRule>
    <cfRule type="containsBlanks" dxfId="78" priority="462" stopIfTrue="1">
      <formula>LEN(TRIM(N128))=0</formula>
    </cfRule>
    <cfRule type="cellIs" dxfId="77" priority="463" operator="between">
      <formula>10.1</formula>
      <formula>10.6</formula>
    </cfRule>
    <cfRule type="cellIs" dxfId="76" priority="460" operator="between">
      <formula>9</formula>
      <formula>9.9</formula>
    </cfRule>
    <cfRule type="cellIs" dxfId="75" priority="459" stopIfTrue="1" operator="between">
      <formula>8</formula>
      <formula>8.9</formula>
    </cfRule>
    <cfRule type="cellIs" dxfId="74" priority="458" operator="between">
      <formula>7</formula>
      <formula>7.9</formula>
    </cfRule>
    <cfRule type="cellIs" dxfId="73" priority="457" operator="between">
      <formula>10.1</formula>
      <formula>10.6</formula>
    </cfRule>
    <cfRule type="cellIs" dxfId="72" priority="456" operator="between">
      <formula>6</formula>
      <formula>6.9</formula>
    </cfRule>
    <cfRule type="cellIs" dxfId="71" priority="464" operator="between">
      <formula>7</formula>
      <formula>7.9</formula>
    </cfRule>
    <cfRule type="cellIs" dxfId="70" priority="465" stopIfTrue="1" operator="between">
      <formula>8</formula>
      <formula>8.9</formula>
    </cfRule>
    <cfRule type="cellIs" dxfId="69" priority="466" operator="between">
      <formula>9</formula>
      <formula>9.9</formula>
    </cfRule>
    <cfRule type="cellIs" dxfId="68" priority="467" stopIfTrue="1" operator="between">
      <formula>10</formula>
      <formula>10</formula>
    </cfRule>
    <cfRule type="containsBlanks" dxfId="67" priority="468" stopIfTrue="1">
      <formula>LEN(TRIM(N128))=0</formula>
    </cfRule>
  </conditionalFormatting>
  <conditionalFormatting sqref="N137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66" priority="423" stopIfTrue="1" operator="between">
      <formula>8</formula>
      <formula>8.9</formula>
    </cfRule>
    <cfRule type="cellIs" dxfId="65" priority="422" operator="between">
      <formula>7</formula>
      <formula>7.9</formula>
    </cfRule>
    <cfRule type="containsBlanks" dxfId="64" priority="426" stopIfTrue="1">
      <formula>LEN(TRIM(N138))=0</formula>
    </cfRule>
    <cfRule type="cellIs" dxfId="63" priority="425" stopIfTrue="1" operator="between">
      <formula>10</formula>
      <formula>10</formula>
    </cfRule>
    <cfRule type="cellIs" dxfId="62" priority="421" operator="between">
      <formula>10.1</formula>
      <formula>10.6</formula>
    </cfRule>
    <cfRule type="cellIs" dxfId="61" priority="420" operator="between">
      <formula>6</formula>
      <formula>6.9</formula>
    </cfRule>
    <cfRule type="cellIs" dxfId="60" priority="424" operator="between">
      <formula>9</formula>
      <formula>9.9</formula>
    </cfRule>
  </conditionalFormatting>
  <conditionalFormatting sqref="N144">
    <cfRule type="colorScale" priority="419">
      <colorScale>
        <cfvo type="num" val="5"/>
        <cfvo type="num" val="10"/>
        <color rgb="FFFF494D"/>
        <color rgb="FF00FF66"/>
      </colorScale>
    </cfRule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59" priority="413" operator="between">
      <formula>7</formula>
      <formula>7.9</formula>
    </cfRule>
    <cfRule type="containsBlanks" dxfId="58" priority="417" stopIfTrue="1">
      <formula>LEN(TRIM(N145))=0</formula>
    </cfRule>
    <cfRule type="cellIs" dxfId="57" priority="411" operator="between">
      <formula>6</formula>
      <formula>6.9</formula>
    </cfRule>
    <cfRule type="cellIs" dxfId="56" priority="414" stopIfTrue="1" operator="between">
      <formula>8</formula>
      <formula>8.9</formula>
    </cfRule>
    <cfRule type="cellIs" dxfId="55" priority="415" operator="between">
      <formula>9</formula>
      <formula>9.9</formula>
    </cfRule>
    <cfRule type="cellIs" dxfId="54" priority="416" stopIfTrue="1" operator="between">
      <formula>10</formula>
      <formula>10</formula>
    </cfRule>
    <cfRule type="cellIs" dxfId="53" priority="412" operator="between">
      <formula>10.1</formula>
      <formula>10.6</formula>
    </cfRule>
  </conditionalFormatting>
  <conditionalFormatting sqref="N152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52" priority="359" operator="between">
      <formula>7</formula>
      <formula>7.9</formula>
    </cfRule>
    <cfRule type="cellIs" dxfId="51" priority="362" stopIfTrue="1" operator="between">
      <formula>10</formula>
      <formula>10</formula>
    </cfRule>
    <cfRule type="containsBlanks" dxfId="50" priority="363" stopIfTrue="1">
      <formula>LEN(TRIM(N153))=0</formula>
    </cfRule>
    <cfRule type="cellIs" dxfId="49" priority="361" operator="between">
      <formula>9</formula>
      <formula>9.9</formula>
    </cfRule>
    <cfRule type="cellIs" dxfId="48" priority="360" stopIfTrue="1" operator="between">
      <formula>8</formula>
      <formula>8.9</formula>
    </cfRule>
    <cfRule type="cellIs" dxfId="47" priority="357" operator="between">
      <formula>6</formula>
      <formula>6.9</formula>
    </cfRule>
    <cfRule type="cellIs" dxfId="46" priority="358" operator="between">
      <formula>10.1</formula>
      <formula>10.6</formula>
    </cfRule>
  </conditionalFormatting>
  <conditionalFormatting sqref="N161">
    <cfRule type="colorScale" priority="340">
      <colorScale>
        <cfvo type="num" val="5"/>
        <cfvo type="num" val="10"/>
        <color rgb="FFFF494D"/>
        <color rgb="FF00FF66"/>
      </colorScale>
    </cfRule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45" priority="347" stopIfTrue="1">
      <formula>LEN(TRIM(N162))=0</formula>
    </cfRule>
    <cfRule type="cellIs" dxfId="44" priority="341" operator="between">
      <formula>6</formula>
      <formula>6.9</formula>
    </cfRule>
    <cfRule type="cellIs" dxfId="43" priority="342" operator="between">
      <formula>10.1</formula>
      <formula>10.6</formula>
    </cfRule>
    <cfRule type="cellIs" dxfId="42" priority="343" operator="between">
      <formula>7</formula>
      <formula>7.9</formula>
    </cfRule>
    <cfRule type="cellIs" dxfId="41" priority="344" stopIfTrue="1" operator="between">
      <formula>8</formula>
      <formula>8.9</formula>
    </cfRule>
    <cfRule type="cellIs" dxfId="40" priority="345" operator="between">
      <formula>9</formula>
      <formula>9.9</formula>
    </cfRule>
    <cfRule type="cellIs" dxfId="39" priority="346" stopIfTrue="1" operator="between">
      <formula>10</formula>
      <formula>10</formula>
    </cfRule>
  </conditionalFormatting>
  <conditionalFormatting sqref="N182">
    <cfRule type="colorScale" priority="293">
      <colorScale>
        <cfvo type="num" val="5"/>
        <cfvo type="num" val="10"/>
        <color rgb="FFFF494D"/>
        <color rgb="FF00FF66"/>
      </colorScale>
    </cfRule>
    <cfRule type="colorScale" priority="2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240">
      <colorScale>
        <cfvo type="num" val="5"/>
        <cfvo type="num" val="10"/>
        <color rgb="FFFF494D"/>
        <color rgb="FF00FF66"/>
      </colorScale>
    </cfRule>
    <cfRule type="colorScale" priority="2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38" priority="234" operator="between">
      <formula>7</formula>
      <formula>7.9</formula>
    </cfRule>
    <cfRule type="cellIs" dxfId="37" priority="236" operator="between">
      <formula>9</formula>
      <formula>9.9</formula>
    </cfRule>
    <cfRule type="cellIs" dxfId="36" priority="235" stopIfTrue="1" operator="between">
      <formula>8</formula>
      <formula>8.9</formula>
    </cfRule>
    <cfRule type="cellIs" dxfId="35" priority="237" stopIfTrue="1" operator="between">
      <formula>10</formula>
      <formula>10</formula>
    </cfRule>
    <cfRule type="containsBlanks" dxfId="34" priority="238" stopIfTrue="1">
      <formula>LEN(TRIM(N186))=0</formula>
    </cfRule>
    <cfRule type="cellIs" dxfId="33" priority="233" operator="between">
      <formula>10.1</formula>
      <formula>10.6</formula>
    </cfRule>
    <cfRule type="cellIs" dxfId="32" priority="232" operator="between">
      <formula>6</formula>
      <formula>6.9</formula>
    </cfRule>
  </conditionalFormatting>
  <conditionalFormatting sqref="N211">
    <cfRule type="colorScale" priority="157">
      <colorScale>
        <cfvo type="num" val="5"/>
        <cfvo type="num" val="10"/>
        <color rgb="FFFF494D"/>
        <color rgb="FF00FF66"/>
      </colorScale>
    </cfRule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31" priority="149" operator="between">
      <formula>6</formula>
      <formula>6.9</formula>
    </cfRule>
    <cfRule type="containsBlanks" dxfId="30" priority="155" stopIfTrue="1">
      <formula>LEN(TRIM(N212))=0</formula>
    </cfRule>
    <cfRule type="cellIs" dxfId="29" priority="150" operator="between">
      <formula>10.1</formula>
      <formula>11</formula>
    </cfRule>
    <cfRule type="cellIs" dxfId="28" priority="151" operator="between">
      <formula>7</formula>
      <formula>7.9</formula>
    </cfRule>
    <cfRule type="cellIs" dxfId="27" priority="154" stopIfTrue="1" operator="between">
      <formula>10</formula>
      <formula>10</formula>
    </cfRule>
    <cfRule type="cellIs" dxfId="26" priority="152" stopIfTrue="1" operator="between">
      <formula>8</formula>
      <formula>8.9</formula>
    </cfRule>
    <cfRule type="cellIs" dxfId="25" priority="153" operator="between">
      <formula>9</formula>
      <formula>9.9</formula>
    </cfRule>
  </conditionalFormatting>
  <conditionalFormatting sqref="N228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24" priority="101" stopIfTrue="1">
      <formula>LEN(TRIM(N229))=0</formula>
    </cfRule>
    <cfRule type="cellIs" dxfId="23" priority="100" stopIfTrue="1" operator="between">
      <formula>10</formula>
      <formula>10</formula>
    </cfRule>
    <cfRule type="cellIs" dxfId="22" priority="99" operator="between">
      <formula>9</formula>
      <formula>9.9</formula>
    </cfRule>
    <cfRule type="cellIs" dxfId="21" priority="98" stopIfTrue="1" operator="between">
      <formula>8</formula>
      <formula>8.9</formula>
    </cfRule>
    <cfRule type="cellIs" dxfId="20" priority="96" operator="between">
      <formula>10.1</formula>
      <formula>11</formula>
    </cfRule>
    <cfRule type="cellIs" dxfId="19" priority="97" operator="between">
      <formula>7</formula>
      <formula>7.9</formula>
    </cfRule>
    <cfRule type="cellIs" dxfId="18" priority="95" operator="between">
      <formula>6</formula>
      <formula>6.9</formula>
    </cfRule>
  </conditionalFormatting>
  <conditionalFormatting sqref="N240">
    <cfRule type="colorScale" priority="49">
      <colorScale>
        <cfvo type="num" val="5"/>
        <cfvo type="num" val="10"/>
        <color rgb="FFFF494D"/>
        <color rgb="FF00FF66"/>
      </colorScale>
    </cfRule>
    <cfRule type="colorScale" priority="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7" priority="43" operator="between">
      <formula>7</formula>
      <formula>7.9</formula>
    </cfRule>
    <cfRule type="cellIs" dxfId="16" priority="44" stopIfTrue="1" operator="between">
      <formula>8</formula>
      <formula>8.9</formula>
    </cfRule>
    <cfRule type="cellIs" dxfId="15" priority="45" operator="between">
      <formula>9</formula>
      <formula>9.9</formula>
    </cfRule>
    <cfRule type="cellIs" dxfId="14" priority="46" stopIfTrue="1" operator="between">
      <formula>10</formula>
      <formula>10</formula>
    </cfRule>
    <cfRule type="containsBlanks" dxfId="13" priority="47" stopIfTrue="1">
      <formula>LEN(TRIM(N241))=0</formula>
    </cfRule>
    <cfRule type="cellIs" dxfId="12" priority="42" operator="between">
      <formula>10.1</formula>
      <formula>10.6</formula>
    </cfRule>
    <cfRule type="cellIs" dxfId="11" priority="41" operator="between">
      <formula>6</formula>
      <formula>6.9</formula>
    </cfRule>
  </conditionalFormatting>
  <conditionalFormatting sqref="N249">
    <cfRule type="colorScale" priority="22">
      <colorScale>
        <cfvo type="num" val="5"/>
        <cfvo type="num" val="10"/>
        <color rgb="FFFF494D"/>
        <color rgb="FF00FF66"/>
      </colorScale>
    </cfRule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0" priority="14" operator="between">
      <formula>6</formula>
      <formula>6.9</formula>
    </cfRule>
    <cfRule type="cellIs" dxfId="9" priority="15" operator="between">
      <formula>10.1</formula>
      <formula>10.6</formula>
    </cfRule>
    <cfRule type="cellIs" dxfId="8" priority="16" operator="between">
      <formula>7</formula>
      <formula>7.9</formula>
    </cfRule>
    <cfRule type="containsBlanks" dxfId="7" priority="20" stopIfTrue="1">
      <formula>LEN(TRIM(N250))=0</formula>
    </cfRule>
    <cfRule type="cellIs" dxfId="6" priority="19" stopIfTrue="1" operator="between">
      <formula>10</formula>
      <formula>10</formula>
    </cfRule>
    <cfRule type="cellIs" dxfId="5" priority="18" operator="between">
      <formula>9</formula>
      <formula>9.9</formula>
    </cfRule>
    <cfRule type="cellIs" dxfId="4" priority="17" stopIfTrue="1" operator="between">
      <formula>8</formula>
      <formula>8.9</formula>
    </cfRule>
  </conditionalFormatting>
  <conditionalFormatting sqref="AS3:AS9">
    <cfRule type="cellIs" dxfId="3" priority="906" operator="between">
      <formula>8</formula>
      <formula>8.9</formula>
    </cfRule>
    <cfRule type="cellIs" dxfId="2" priority="905" operator="between">
      <formula>7</formula>
      <formula>7.9</formula>
    </cfRule>
    <cfRule type="cellIs" dxfId="1" priority="907" operator="between">
      <formula>9</formula>
      <formula>9.9</formula>
    </cfRule>
    <cfRule type="cellIs" dxfId="0" priority="908" operator="between">
      <formula>10</formula>
      <formula>10</formula>
    </cfRule>
  </conditionalFormatting>
  <conditionalFormatting sqref="E253">
    <cfRule type="colorScale" priority="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" customHeight="1" x14ac:dyDescent="0.25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" customHeight="1" x14ac:dyDescent="0.2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" customHeight="1" x14ac:dyDescent="0.2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" customHeight="1" x14ac:dyDescent="0.2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" customHeight="1" x14ac:dyDescent="0.2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" customHeight="1" x14ac:dyDescent="0.2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" customHeight="1" x14ac:dyDescent="0.2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" customHeight="1" x14ac:dyDescent="0.2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" customHeight="1" x14ac:dyDescent="0.2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" customHeight="1" x14ac:dyDescent="0.2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" customHeight="1" x14ac:dyDescent="0.2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" customHeight="1" x14ac:dyDescent="0.2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" customHeight="1" x14ac:dyDescent="0.2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" customHeight="1" x14ac:dyDescent="0.2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" customHeight="1" x14ac:dyDescent="0.2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" customHeight="1" x14ac:dyDescent="0.2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" customHeight="1" x14ac:dyDescent="0.2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" customHeight="1" x14ac:dyDescent="0.2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" customHeight="1" x14ac:dyDescent="0.2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" customHeight="1" x14ac:dyDescent="0.2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" customHeight="1" x14ac:dyDescent="0.2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" customHeight="1" x14ac:dyDescent="0.2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" customHeight="1" x14ac:dyDescent="0.2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" customHeight="1" x14ac:dyDescent="0.2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" customHeight="1" x14ac:dyDescent="0.2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" customHeight="1" x14ac:dyDescent="0.2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" customHeight="1" x14ac:dyDescent="0.2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" customHeight="1" x14ac:dyDescent="0.2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" customHeight="1" x14ac:dyDescent="0.2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" customHeight="1" x14ac:dyDescent="0.2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" customHeight="1" x14ac:dyDescent="0.2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" customHeight="1" x14ac:dyDescent="0.2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" customHeight="1" x14ac:dyDescent="0.2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" customHeight="1" x14ac:dyDescent="0.2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" customHeight="1" x14ac:dyDescent="0.2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" customHeight="1" x14ac:dyDescent="0.2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" customHeight="1" x14ac:dyDescent="0.2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" customHeight="1" x14ac:dyDescent="0.2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" customHeight="1" x14ac:dyDescent="0.2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" customHeight="1" x14ac:dyDescent="0.2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" customHeight="1" x14ac:dyDescent="0.2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" customHeight="1" x14ac:dyDescent="0.2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" customHeight="1" x14ac:dyDescent="0.2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" customHeight="1" x14ac:dyDescent="0.2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" customHeight="1" x14ac:dyDescent="0.2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" customHeight="1" x14ac:dyDescent="0.2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" customHeight="1" x14ac:dyDescent="0.2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" customHeight="1" x14ac:dyDescent="0.2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" customHeight="1" x14ac:dyDescent="0.2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" customHeight="1" x14ac:dyDescent="0.2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" customHeight="1" x14ac:dyDescent="0.2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" customHeight="1" x14ac:dyDescent="0.2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" customHeight="1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684" priority="17" operator="equal">
      <formula>10</formula>
    </cfRule>
  </conditionalFormatting>
  <conditionalFormatting sqref="C6">
    <cfRule type="containsBlanks" dxfId="683" priority="18">
      <formula>LEN(TRIM(C6))=0</formula>
    </cfRule>
  </conditionalFormatting>
  <conditionalFormatting sqref="C8">
    <cfRule type="containsBlanks" dxfId="682" priority="20">
      <formula>LEN(TRIM(C8))=0</formula>
    </cfRule>
  </conditionalFormatting>
  <conditionalFormatting sqref="C10">
    <cfRule type="containsBlanks" dxfId="681" priority="22">
      <formula>LEN(TRIM(C10))=0</formula>
    </cfRule>
  </conditionalFormatting>
  <conditionalFormatting sqref="C12">
    <cfRule type="containsBlanks" dxfId="680" priority="24">
      <formula>LEN(TRIM(C12))=0</formula>
    </cfRule>
  </conditionalFormatting>
  <conditionalFormatting sqref="C14">
    <cfRule type="containsBlanks" dxfId="679" priority="26">
      <formula>LEN(TRIM(C14))=0</formula>
    </cfRule>
  </conditionalFormatting>
  <conditionalFormatting sqref="C16">
    <cfRule type="containsBlanks" dxfId="678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677" priority="3" operator="equal">
      <formula>10</formula>
    </cfRule>
  </conditionalFormatting>
  <conditionalFormatting sqref="C26">
    <cfRule type="containsBlanks" dxfId="676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675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674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673" priority="15" operator="equal">
      <formula>10</formula>
    </cfRule>
  </conditionalFormatting>
  <conditionalFormatting sqref="F12">
    <cfRule type="containsBlanks" dxfId="672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671" priority="5" operator="equal">
      <formula>10</formula>
    </cfRule>
  </conditionalFormatting>
  <conditionalFormatting sqref="F28">
    <cfRule type="containsBlanks" dxfId="670" priority="6">
      <formula>LEN(TRIM(F28))=0</formula>
    </cfRule>
  </conditionalFormatting>
  <conditionalFormatting sqref="F33:F41">
    <cfRule type="cellIs" dxfId="669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668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667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666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665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664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663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662" priority="1" operator="equal">
      <formula>10</formula>
    </cfRule>
  </conditionalFormatting>
  <conditionalFormatting sqref="L23">
    <cfRule type="containsBlanks" dxfId="661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660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659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658" priority="9" operator="equal">
      <formula>10</formula>
    </cfRule>
  </conditionalFormatting>
  <conditionalFormatting sqref="O4">
    <cfRule type="containsBlanks" dxfId="657" priority="12">
      <formula>LEN(TRIM(O4))=0</formula>
    </cfRule>
  </conditionalFormatting>
  <conditionalFormatting sqref="O6">
    <cfRule type="containsBlanks" dxfId="656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655" priority="10">
      <formula>LEN(TRIM(O14))=0</formula>
    </cfRule>
  </conditionalFormatting>
  <conditionalFormatting sqref="O17:O27">
    <cfRule type="cellIs" dxfId="654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653" priority="74" operator="equal">
      <formula>10</formula>
    </cfRule>
  </conditionalFormatting>
  <conditionalFormatting sqref="O42">
    <cfRule type="containsBlanks" dxfId="652" priority="8">
      <formula>LEN(TRIM(O42))=0</formula>
    </cfRule>
  </conditionalFormatting>
  <conditionalFormatting sqref="O42:O51">
    <cfRule type="cellIs" dxfId="651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2026-03-15T11:01:29Z</dcterms:modified>
</cp:coreProperties>
</file>