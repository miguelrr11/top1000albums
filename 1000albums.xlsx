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3603E63-D84C-470B-BFC0-0D863CB8885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Hoja2!$V$3:$V$134</definedName>
    <definedName name="_xlchart.v1.1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5" i="4" l="1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<sst xmlns="http://schemas.openxmlformats.org/spreadsheetml/2006/main" count="3100" uniqueCount="2399">
  <si>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</si>
  <si>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</si>
  <si>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</si>
  <si>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</si>
  <si>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</si>
  <si>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</si>
  <si>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</si>
  <si>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</si>
  <si>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</si>
  <si>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</si>
  <si>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</si>
  <si>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</si>
  <si>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</si>
  <si>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</si>
  <si>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</si>
  <si>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</si>
  <si>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</si>
  <si>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</si>
  <si>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</si>
  <si>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</si>
  <si>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</si>
  <si>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</si>
  <si>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</si>
  <si>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</si>
  <si>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</si>
  <si>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</si>
  <si>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</si>
  <si>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</si>
  <si>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</si>
  <si>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</si>
  <si>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</si>
  <si>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</si>
  <si>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</si>
  <si>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</si>
  <si>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</si>
  <si>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</si>
  <si>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</si>
  <si>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</si>
  <si>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</si>
  <si>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</si>
  <si>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</si>
  <si>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</si>
  <si>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</si>
  <si>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</si>
  <si>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</si>
  <si>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</si>
  <si>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</si>
  <si>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</si>
  <si>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</si>
  <si>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</si>
  <si>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</si>
  <si>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</si>
  <si>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</si>
  <si>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</si>
  <si>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</si>
  <si>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</si>
  <si>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</si>
  <si>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</si>
  <si>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</si>
  <si>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</si>
  <si>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</si>
  <si>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</si>
  <si>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</si>
  <si>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</si>
  <si>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</si>
  <si>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</si>
  <si>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</si>
  <si>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</si>
  <si>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</si>
  <si>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</si>
  <si>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</si>
  <si>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</si>
  <si>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</si>
  <si>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</si>
  <si>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</si>
  <si>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</si>
  <si>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</si>
  <si>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</si>
  <si>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</si>
  <si>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</si>
  <si>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</si>
  <si>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</si>
  <si>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</si>
  <si>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</si>
  <si>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</si>
  <si>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</si>
  <si>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</si>
  <si>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</si>
  <si>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</si>
  <si>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</si>
  <si>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</si>
  <si>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</si>
  <si>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</si>
  <si>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</si>
  <si>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</si>
  <si>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</si>
  <si>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</si>
  <si>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</si>
  <si>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</si>
  <si>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</si>
  <si>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</si>
  <si>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</si>
  <si>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</si>
  <si>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</si>
  <si>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</si>
  <si>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</si>
  <si>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</si>
  <si>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</si>
  <si>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</si>
  <si>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</si>
  <si>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</si>
  <si>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</si>
  <si>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</si>
  <si>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</si>
  <si>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</si>
  <si>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</si>
  <si>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</si>
  <si>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</si>
  <si>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</si>
  <si>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</si>
  <si>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</si>
  <si>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</si>
  <si>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</si>
  <si>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</si>
  <si>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</si>
  <si>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</si>
  <si>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</si>
  <si>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</si>
  <si>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</si>
  <si>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</si>
  <si>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</si>
  <si>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</si>
  <si>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</si>
  <si>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</si>
  <si>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</si>
  <si>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</si>
  <si>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</si>
  <si>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</si>
  <si>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</si>
  <si>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</si>
  <si>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</si>
  <si>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</si>
  <si>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</si>
  <si>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</si>
  <si>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</si>
  <si>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</si>
  <si>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</si>
  <si>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</si>
  <si>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</si>
  <si>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</si>
  <si>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</si>
  <si>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</si>
  <si>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</si>
  <si>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</si>
  <si>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</si>
  <si>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</si>
  <si>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</si>
  <si>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</si>
  <si>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</si>
  <si>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</si>
  <si>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</si>
  <si>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</si>
  <si>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</si>
  <si>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</si>
  <si>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</si>
  <si>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</si>
  <si>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</si>
  <si>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</si>
  <si>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</si>
  <si>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</si>
  <si>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</si>
  <si>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</si>
  <si>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</si>
  <si>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</si>
  <si>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</si>
  <si>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</si>
  <si>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</si>
  <si>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</si>
  <si>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</si>
  <si>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</si>
  <si>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</si>
  <si>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</si>
  <si>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</si>
  <si>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</si>
  <si>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</si>
  <si>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</si>
  <si>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</si>
  <si>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</si>
  <si>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</si>
  <si>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</si>
  <si>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</si>
  <si>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</si>
  <si>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</si>
  <si>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</si>
  <si>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</si>
  <si>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</si>
  <si>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</si>
  <si>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</si>
  <si>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</si>
  <si>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</si>
  <si>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</si>
  <si>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</si>
  <si>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</si>
  <si>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</si>
  <si>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</si>
  <si>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</si>
  <si>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</si>
  <si>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</si>
  <si>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</si>
  <si>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</si>
  <si>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</si>
  <si>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</si>
  <si>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</si>
  <si>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</si>
  <si>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</si>
  <si>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</si>
  <si>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</si>
  <si>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</si>
  <si>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</si>
  <si>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</si>
  <si>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</si>
  <si>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</si>
  <si>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</si>
  <si>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</si>
  <si>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</si>
  <si>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</si>
  <si>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</si>
  <si>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</si>
  <si>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</si>
  <si>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</si>
  <si>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</si>
  <si>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</si>
  <si>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</si>
  <si>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</si>
  <si>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</si>
  <si>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</si>
  <si>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</si>
  <si>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</si>
  <si>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</si>
  <si>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</si>
  <si>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</si>
  <si>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</si>
  <si>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</si>
  <si>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</si>
  <si>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</si>
  <si>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</si>
  <si>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</si>
  <si>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</si>
  <si>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</si>
  <si>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</si>
  <si>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</si>
  <si>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</si>
  <si>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</si>
  <si>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</si>
  <si>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</si>
  <si>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</si>
  <si>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</si>
  <si>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</si>
  <si>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</si>
  <si>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</si>
  <si>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</si>
  <si>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</si>
  <si>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</si>
  <si>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</si>
  <si>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</si>
  <si>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</si>
  <si>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</si>
  <si>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</si>
  <si>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</si>
  <si>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</si>
  <si>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</si>
  <si>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</si>
  <si>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</si>
  <si>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</si>
  <si>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</si>
  <si>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</si>
  <si>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</si>
  <si>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</si>
  <si>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</si>
  <si>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</si>
  <si>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</si>
  <si>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</si>
  <si>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</si>
  <si>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</si>
  <si>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</si>
  <si>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</si>
  <si>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</si>
  <si>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</si>
  <si>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</si>
  <si>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</si>
  <si>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</si>
  <si>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</si>
  <si>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</si>
  <si>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</si>
  <si>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</si>
  <si>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</si>
  <si>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</si>
  <si>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</si>
  <si>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</si>
  <si>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</si>
  <si>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</si>
  <si>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</si>
  <si>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</si>
  <si>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</si>
  <si>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</si>
  <si>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</si>
  <si>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</si>
  <si>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</si>
  <si>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</si>
  <si>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</si>
  <si>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</si>
  <si>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</si>
  <si>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</si>
  <si>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</si>
  <si>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</si>
  <si>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</si>
  <si>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</si>
  <si>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</si>
  <si>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</si>
  <si>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</si>
  <si>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</si>
  <si>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</si>
  <si>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</si>
  <si>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</si>
  <si>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</si>
  <si>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</si>
  <si>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</si>
  <si>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</si>
  <si>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</si>
  <si>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</si>
  <si>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</si>
  <si>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</si>
  <si>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</si>
  <si>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</si>
  <si>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</si>
  <si>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</si>
  <si>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</si>
  <si>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</si>
  <si>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</si>
  <si>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</si>
  <si>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</si>
  <si>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</si>
  <si>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</si>
  <si>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</si>
  <si>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</si>
  <si>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</si>
  <si>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</si>
  <si>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</si>
  <si>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</si>
  <si>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</si>
  <si>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</si>
  <si>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</si>
  <si>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</si>
  <si>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</si>
  <si>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</si>
  <si>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</si>
  <si>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</si>
  <si>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</si>
  <si>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</si>
  <si>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</si>
  <si>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</si>
  <si>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</si>
  <si>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</si>
  <si>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</si>
  <si>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</si>
  <si>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</si>
  <si>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</si>
  <si>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</si>
  <si>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</si>
  <si>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</si>
  <si>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</si>
  <si>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</si>
  <si>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</si>
  <si>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</si>
  <si>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</si>
  <si>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</si>
  <si>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</si>
  <si>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</si>
  <si>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</si>
  <si>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</si>
  <si>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</si>
  <si>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</si>
  <si>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</si>
  <si>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</si>
  <si>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</si>
  <si>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</si>
  <si>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</si>
  <si>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</si>
  <si>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</si>
  <si>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</si>
  <si>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</si>
  <si>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</si>
  <si>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</si>
  <si>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</si>
  <si>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</si>
  <si>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</si>
  <si>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</si>
  <si>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</si>
  <si>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</si>
  <si>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</si>
  <si>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</si>
  <si>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</si>
  <si>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</si>
  <si>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</si>
  <si>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</si>
  <si>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</si>
  <si>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</si>
  <si>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</si>
  <si>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</si>
  <si>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</si>
  <si>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</si>
  <si>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</si>
  <si>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</si>
  <si>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</si>
  <si>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</si>
  <si>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</si>
  <si>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</si>
  <si>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</si>
  <si>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</si>
  <si>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</si>
  <si>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</si>
  <si>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</si>
  <si>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</si>
  <si>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</si>
  <si>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</si>
  <si>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</si>
  <si>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</si>
  <si>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</si>
  <si>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</si>
  <si>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</si>
  <si>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</si>
  <si>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</si>
  <si>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</si>
  <si>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</si>
  <si>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</si>
  <si>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</si>
  <si>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</si>
  <si>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</si>
  <si>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</si>
  <si>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</si>
  <si>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</si>
  <si>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</si>
  <si>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</si>
  <si>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</si>
  <si>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</si>
  <si>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</si>
  <si>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</si>
  <si>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</si>
  <si>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</si>
  <si>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</si>
  <si>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</si>
  <si>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</si>
  <si>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</si>
  <si>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</si>
  <si>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</si>
  <si>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</si>
  <si>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</si>
  <si>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</si>
  <si>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</si>
  <si>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</si>
  <si>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</si>
  <si>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</si>
  <si>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</si>
  <si>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</si>
  <si>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</si>
  <si>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</si>
  <si>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</si>
  <si>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</si>
  <si>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</si>
  <si>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</si>
  <si>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</si>
  <si>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</si>
  <si>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</si>
  <si>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</si>
  <si>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</si>
  <si>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</si>
  <si>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</si>
  <si>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</si>
  <si>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</si>
  <si>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</si>
  <si>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</si>
  <si>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</si>
  <si>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</si>
  <si>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</si>
  <si>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</si>
  <si>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</si>
  <si>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</si>
  <si>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</si>
  <si>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</si>
  <si>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</si>
  <si>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</si>
  <si>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</si>
  <si>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</si>
  <si>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</si>
  <si>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</si>
  <si>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</si>
  <si>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</si>
  <si>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</si>
  <si>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</si>
  <si>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</si>
  <si>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</si>
  <si>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</si>
  <si>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</si>
  <si>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</si>
  <si>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</si>
  <si>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</si>
  <si>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</si>
  <si>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</si>
  <si>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</si>
  <si>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</si>
  <si>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</si>
  <si>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</si>
  <si>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</si>
  <si>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</si>
  <si>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</si>
  <si>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</si>
  <si>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</si>
  <si>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</si>
  <si>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</si>
  <si>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</si>
  <si>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</si>
  <si>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</si>
  <si>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</si>
  <si>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</si>
  <si>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</si>
  <si>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</si>
  <si>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</si>
  <si>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</si>
  <si>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</si>
  <si>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</si>
  <si>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</si>
  <si>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</si>
  <si>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</si>
  <si>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</si>
  <si>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</si>
  <si>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</si>
  <si>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</si>
  <si>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</si>
  <si>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</si>
  <si>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</si>
  <si>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</si>
  <si>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</si>
  <si>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</si>
  <si>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</si>
  <si>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</si>
  <si>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</si>
  <si>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</si>
  <si>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</si>
  <si>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</si>
  <si>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</si>
  <si>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</si>
  <si>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</si>
  <si>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</si>
  <si>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</si>
  <si>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</si>
  <si>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</si>
  <si>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</si>
  <si>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</si>
  <si>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</si>
  <si>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</si>
  <si>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</si>
  <si>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</si>
  <si>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</si>
  <si>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</si>
  <si>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</si>
  <si>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</si>
  <si>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</si>
  <si>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</si>
  <si>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</si>
  <si>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</si>
  <si>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</si>
  <si>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</si>
  <si>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</si>
  <si>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</si>
  <si>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</si>
  <si>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</si>
  <si>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</si>
  <si>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</si>
  <si>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</si>
  <si>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</si>
  <si>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</si>
  <si>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</si>
  <si>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</si>
  <si>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</si>
  <si>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</si>
  <si>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</si>
  <si>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</si>
  <si>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</si>
  <si>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</si>
  <si>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</si>
  <si>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</si>
  <si>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</si>
  <si>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</si>
  <si>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</si>
  <si>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</si>
  <si>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</si>
  <si>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</si>
  <si>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</si>
  <si>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</si>
  <si>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</si>
  <si>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</si>
  <si>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</si>
  <si>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</si>
  <si>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</si>
  <si>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</si>
  <si>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</si>
  <si>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</si>
  <si>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</si>
  <si>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</si>
  <si>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</si>
  <si>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</si>
  <si>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</si>
  <si>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</si>
  <si>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</si>
  <si>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</si>
  <si>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</si>
  <si>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</si>
  <si>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</si>
  <si>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</si>
  <si>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</si>
  <si>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</si>
  <si>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</si>
  <si>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</si>
  <si>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</si>
  <si>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</si>
  <si>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</si>
  <si>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</si>
  <si>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</si>
  <si>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</si>
  <si>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</si>
  <si>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</si>
  <si>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</si>
  <si>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</si>
  <si>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</si>
  <si>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</si>
  <si>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</si>
  <si>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</si>
  <si>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</si>
  <si>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</si>
  <si>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</si>
  <si>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</si>
  <si>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</si>
  <si>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</si>
  <si>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</si>
  <si>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</si>
  <si>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</si>
  <si>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</si>
  <si>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</si>
  <si>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</si>
  <si>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</si>
  <si>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</si>
  <si>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</si>
  <si>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</si>
  <si>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</si>
  <si>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</si>
  <si>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</si>
  <si>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</si>
  <si>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</si>
  <si>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</si>
  <si>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</si>
  <si>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</si>
  <si>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</si>
  <si>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</si>
  <si>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</si>
  <si>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</si>
  <si>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</si>
  <si>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</si>
  <si>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</si>
  <si>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</si>
  <si>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</si>
  <si>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</si>
  <si>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</si>
  <si>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</si>
  <si>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</si>
  <si>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</si>
  <si>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</si>
  <si>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</si>
  <si>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</si>
  <si>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</si>
  <si>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</si>
  <si>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</si>
  <si>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</si>
  <si>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</si>
  <si>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</si>
  <si>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</si>
  <si>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</si>
  <si>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</si>
  <si>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</si>
  <si>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</si>
  <si>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</si>
  <si>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</si>
  <si>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</si>
  <si>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</si>
  <si>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</si>
  <si>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</si>
  <si>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</si>
  <si>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</si>
  <si>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</si>
  <si>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</si>
  <si>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</si>
  <si>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</si>
  <si>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</si>
  <si>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</si>
  <si>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</si>
  <si>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</si>
  <si>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</si>
  <si>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</si>
  <si>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</si>
  <si>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</si>
  <si>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</si>
  <si>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</si>
  <si>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</si>
  <si>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</si>
  <si>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</si>
  <si>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</si>
  <si>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</si>
  <si>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</si>
  <si>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</si>
  <si>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</si>
  <si>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</si>
  <si>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</si>
  <si>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</si>
  <si>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</si>
  <si>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</si>
  <si>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</si>
  <si>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</si>
  <si>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</si>
  <si>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</si>
  <si>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</si>
  <si>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</si>
  <si>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</si>
  <si>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</si>
  <si>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</si>
  <si>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</si>
  <si>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</si>
  <si>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</si>
  <si>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</si>
  <si>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</si>
  <si>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</si>
  <si>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</si>
  <si>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</si>
  <si>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</si>
  <si>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</si>
  <si>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</si>
  <si>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</si>
  <si>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</si>
  <si>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</si>
  <si>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</si>
  <si>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</si>
  <si>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</si>
  <si>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</si>
  <si>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</si>
  <si>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</si>
  <si>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</si>
  <si>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</si>
  <si>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</si>
  <si>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</si>
  <si>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</si>
  <si>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</si>
  <si>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</si>
  <si>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</si>
  <si>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</si>
  <si>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</si>
  <si>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</si>
  <si>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</si>
  <si>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</si>
  <si>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</si>
  <si>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</si>
  <si>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</si>
  <si>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</si>
  <si>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</si>
  <si>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</si>
  <si>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</si>
  <si>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</si>
  <si>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</si>
  <si>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</si>
  <si>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</si>
  <si>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</si>
  <si>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</si>
  <si>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</si>
  <si>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</si>
  <si>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</si>
  <si>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</si>
  <si>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</si>
  <si>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</si>
  <si>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</si>
  <si>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</si>
  <si>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</si>
  <si>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</si>
  <si>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</si>
  <si>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</si>
  <si>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</si>
  <si>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</si>
  <si>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</si>
  <si>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</si>
  <si>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</si>
  <si>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</si>
  <si>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</si>
  <si>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</si>
  <si>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</si>
  <si>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</si>
  <si>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</si>
  <si>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</si>
  <si>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</si>
  <si>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</si>
  <si>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</si>
  <si>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</si>
  <si>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</si>
  <si>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</si>
  <si>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</si>
  <si>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</si>
  <si>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</si>
  <si>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</si>
  <si>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</si>
  <si>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</si>
  <si>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</si>
  <si>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</si>
  <si>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</si>
  <si>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</si>
  <si>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</si>
  <si>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</si>
  <si>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</si>
  <si>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</si>
  <si>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</si>
  <si>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</si>
  <si>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</si>
  <si>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</si>
  <si>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</si>
  <si>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</si>
  <si>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</si>
  <si>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</si>
  <si>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</si>
  <si>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</si>
  <si>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</si>
  <si>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</si>
  <si>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</si>
  <si>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</si>
  <si>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</si>
  <si>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</si>
  <si>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</si>
  <si>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</si>
  <si>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</si>
  <si>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</si>
  <si>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</si>
  <si>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</si>
  <si>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</si>
  <si>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</si>
  <si>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</si>
  <si>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</si>
  <si>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</si>
  <si>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</si>
  <si>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</si>
  <si>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</si>
  <si>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</si>
  <si>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</si>
  <si>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</si>
  <si>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</si>
  <si>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</si>
  <si>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</si>
  <si>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</si>
  <si>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</si>
  <si>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</si>
  <si>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</si>
  <si>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</si>
  <si>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</si>
  <si>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</si>
  <si>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</si>
  <si>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</si>
  <si>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</si>
  <si>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</si>
  <si>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</si>
  <si>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</si>
  <si>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</si>
  <si>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</si>
  <si>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</si>
  <si>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</si>
  <si>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</si>
  <si>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</si>
  <si>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</si>
  <si>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</si>
  <si>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</si>
  <si>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</si>
  <si>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</si>
  <si>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</si>
  <si>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</si>
  <si>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</si>
  <si>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</si>
  <si>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</si>
  <si>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</si>
  <si>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</si>
  <si>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</si>
  <si>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</si>
  <si>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</si>
  <si>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</si>
  <si>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</si>
  <si>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</si>
  <si>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</si>
  <si>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</si>
  <si>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</si>
  <si>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</si>
  <si>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</si>
  <si>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</si>
  <si>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</si>
  <si>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</si>
  <si>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</si>
  <si>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</si>
  <si>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</si>
  <si>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</si>
  <si>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</si>
  <si>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</si>
  <si>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</si>
  <si>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</si>
  <si>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</si>
  <si>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</si>
  <si>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</si>
  <si>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</si>
  <si>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</si>
  <si>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</si>
  <si>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</si>
  <si>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</si>
  <si>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</si>
  <si>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</si>
  <si>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</si>
  <si>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</si>
  <si>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</si>
  <si>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</si>
  <si>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</si>
  <si>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</si>
  <si>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</si>
  <si>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</si>
  <si>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</si>
  <si>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</si>
  <si>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</si>
  <si>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</si>
  <si>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</si>
  <si>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</si>
  <si>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</si>
  <si>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</si>
  <si>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</si>
  <si>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</si>
  <si>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</si>
  <si>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</si>
  <si>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</si>
  <si>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</si>
  <si>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</si>
  <si>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</si>
  <si>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</si>
  <si>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</si>
  <si>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</si>
  <si>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</si>
  <si>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</si>
  <si>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</si>
  <si>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</si>
  <si>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</si>
  <si>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</si>
  <si>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</si>
  <si>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</si>
  <si>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</si>
  <si>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</si>
  <si>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</si>
  <si>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</si>
  <si>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</si>
  <si>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</si>
  <si>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</si>
  <si>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</si>
  <si>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</si>
  <si>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</si>
  <si>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</si>
  <si>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</si>
  <si>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</si>
  <si>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</si>
  <si>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</si>
  <si>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</si>
  <si>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</si>
  <si>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</si>
  <si>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</si>
  <si>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</si>
  <si>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</si>
  <si>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</si>
  <si>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</si>
  <si>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</si>
  <si>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</si>
  <si>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</si>
  <si>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</si>
  <si>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</si>
  <si>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</si>
  <si>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</si>
  <si>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</si>
  <si>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</si>
  <si>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</si>
  <si>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</si>
  <si>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</si>
  <si>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</si>
  <si>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</si>
  <si>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</si>
  <si>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</si>
  <si>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</si>
  <si>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</si>
  <si>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</si>
  <si>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</si>
  <si>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</si>
  <si>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</si>
  <si>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</si>
  <si>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</si>
  <si>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</si>
  <si>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</si>
  <si>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</si>
  <si>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</si>
  <si>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</si>
  <si>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</si>
  <si>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</si>
  <si>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</si>
  <si>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</si>
  <si>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</si>
  <si>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</si>
  <si>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</si>
  <si>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</si>
  <si>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</si>
  <si>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</si>
  <si>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</si>
  <si>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</si>
  <si>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</si>
  <si>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</si>
  <si>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</si>
  <si>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</si>
  <si>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</si>
  <si>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</si>
  <si>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</si>
  <si>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</si>
  <si>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</si>
  <si>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</si>
  <si>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</si>
  <si>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</si>
  <si>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</si>
  <si>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</si>
  <si>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</si>
  <si>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</si>
  <si>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</si>
  <si>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</si>
  <si>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</si>
  <si>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</si>
  <si>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</si>
  <si>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</si>
  <si>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</si>
  <si>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</si>
  <si>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</si>
  <si>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</si>
  <si>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</si>
  <si>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</si>
  <si>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</si>
  <si>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</si>
  <si>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</si>
  <si>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</si>
  <si>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</si>
  <si>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</si>
  <si>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</si>
  <si>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</si>
  <si>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</si>
  <si>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</si>
  <si>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</si>
  <si>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</si>
  <si>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</si>
  <si>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</si>
  <si>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</si>
  <si>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</si>
  <si>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</si>
  <si>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</si>
  <si>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</si>
  <si>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</si>
  <si>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</si>
  <si>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</si>
  <si>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</si>
  <si>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</si>
  <si>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</si>
  <si>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</si>
  <si>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</si>
  <si>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</si>
  <si>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</si>
  <si>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</si>
  <si>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</si>
  <si>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</si>
  <si>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</si>
  <si>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</si>
  <si>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</si>
  <si>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</si>
  <si>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</si>
  <si>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</si>
  <si>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</si>
  <si>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</si>
  <si>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</si>
  <si>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</si>
  <si>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</si>
  <si>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</si>
  <si>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</si>
  <si>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</si>
  <si>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</si>
  <si>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</si>
  <si>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</si>
  <si>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</si>
  <si>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</si>
  <si>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</si>
  <si>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</si>
  <si>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</si>
  <si>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</si>
  <si>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</si>
  <si>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</si>
  <si>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</si>
  <si>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</si>
  <si>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</si>
  <si>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</si>
  <si>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</si>
  <si>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</si>
  <si>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</si>
  <si>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</si>
  <si>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</si>
  <si>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</si>
  <si>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</si>
  <si>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</si>
  <si>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</si>
  <si>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</si>
  <si>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</si>
  <si>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</si>
  <si>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</si>
  <si>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</si>
  <si>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</si>
  <si>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</si>
  <si>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</si>
  <si>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</si>
  <si>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</si>
  <si>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</si>
  <si>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</si>
  <si>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</si>
  <si>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</si>
  <si>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</si>
  <si>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</si>
  <si>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</si>
  <si>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</si>
  <si>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</si>
  <si>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</si>
  <si>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</si>
  <si>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</si>
  <si>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</si>
  <si>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</si>
  <si>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</si>
  <si>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</si>
  <si>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</si>
  <si>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</si>
  <si>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</si>
  <si>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</si>
  <si>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</si>
  <si>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</si>
  <si>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</si>
  <si>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</si>
  <si>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</si>
  <si>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</si>
  <si>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</si>
  <si>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</si>
  <si>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</si>
  <si>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</si>
  <si>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</si>
  <si>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</si>
  <si>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</si>
  <si>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</si>
  <si>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</si>
  <si>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</si>
  <si>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</si>
  <si>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</si>
  <si>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</si>
  <si>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</si>
  <si>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</si>
  <si>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</si>
  <si>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</si>
  <si>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</si>
  <si>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</si>
  <si>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</si>
  <si>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</si>
  <si>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</si>
  <si>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</si>
  <si>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</si>
  <si>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</si>
  <si>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</si>
  <si>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</si>
  <si>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</si>
  <si>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</si>
  <si>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</si>
  <si>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</si>
  <si>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</si>
  <si>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</si>
  <si>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</si>
  <si>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</si>
  <si>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</si>
  <si>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</si>
  <si>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</si>
  <si>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</si>
  <si>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</si>
  <si>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</si>
  <si>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</si>
  <si>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</si>
  <si>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</si>
  <si>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</si>
  <si>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</si>
  <si>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</si>
  <si>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</si>
  <si>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</si>
  <si>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</si>
  <si>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</si>
  <si>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</si>
  <si>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</si>
  <si>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</si>
  <si>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</si>
  <si>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</si>
  <si>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</si>
  <si>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</si>
  <si>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</si>
  <si>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</si>
  <si>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</si>
  <si>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</si>
  <si>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</si>
  <si>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</si>
  <si>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</si>
  <si>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</si>
  <si>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</si>
  <si>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</si>
  <si>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</si>
  <si>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</si>
  <si>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</si>
  <si>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</si>
  <si>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</si>
  <si>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</si>
  <si>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</si>
  <si>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</si>
  <si>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</si>
  <si>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</si>
  <si>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</si>
  <si>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</si>
  <si>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</si>
  <si>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</si>
  <si>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</si>
  <si>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</si>
  <si>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</si>
  <si>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</si>
  <si>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</si>
  <si>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</si>
  <si>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</si>
  <si>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</si>
  <si>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</si>
  <si>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</si>
  <si>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</si>
  <si>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</si>
  <si>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</si>
  <si>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</si>
  <si>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</si>
  <si>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</si>
  <si>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</si>
  <si>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</si>
  <si>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</si>
  <si>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</si>
  <si>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</si>
  <si>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</si>
  <si>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</si>
  <si>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</si>
  <si>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</si>
  <si>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</si>
  <si>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</si>
  <si>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</si>
  <si>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</si>
  <si>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</si>
  <si>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</si>
  <si>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</si>
  <si>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</si>
  <si>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</si>
  <si>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</si>
  <si>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</si>
  <si>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</si>
  <si>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</si>
  <si>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</si>
  <si>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</si>
  <si>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</si>
  <si>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</si>
  <si>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</si>
  <si>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</si>
  <si>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</si>
  <si>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</si>
  <si>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</si>
  <si>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</si>
  <si>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</si>
  <si>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</si>
  <si>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</si>
  <si>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</si>
  <si>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</si>
  <si>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</si>
  <si>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</si>
  <si>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</si>
  <si>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</si>
  <si>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</si>
  <si>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</si>
  <si>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</si>
  <si>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</si>
  <si>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</si>
  <si>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</si>
  <si>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</si>
  <si>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</si>
  <si>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</si>
  <si>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</si>
  <si>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</si>
  <si>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</si>
  <si>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</si>
  <si>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</si>
  <si>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</si>
  <si>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</si>
  <si>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</si>
  <si>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</si>
  <si>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</si>
  <si>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</si>
  <si>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</si>
  <si>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</si>
  <si>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</si>
  <si>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</si>
  <si>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</si>
  <si>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</si>
  <si>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</si>
  <si>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</si>
  <si>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</si>
  <si>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</si>
  <si>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</si>
  <si>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</si>
  <si>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</si>
  <si>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</si>
  <si>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</si>
  <si>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</si>
  <si>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</si>
  <si>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</si>
  <si>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</si>
  <si>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</si>
  <si>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</si>
  <si>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</si>
  <si>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</si>
  <si>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</si>
  <si>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</si>
  <si>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</si>
  <si>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</si>
  <si>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</si>
  <si>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</si>
  <si>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</si>
  <si>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</si>
  <si>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</si>
  <si>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</si>
  <si>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</si>
  <si>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</si>
  <si>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</si>
  <si>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</si>
  <si>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</si>
  <si>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</si>
  <si>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</si>
  <si>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</si>
  <si>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</si>
  <si>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</si>
  <si>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</si>
  <si>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</si>
  <si>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</si>
  <si>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</si>
  <si>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</si>
  <si>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</si>
  <si>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</si>
  <si>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</si>
  <si>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</si>
  <si>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</si>
  <si>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</si>
  <si>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</si>
  <si>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</si>
  <si>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</si>
  <si>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</si>
  <si>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</si>
  <si>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</si>
  <si>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</si>
  <si>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</si>
  <si>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</si>
  <si>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</si>
  <si>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</si>
  <si>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</si>
  <si>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</si>
  <si>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</si>
  <si>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</si>
  <si>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</si>
  <si>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</si>
  <si>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</si>
  <si>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</si>
  <si>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</si>
  <si>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</si>
  <si>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</si>
  <si>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</si>
  <si>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</si>
  <si>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</si>
  <si>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</si>
  <si>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</si>
  <si>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</si>
  <si>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</si>
  <si>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</si>
  <si>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</si>
  <si>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</si>
  <si>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</si>
  <si>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</si>
  <si>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</si>
  <si>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</si>
  <si>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</si>
  <si>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</si>
  <si>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</si>
  <si>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</si>
  <si>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</si>
  <si>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</si>
  <si>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</si>
  <si>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</si>
  <si>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</si>
  <si>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</si>
  <si>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</si>
  <si>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</si>
  <si>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</si>
  <si>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</si>
  <si>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</si>
  <si>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</si>
  <si>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</si>
  <si>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</si>
  <si>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</si>
  <si>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</si>
  <si>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</si>
  <si>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</si>
  <si>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</si>
  <si>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</si>
  <si>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</si>
  <si>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</si>
  <si>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</si>
  <si>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</si>
  <si>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</si>
  <si>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</si>
  <si>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</si>
  <si>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</si>
  <si>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</si>
  <si>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</si>
  <si>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</si>
  <si>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</si>
  <si>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</si>
  <si>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</si>
  <si>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</si>
  <si>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</si>
  <si>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</si>
  <si>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</si>
  <si>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</si>
  <si>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</si>
  <si>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</si>
  <si>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</si>
  <si>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</si>
  <si>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</si>
  <si>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</si>
  <si>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</si>
  <si>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</si>
  <si>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</si>
  <si>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</si>
  <si>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</si>
  <si>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</si>
  <si>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</si>
  <si>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</si>
  <si>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</si>
  <si>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</si>
  <si>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</si>
  <si>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</si>
  <si>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</si>
  <si>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</si>
  <si>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</si>
  <si>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</si>
  <si>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</si>
  <si>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</si>
  <si>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</si>
  <si>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</si>
  <si>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</si>
  <si>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</si>
  <si>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</si>
  <si>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</si>
  <si>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</si>
  <si>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</si>
  <si>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</si>
  <si>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</si>
  <si>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</si>
  <si>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</si>
  <si>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</si>
  <si>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</si>
  <si>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</si>
  <si>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</si>
  <si>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</si>
  <si>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</si>
  <si>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</si>
  <si>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</si>
  <si>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</si>
  <si>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</si>
  <si>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</si>
  <si>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</si>
  <si>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</si>
  <si>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</si>
  <si>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</si>
  <si>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</si>
  <si>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</si>
  <si>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</si>
  <si>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</si>
  <si>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</si>
  <si>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</si>
  <si>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</si>
  <si>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</si>
  <si>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</si>
  <si>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</si>
  <si>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</si>
  <si>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</si>
  <si>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</si>
  <si>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</si>
  <si>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</si>
  <si>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</si>
  <si>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</si>
  <si>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</si>
  <si>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</si>
  <si>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</si>
  <si>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</si>
  <si>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</si>
  <si>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</si>
  <si>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</si>
  <si>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</si>
  <si>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</si>
  <si>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</si>
  <si>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</si>
  <si>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</si>
  <si>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</si>
  <si>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</si>
  <si>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</si>
  <si>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</si>
  <si>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</si>
  <si>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</si>
  <si>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</si>
  <si>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</si>
  <si>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</si>
  <si>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</si>
  <si>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</si>
  <si>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</si>
  <si>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</si>
  <si>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</si>
  <si>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</si>
  <si>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</si>
  <si>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</si>
  <si>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</si>
  <si>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</si>
  <si>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</si>
  <si>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</si>
  <si>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</si>
  <si>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</si>
  <si>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</si>
  <si>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</si>
  <si>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</si>
  <si>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</si>
  <si>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</si>
  <si>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</si>
  <si>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</si>
  <si>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</si>
  <si>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</si>
  <si>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</si>
  <si>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</si>
  <si>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</si>
  <si>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</si>
  <si>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</si>
  <si>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</si>
  <si>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</si>
  <si>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</si>
  <si>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</si>
  <si>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</si>
  <si>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</si>
  <si>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</si>
  <si>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</si>
  <si>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</si>
  <si>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</si>
  <si>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</si>
  <si>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</si>
  <si>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</si>
  <si>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</si>
  <si>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</si>
  <si>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</si>
  <si>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</si>
  <si>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</si>
  <si>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</si>
  <si>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</si>
  <si>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</si>
  <si>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</si>
  <si>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</si>
  <si>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</si>
  <si>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</si>
  <si>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</si>
  <si>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</si>
  <si>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</si>
  <si>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</si>
  <si>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</si>
  <si>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</si>
  <si>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</si>
  <si>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</si>
  <si>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</si>
  <si>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</si>
  <si>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</si>
  <si>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</si>
  <si>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</si>
  <si>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</si>
  <si>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</si>
  <si>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</si>
  <si>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</si>
  <si>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</si>
  <si>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</si>
  <si>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</si>
  <si>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</si>
  <si>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</si>
  <si>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</si>
  <si>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</si>
  <si>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</si>
  <si>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</si>
  <si>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</si>
  <si>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</si>
  <si>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</si>
  <si>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</si>
  <si>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</si>
  <si>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</si>
  <si>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</si>
  <si>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</si>
  <si>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</si>
  <si>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</si>
  <si>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</si>
  <si>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</si>
  <si>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</si>
  <si>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</si>
  <si>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</si>
  <si>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</si>
  <si>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</si>
  <si>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</si>
  <si>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</si>
  <si>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</si>
  <si>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</si>
  <si>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</si>
  <si>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</si>
  <si>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</si>
  <si>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</si>
  <si>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</si>
  <si>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</si>
  <si>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</si>
  <si>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</si>
  <si>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</si>
  <si>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</si>
  <si>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</si>
  <si>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</si>
  <si>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</si>
  <si>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</si>
  <si>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</si>
  <si>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</si>
  <si>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</si>
  <si>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</si>
  <si>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</si>
  <si>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</si>
  <si>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</si>
  <si>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</si>
  <si>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</si>
  <si>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</si>
  <si>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</si>
  <si>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</si>
  <si>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</si>
  <si>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</si>
  <si>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</si>
  <si>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</si>
  <si>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</si>
  <si>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</si>
  <si>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</si>
  <si>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</si>
  <si>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</si>
  <si>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</si>
  <si>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</si>
  <si>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</si>
  <si>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</si>
  <si>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</si>
  <si>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</si>
  <si>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</si>
  <si>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</si>
  <si>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</si>
  <si>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</si>
  <si>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</si>
  <si>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</si>
  <si>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</si>
  <si>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</si>
  <si>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</si>
  <si>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</si>
  <si>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</si>
  <si>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</si>
  <si>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</si>
  <si>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</si>
  <si>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</si>
  <si>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</si>
  <si>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</si>
  <si>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</si>
  <si>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</si>
  <si>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</si>
  <si>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</si>
  <si>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</si>
  <si>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</si>
  <si>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</si>
  <si>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</si>
  <si>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</si>
  <si>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</si>
  <si>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</si>
  <si>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</si>
  <si>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</si>
  <si>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</si>
  <si>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</si>
  <si>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</si>
  <si>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</si>
  <si>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</si>
  <si>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</si>
  <si>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</si>
  <si>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</si>
  <si>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</si>
  <si>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</si>
  <si>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</si>
  <si>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</si>
  <si>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</si>
  <si>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</si>
  <si>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</si>
  <si>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</si>
  <si>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</si>
  <si>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</si>
  <si>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</si>
  <si>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</si>
  <si>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</si>
  <si>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</si>
  <si>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</si>
  <si>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</si>
  <si>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</si>
  <si>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</si>
  <si>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</si>
  <si>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</si>
  <si>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</si>
  <si>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</si>
  <si>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</si>
  <si>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</si>
  <si>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</si>
  <si>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</si>
  <si>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</si>
  <si>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</si>
  <si>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</si>
  <si>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</si>
  <si>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</si>
  <si>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</si>
  <si>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</si>
  <si>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</si>
  <si>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</si>
  <si>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</si>
  <si>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</si>
  <si>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</si>
  <si>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</si>
  <si>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</si>
  <si>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</si>
  <si>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</si>
  <si>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</si>
  <si>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</si>
  <si>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</si>
  <si>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</si>
  <si>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</si>
  <si>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</si>
  <si>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</si>
  <si>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</si>
  <si>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</si>
  <si>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</si>
  <si>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</si>
  <si>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</si>
  <si>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</si>
  <si>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</si>
  <si>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</si>
  <si>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</si>
  <si>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</si>
  <si>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</si>
  <si>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</si>
  <si>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</si>
  <si>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</si>
  <si>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</si>
  <si>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</si>
  <si>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</si>
  <si>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</si>
  <si>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</si>
  <si>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</si>
  <si>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</si>
  <si>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</si>
  <si>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</si>
  <si>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</si>
  <si>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</si>
  <si>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</si>
  <si>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</si>
  <si>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</si>
  <si>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</si>
  <si>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</si>
  <si>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</si>
  <si>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</si>
  <si>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</si>
  <si>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</si>
  <si>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</si>
  <si>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</si>
  <si>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</si>
  <si>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</si>
  <si>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</si>
  <si>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</si>
  <si>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</si>
  <si>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</si>
  <si>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</si>
  <si>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</si>
  <si>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</si>
  <si>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</si>
  <si>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</si>
  <si>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</si>
  <si>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</si>
  <si>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</si>
  <si>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</si>
  <si>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</si>
  <si>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</si>
  <si>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</si>
  <si>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</si>
  <si>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</si>
  <si>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</si>
  <si>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</si>
  <si>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</si>
  <si>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</si>
  <si>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</si>
  <si>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</si>
  <si>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</si>
  <si>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</si>
  <si>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</si>
  <si>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</si>
  <si>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</si>
  <si>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</si>
  <si>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</si>
  <si>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</si>
  <si>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</si>
  <si>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</si>
  <si>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</si>
  <si>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</si>
  <si>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</si>
  <si>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</si>
  <si>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</si>
  <si>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</si>
  <si>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</si>
  <si>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</si>
  <si>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</si>
  <si>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</si>
  <si>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</si>
  <si>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</si>
  <si>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</si>
  <si>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</si>
  <si>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</si>
  <si>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</si>
  <si>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</si>
  <si>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</si>
  <si>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</si>
  <si>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</si>
  <si>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</si>
  <si>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</si>
  <si>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</si>
  <si>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</si>
  <si>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</si>
  <si>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</si>
  <si>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</si>
  <si>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</si>
  <si>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</si>
  <si>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</si>
  <si>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</si>
  <si>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</si>
  <si>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</si>
  <si>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</si>
  <si>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</si>
  <si>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</si>
  <si>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</si>
  <si>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</si>
  <si>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</si>
  <si>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</si>
  <si>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</si>
  <si>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</si>
  <si>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</si>
  <si>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</si>
  <si>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</si>
  <si>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</si>
  <si>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</si>
  <si>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</si>
  <si>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</si>
  <si>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</si>
  <si>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</si>
  <si>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</si>
  <si>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</si>
  <si>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</si>
  <si>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</si>
  <si>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</si>
  <si>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</si>
  <si>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</si>
  <si>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</si>
  <si>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</si>
  <si>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</si>
  <si>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</si>
  <si>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</si>
  <si>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</si>
  <si>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</si>
  <si>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</si>
  <si>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</si>
  <si>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</si>
  <si>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</si>
  <si>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</si>
  <si>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</si>
  <si>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</si>
  <si>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</si>
  <si>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</si>
  <si>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</si>
  <si>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</si>
  <si>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</si>
  <si>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</si>
  <si>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</si>
  <si>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</si>
  <si>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</si>
  <si>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</si>
  <si>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</si>
  <si>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</si>
  <si>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</si>
  <si>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</si>
  <si>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</si>
  <si>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</si>
  <si>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</si>
  <si>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</si>
  <si>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</si>
  <si>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</si>
  <si>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</si>
  <si>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</si>
  <si>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</si>
  <si>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</si>
  <si>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</si>
  <si>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</si>
  <si>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</si>
  <si>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</si>
  <si>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</si>
  <si>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</si>
  <si>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</si>
  <si>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</si>
  <si>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</si>
  <si>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</si>
  <si>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</si>
  <si>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</si>
  <si>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</si>
  <si>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</si>
  <si>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</si>
  <si>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</si>
  <si>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</si>
  <si>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</si>
  <si>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</si>
  <si>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</si>
  <si>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</si>
  <si>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</si>
  <si>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</si>
  <si>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</si>
  <si>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</si>
  <si>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</si>
  <si>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</si>
  <si>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</si>
  <si>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</si>
  <si>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</si>
  <si>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</si>
  <si>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</si>
  <si>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</si>
  <si>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</si>
  <si>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</si>
  <si>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</si>
  <si>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</si>
  <si>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</si>
  <si>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</si>
  <si>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</si>
  <si>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</si>
  <si>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</si>
  <si>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</si>
  <si>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</si>
  <si>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</si>
  <si>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</si>
  <si>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</si>
  <si>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</si>
  <si>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</si>
  <si>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</si>
  <si>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</si>
  <si>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</si>
  <si>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</si>
  <si>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</si>
  <si>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</si>
  <si>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</si>
  <si>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</si>
  <si>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</si>
  <si>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</si>
  <si>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</si>
  <si>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</si>
  <si>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</si>
  <si>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</si>
  <si>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</si>
  <si>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</si>
  <si>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</si>
  <si>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</si>
  <si>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</si>
  <si>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</si>
  <si>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</si>
  <si>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</si>
  <si>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</si>
  <si>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</si>
  <si>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</si>
  <si>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</si>
  <si>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</si>
  <si>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</si>
  <si>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</si>
  <si>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</si>
  <si>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</si>
  <si>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</si>
  <si>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</si>
  <si>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</si>
  <si>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</si>
  <si>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</si>
  <si>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</si>
  <si>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</si>
  <si>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</si>
  <si>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</si>
  <si>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</si>
  <si>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</si>
  <si>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</si>
  <si>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</si>
  <si>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</si>
  <si>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</si>
  <si>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</si>
  <si>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</si>
  <si>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</si>
  <si>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</si>
  <si>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</si>
  <si>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</si>
  <si>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</si>
  <si>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</si>
  <si>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</si>
  <si>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</si>
  <si>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</si>
  <si>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</si>
  <si>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</si>
  <si>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</si>
  <si>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</si>
  <si>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</si>
  <si>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</si>
  <si>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</si>
  <si>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</si>
  <si>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</si>
  <si>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</si>
  <si>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</si>
  <si>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</si>
  <si>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</si>
  <si>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</si>
  <si>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</si>
  <si>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</si>
  <si>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</si>
  <si>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</si>
  <si>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</si>
  <si>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</si>
  <si>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</si>
  <si>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</si>
  <si>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</si>
  <si>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</si>
  <si>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</si>
  <si>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</si>
  <si>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</si>
  <si>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</si>
  <si>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</si>
  <si>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</si>
  <si>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</si>
  <si>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</si>
  <si>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</si>
  <si>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</si>
  <si>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</si>
  <si>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</si>
  <si>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</si>
  <si>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</si>
  <si>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</si>
  <si>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</si>
  <si>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</si>
  <si>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</si>
  <si>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</si>
  <si>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</si>
  <si>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</si>
  <si>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</si>
  <si>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</si>
  <si>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</si>
  <si>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</si>
  <si>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</si>
  <si>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</si>
  <si>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</si>
  <si>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</si>
  <si>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</si>
  <si>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</si>
  <si>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</si>
  <si>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</si>
  <si>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</si>
  <si>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</si>
  <si>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</si>
  <si>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</si>
  <si>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</si>
  <si>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</si>
  <si>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</si>
  <si>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</si>
  <si>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</si>
  <si>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</si>
  <si>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</si>
  <si>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</si>
  <si>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</si>
  <si>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</si>
  <si>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</si>
  <si>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</si>
  <si>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</si>
  <si>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</si>
  <si>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</si>
  <si>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</si>
  <si>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</si>
  <si>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</si>
  <si>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</si>
  <si>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</si>
  <si>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</si>
  <si>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</si>
  <si>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</si>
  <si>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</si>
  <si>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</si>
  <si>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</si>
  <si>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</si>
  <si>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</si>
  <si>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</si>
  <si>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</si>
  <si>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</si>
  <si>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</si>
  <si>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</si>
  <si>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</si>
  <si>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</si>
  <si>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</si>
  <si>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</si>
  <si>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</si>
  <si>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</si>
  <si>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</si>
  <si>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</si>
  <si>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</si>
  <si>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</si>
  <si>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</si>
  <si>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</si>
  <si>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</si>
  <si>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</si>
  <si>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</si>
  <si>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</si>
  <si>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</si>
  <si>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</si>
  <si>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</si>
  <si>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</si>
  <si>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</si>
  <si>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</si>
  <si>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</si>
  <si>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</si>
  <si>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</si>
  <si>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</si>
  <si>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</si>
  <si>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</si>
  <si>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</si>
  <si>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</si>
  <si>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</si>
  <si>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</si>
  <si>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</si>
  <si>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</si>
  <si>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</si>
  <si>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</si>
  <si>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</si>
  <si>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</si>
  <si>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</si>
  <si>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</si>
  <si>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</si>
  <si>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</si>
  <si>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</si>
  <si>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</si>
  <si>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</si>
  <si>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</si>
  <si>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</si>
  <si>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</si>
  <si>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</si>
  <si>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</si>
  <si>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</si>
  <si>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</si>
  <si>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</si>
  <si>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</si>
  <si>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</si>
  <si>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</si>
  <si>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</si>
  <si>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</si>
  <si>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</si>
  <si>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</si>
  <si>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</si>
  <si>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</si>
  <si>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</si>
  <si>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</si>
  <si>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</si>
  <si>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</si>
  <si>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</si>
  <si>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</si>
  <si>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</si>
  <si>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</si>
  <si>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</si>
  <si>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</si>
  <si>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</si>
  <si>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</si>
  <si>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</si>
  <si>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</si>
  <si>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</si>
  <si>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</si>
  <si>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</si>
  <si>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</si>
  <si>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</si>
  <si>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</si>
  <si>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</si>
  <si>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</si>
  <si>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</si>
  <si>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</si>
  <si>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</si>
  <si>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</si>
  <si>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</si>
  <si>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</si>
  <si>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</si>
  <si>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</si>
  <si>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</si>
  <si>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</si>
  <si>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</si>
  <si>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</si>
  <si>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</si>
  <si>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</si>
  <si>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</si>
  <si>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</si>
  <si>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</si>
  <si>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</si>
  <si>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</si>
  <si>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</si>
  <si>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</si>
  <si>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</si>
  <si>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</si>
  <si>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</si>
  <si>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</si>
  <si>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</si>
  <si>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</si>
  <si>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</si>
  <si>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</si>
  <si>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</si>
  <si>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</si>
  <si>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</si>
  <si>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</si>
  <si>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</si>
  <si>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</si>
  <si>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</si>
  <si>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</si>
  <si>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</si>
  <si>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</si>
  <si>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</si>
  <si>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</si>
  <si>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</si>
  <si>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</si>
  <si>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</si>
  <si>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</si>
  <si>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</si>
  <si>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</si>
  <si>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</si>
  <si>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</si>
  <si>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</si>
  <si>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</si>
  <si>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</si>
  <si>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</si>
  <si>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</si>
  <si>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</si>
  <si>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</si>
  <si>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</si>
  <si>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</si>
  <si>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</si>
  <si>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</si>
  <si>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</si>
  <si>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</si>
  <si>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</si>
  <si>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</si>
  <si>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</si>
  <si>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</si>
  <si>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</si>
  <si>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</si>
  <si>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</si>
  <si>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</si>
  <si>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</si>
  <si>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</si>
  <si>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</si>
  <si>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</si>
  <si>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</si>
  <si>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</si>
  <si>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</si>
  <si>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</si>
  <si>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</si>
  <si>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</si>
  <si>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</si>
  <si>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</si>
  <si>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1 (8.62)</t>
  </si>
  <si>
    <t>synthpop</t>
  </si>
  <si>
    <t>26 álbumes · media 8.31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</si>
  <si>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</si>
  <si>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</si>
  <si>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</si>
  <si>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</si>
  <si>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</si>
  <si>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</si>
  <si>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</si>
  <si>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</si>
  <si>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</si>
  <si>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</si>
  <si>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</si>
  <si>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</si>
  <si>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</si>
  <si>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</si>
  <si>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</si>
  <si>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</si>
  <si>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</si>
  <si>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</si>
  <si>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</si>
  <si>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</si>
  <si>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21 álbumes · media 8.62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</si>
  <si>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</si>
  <si>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</si>
  <si>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</si>
  <si>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</si>
  <si>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</si>
  <si>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</si>
  <si>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</si>
  <si>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</si>
  <si>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</si>
  <si>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</si>
  <si>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</si>
  <si>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</si>
  <si>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</si>
  <si>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</si>
  <si>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</si>
  <si>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</si>
  <si>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</si>
  <si>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</si>
  <si>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</si>
  <si>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</si>
  <si>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</si>
  <si>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</si>
  <si>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</si>
  <si>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</si>
  <si>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r=-0.268 · ↓ débil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</si>
  <si>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</si>
  <si>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</si>
  <si>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</si>
  <si>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</si>
  <si>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</si>
  <si>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</si>
  <si>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</si>
  <si>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</si>
  <si>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</si>
  <si>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</si>
  <si>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</si>
  <si>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</si>
  <si>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</si>
  <si>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</si>
  <si>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8   (0.55%)</t>
  </si>
  <si>
    <t>5 (8.69)</t>
  </si>
  <si>
    <t>2 (8.64)</t>
  </si>
  <si>
    <t>2000s (36)</t>
  </si>
  <si>
    <t>36 álbumes · media 8.69</t>
  </si>
  <si>
    <t>r=0.018 · ≈ nula</t>
  </si>
  <si>
    <t>Duración   (r=0.018)</t>
  </si>
  <si>
    <t>1983 - 2021</t>
  </si>
  <si>
    <t>6 (8.82)</t>
  </si>
  <si>
    <t>10 álbumes · media 8.95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</si>
  <si>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</si>
  <si>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</si>
  <si>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</si>
  <si>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</si>
  <si>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</si>
  <si>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</si>
  <si>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</si>
  <si>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</si>
  <si>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</si>
  <si>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</si>
  <si>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</si>
  <si>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</si>
  <si>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</si>
  <si>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t>8 (×320)</t>
  </si>
  <si>
    <t>-0.76 ← sesgo alto</t>
  </si>
  <si>
    <t>4.01 ← colas pesadas</t>
  </si>
  <si>
    <t>24   (1.65%)</t>
  </si>
  <si>
    <t>202   (13.88%)</t>
  </si>
  <si>
    <t>623   (42.82%)</t>
  </si>
  <si>
    <t>345  (23.71%)</t>
  </si>
  <si>
    <t>253(17.39%)</t>
  </si>
  <si>
    <t>138 de 139</t>
  </si>
  <si>
    <t>r=-0.16   · ≈ nula</t>
  </si>
  <si>
    <t>r=0.153 · ≈ nula</t>
  </si>
  <si>
    <t>r=0.149 · ≈ nula</t>
  </si>
  <si>
    <t>r=-0.159         · ≈ nula</t>
  </si>
  <si>
    <t>r=0.596      · ↑ moderada</t>
  </si>
  <si>
    <t>Notas ≥10 (r=0.596)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</si>
</sst>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2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</fonts>
  <fills count="2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A3DC81"/>
        <bgColor indexed="64"/>
      </patternFill>
    </fill>
    <fill>
      <patternFill patternType="solid">
        <fgColor rgb="FFCFA21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20" fillId="15" borderId="1" xfId="0" applyFont="1" applyFill="1" applyBorder="1" applyAlignment="1">
      <alignment vertical="center"/>
    </xf>
    <xf numFmtId="0" fontId="26" fillId="209" borderId="0" xfId="0" applyFont="1" applyFill="1" applyAlignment="1">
      <alignment horizontal="center"/>
    </xf>
    <xf numFmtId="0" fontId="222" fillId="210" borderId="1" xfId="0" applyFont="1" applyFill="1" applyBorder="1" applyAlignment="1">
      <alignment vertical="center"/>
    </xf>
  </cellXfs>
  <cellStyles count="1">
    <cellStyle name="Normal" xfId="0" builtinId="0"/>
  </cellStyles>
  <dxfs count="995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FA213"/>
      <color rgb="FFA27C02"/>
      <color rgb="FF533F01"/>
      <color rgb="FFFFFFF3"/>
      <color rgb="FF61D59E"/>
      <color rgb="FF0F3F55"/>
      <color rgb="FFEA0000"/>
      <color rgb="FF00CC99"/>
      <color rgb="FFFF0066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90" zoomScaleNormal="90" workbookViewId="0">
      <pane ySplit="1" topLeftCell="A337" activePane="bottomLeft" state="frozen"/>
      <selection pane="bottomLeft" activeCell="I358" sqref="I358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09" t="s">
        <v>1351</v>
      </c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309"/>
      <c r="AE1" s="309"/>
      <c r="AH1" s="309" t="s">
        <v>1043</v>
      </c>
      <c r="AI1" s="309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2061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1985</v>
      </c>
      <c r="AD2" s="48" t="s">
        <v>1986</v>
      </c>
      <c r="AE2" s="48" t="s">
        <v>2176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1937</v>
      </c>
      <c r="AE3" s="296" t="s">
        <v>2236</v>
      </c>
      <c r="AH3" s="65" t="s">
        <v>1045</v>
      </c>
      <c r="AI3" s="131">
        <v>139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1938</v>
      </c>
      <c r="AE4" s="297" t="s">
        <v>2247</v>
      </c>
      <c r="AH4" s="49" t="s">
        <v>1046</v>
      </c>
      <c r="AI4" s="132">
        <v>89</v>
      </c>
      <c r="AK4" s="40"/>
      <c r="AL4" s="39">
        <v>10</v>
      </c>
      <c r="AM4" s="1" t="s">
        <v>1808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1939</v>
      </c>
      <c r="AE5" s="296" t="s">
        <v>2215</v>
      </c>
      <c r="AH5" s="65" t="s">
        <v>1047</v>
      </c>
      <c r="AI5" s="131">
        <v>1520</v>
      </c>
      <c r="AK5" s="44"/>
      <c r="AL5" s="39" t="s">
        <v>242</v>
      </c>
      <c r="AM5" s="1" t="s">
        <v>1809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1940</v>
      </c>
      <c r="AE6" s="297" t="s">
        <v>2198</v>
      </c>
      <c r="AH6" s="49" t="s">
        <v>1048</v>
      </c>
      <c r="AI6" s="132">
        <v>1455</v>
      </c>
      <c r="AK6" s="43"/>
      <c r="AL6" s="39" t="s">
        <v>243</v>
      </c>
      <c r="AM6" s="1" t="s">
        <v>1810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1814</v>
      </c>
      <c r="AC7" s="66">
        <v>2026</v>
      </c>
      <c r="AD7" s="66" t="s">
        <v>1937</v>
      </c>
      <c r="AE7" s="296" t="s">
        <v>2232</v>
      </c>
      <c r="AH7" s="65" t="s">
        <v>333</v>
      </c>
      <c r="AI7" s="131">
        <v>65</v>
      </c>
      <c r="AK7" s="41"/>
      <c r="AL7" s="39" t="s">
        <v>244</v>
      </c>
      <c r="AM7" s="1" t="s">
        <v>1811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1940</v>
      </c>
      <c r="AE8" s="297" t="s">
        <v>2245</v>
      </c>
      <c r="AH8" s="49" t="s">
        <v>1049</v>
      </c>
      <c r="AI8" s="132">
        <v>10.94</v>
      </c>
      <c r="AK8" s="47"/>
      <c r="AL8" s="39" t="s">
        <v>322</v>
      </c>
      <c r="AM8" s="1" t="s">
        <v>1812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1941</v>
      </c>
      <c r="AE9" s="296" t="s">
        <v>2212</v>
      </c>
      <c r="AH9" s="65" t="s">
        <v>1050</v>
      </c>
      <c r="AI9" s="161">
        <v>4.2799999999999998E-2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1942</v>
      </c>
      <c r="AE10" s="297" t="s">
        <v>2229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1943</v>
      </c>
      <c r="AE11" s="296" t="s">
        <v>2229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1944</v>
      </c>
      <c r="AE12" s="297" t="s">
        <v>2211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1945</v>
      </c>
      <c r="AE13" s="296" t="s">
        <v>2226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1940</v>
      </c>
      <c r="AE14" s="297" t="s">
        <v>2244</v>
      </c>
      <c r="AH14" s="49" t="s">
        <v>1054</v>
      </c>
      <c r="AI14" s="132" t="s">
        <v>2384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1946</v>
      </c>
      <c r="AE15" s="296" t="s">
        <v>2245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2084</v>
      </c>
      <c r="T16" s="67" t="s">
        <v>2077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2086</v>
      </c>
      <c r="AC16" s="67">
        <v>1970</v>
      </c>
      <c r="AD16" s="67" t="s">
        <v>1945</v>
      </c>
      <c r="AE16" s="297" t="s">
        <v>2183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1947</v>
      </c>
      <c r="AE17" s="296" t="s">
        <v>2245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1948</v>
      </c>
      <c r="AE18" s="297" t="s">
        <v>2240</v>
      </c>
      <c r="AH18" s="49" t="s">
        <v>1057</v>
      </c>
      <c r="AI18" s="133">
        <v>0.1215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1949</v>
      </c>
      <c r="AE19" s="296" t="s">
        <v>2216</v>
      </c>
      <c r="AH19" s="65" t="s">
        <v>1058</v>
      </c>
      <c r="AI19" s="131" t="s">
        <v>1829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1950</v>
      </c>
      <c r="AE20" s="297" t="s">
        <v>2245</v>
      </c>
      <c r="AH20" s="49" t="s">
        <v>1059</v>
      </c>
      <c r="AI20" s="132" t="s">
        <v>1865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1938</v>
      </c>
      <c r="AE21" s="296" t="s">
        <v>2246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1940</v>
      </c>
      <c r="AE22" s="297" t="s">
        <v>2246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1951</v>
      </c>
      <c r="AE23" s="296" t="s">
        <v>2238</v>
      </c>
      <c r="AH23" s="65" t="s">
        <v>1061</v>
      </c>
      <c r="AI23" s="131" t="s">
        <v>2385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1948</v>
      </c>
      <c r="AE24" s="297" t="s">
        <v>2230</v>
      </c>
      <c r="AH24" s="49" t="s">
        <v>1062</v>
      </c>
      <c r="AI24" s="132" t="s">
        <v>2386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1937</v>
      </c>
      <c r="AE25" s="296" t="s">
        <v>2222</v>
      </c>
      <c r="AK25" t="s">
        <v>1813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1952</v>
      </c>
      <c r="AE26" s="297" t="s">
        <v>2246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1953</v>
      </c>
      <c r="AE27" s="296" t="s">
        <v>2244</v>
      </c>
      <c r="AH27" s="65" t="s">
        <v>1064</v>
      </c>
      <c r="AI27" s="131" t="s">
        <v>2361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1900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1954</v>
      </c>
      <c r="AE28" s="297" t="s">
        <v>2214</v>
      </c>
      <c r="AH28" s="49" t="s">
        <v>1065</v>
      </c>
      <c r="AI28" s="132" t="s">
        <v>2387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1955</v>
      </c>
      <c r="AE29" s="296" t="s">
        <v>2233</v>
      </c>
      <c r="AH29" s="65" t="s">
        <v>1066</v>
      </c>
      <c r="AI29" s="131" t="s">
        <v>2388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1956</v>
      </c>
      <c r="AE30" s="297" t="s">
        <v>2218</v>
      </c>
      <c r="AH30" s="49" t="s">
        <v>1067</v>
      </c>
      <c r="AI30" s="132" t="s">
        <v>2389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1957</v>
      </c>
      <c r="AE31" s="296" t="s">
        <v>2239</v>
      </c>
      <c r="AH31" s="65" t="s">
        <v>1068</v>
      </c>
      <c r="AI31" s="131" t="s">
        <v>2390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1574</v>
      </c>
      <c r="T32" s="67" t="s">
        <v>1575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1576</v>
      </c>
      <c r="AC32" s="67">
        <v>2017</v>
      </c>
      <c r="AD32" s="67" t="s">
        <v>1946</v>
      </c>
      <c r="AE32" s="297" t="s">
        <v>2199</v>
      </c>
      <c r="AH32" s="49" t="s">
        <v>1069</v>
      </c>
      <c r="AI32" s="132" t="s">
        <v>2391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1843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1958</v>
      </c>
      <c r="AE33" s="296" t="s">
        <v>2188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1641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1658</v>
      </c>
      <c r="AC34" s="67">
        <v>2000</v>
      </c>
      <c r="AD34" s="67" t="s">
        <v>1945</v>
      </c>
      <c r="AE34" s="297" t="s">
        <v>2197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1880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1881</v>
      </c>
      <c r="AC35" s="66">
        <v>2003</v>
      </c>
      <c r="AD35" s="66" t="s">
        <v>1959</v>
      </c>
      <c r="AE35" s="296" t="s">
        <v>2186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1352</v>
      </c>
      <c r="T36" s="67" t="s">
        <v>1343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1356</v>
      </c>
      <c r="AC36" s="67">
        <v>2025</v>
      </c>
      <c r="AD36" s="67" t="s">
        <v>1963</v>
      </c>
      <c r="AE36" s="297" t="s">
        <v>2209</v>
      </c>
      <c r="AH36" s="49" t="s">
        <v>1073</v>
      </c>
      <c r="AI36" s="132" t="s">
        <v>1830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1192</v>
      </c>
      <c r="T37" s="66" t="s">
        <v>2140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1576</v>
      </c>
      <c r="AC37" s="66">
        <v>2013</v>
      </c>
      <c r="AD37" s="66" t="s">
        <v>2143</v>
      </c>
      <c r="AE37" s="296" t="s">
        <v>2181</v>
      </c>
      <c r="AH37" s="65" t="s">
        <v>1074</v>
      </c>
      <c r="AI37" s="131" t="s">
        <v>2047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1573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1576</v>
      </c>
      <c r="AC38" s="67">
        <v>2011</v>
      </c>
      <c r="AD38" s="67" t="s">
        <v>1960</v>
      </c>
      <c r="AE38" s="297" t="s">
        <v>2213</v>
      </c>
      <c r="AH38" s="49" t="s">
        <v>1075</v>
      </c>
      <c r="AI38" s="132" t="s">
        <v>1831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1447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1448</v>
      </c>
      <c r="AC39" s="66">
        <v>2005</v>
      </c>
      <c r="AD39" s="66" t="s">
        <v>1951</v>
      </c>
      <c r="AE39" s="296" t="s">
        <v>2205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1392</v>
      </c>
      <c r="T40" s="67" t="s">
        <v>1393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1394</v>
      </c>
      <c r="AC40" s="67">
        <v>2015</v>
      </c>
      <c r="AD40" s="67" t="s">
        <v>1961</v>
      </c>
      <c r="AE40" s="297" t="s">
        <v>2207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1511</v>
      </c>
      <c r="T41" s="66" t="s">
        <v>1512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1515</v>
      </c>
      <c r="AC41" s="66">
        <v>2000</v>
      </c>
      <c r="AD41" s="66" t="s">
        <v>1957</v>
      </c>
      <c r="AE41" s="296" t="s">
        <v>2201</v>
      </c>
      <c r="AH41" s="65" t="s">
        <v>1077</v>
      </c>
      <c r="AI41" s="131" t="s">
        <v>2392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1615</v>
      </c>
      <c r="T42" s="67" t="s">
        <v>1616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1617</v>
      </c>
      <c r="AC42" s="67">
        <v>1974</v>
      </c>
      <c r="AD42" s="67" t="s">
        <v>1946</v>
      </c>
      <c r="AE42" s="297" t="s">
        <v>2198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1769</v>
      </c>
      <c r="T43" s="66" t="s">
        <v>1770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1107</v>
      </c>
      <c r="AC43" s="66">
        <v>1994</v>
      </c>
      <c r="AD43" s="66" t="s">
        <v>1962</v>
      </c>
      <c r="AE43" s="296" t="s">
        <v>2190</v>
      </c>
      <c r="AH43" s="65" t="s">
        <v>1079</v>
      </c>
      <c r="AI43" s="131" t="s">
        <v>2059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1963</v>
      </c>
      <c r="AE44" s="297" t="s">
        <v>2246</v>
      </c>
      <c r="AH44" s="49" t="s">
        <v>1080</v>
      </c>
      <c r="AI44" s="132" t="s">
        <v>2174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1224</v>
      </c>
      <c r="AC45" s="66">
        <v>1978</v>
      </c>
      <c r="AD45" s="66" t="s">
        <v>1945</v>
      </c>
      <c r="AE45" s="296" t="s">
        <v>2212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353</v>
      </c>
      <c r="T46" s="67" t="s">
        <v>1004</v>
      </c>
      <c r="U46" s="67">
        <v>8.73</v>
      </c>
      <c r="V46" s="173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1010</v>
      </c>
      <c r="AC46" s="67">
        <v>2002</v>
      </c>
      <c r="AD46" s="67" t="s">
        <v>1947</v>
      </c>
      <c r="AE46" s="297" t="s">
        <v>2217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5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771</v>
      </c>
      <c r="AC47" s="66">
        <v>1985</v>
      </c>
      <c r="AD47" s="66" t="s">
        <v>1947</v>
      </c>
      <c r="AE47" s="296" t="s">
        <v>2246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1544</v>
      </c>
      <c r="T48" s="67" t="s">
        <v>1545</v>
      </c>
      <c r="U48" s="67">
        <v>8.82</v>
      </c>
      <c r="V48" s="215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788</v>
      </c>
      <c r="AC48" s="67">
        <v>2005</v>
      </c>
      <c r="AD48" s="67" t="s">
        <v>1956</v>
      </c>
      <c r="AE48" s="297" t="s">
        <v>2200</v>
      </c>
      <c r="AH48" s="49" t="s">
        <v>1084</v>
      </c>
      <c r="AI48" s="132" t="s">
        <v>2175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1403</v>
      </c>
      <c r="T49" s="66" t="s">
        <v>1396</v>
      </c>
      <c r="U49" s="66">
        <v>8.86</v>
      </c>
      <c r="V49" s="215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1405</v>
      </c>
      <c r="AC49" s="66">
        <v>1971</v>
      </c>
      <c r="AD49" s="66" t="s">
        <v>1964</v>
      </c>
      <c r="AE49" s="296" t="s">
        <v>2206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1719</v>
      </c>
      <c r="T50" s="67" t="s">
        <v>2168</v>
      </c>
      <c r="U50" s="67">
        <v>8.81</v>
      </c>
      <c r="V50" s="215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1374</v>
      </c>
      <c r="AC50" s="67">
        <v>1988</v>
      </c>
      <c r="AD50" s="67" t="s">
        <v>1939</v>
      </c>
      <c r="AE50" s="297" t="s">
        <v>2180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405</v>
      </c>
      <c r="T51" s="66" t="s">
        <v>399</v>
      </c>
      <c r="U51" s="66">
        <v>8.8000000000000007</v>
      </c>
      <c r="V51" s="305">
        <v>8.81</v>
      </c>
      <c r="W51" s="66">
        <v>8.5</v>
      </c>
      <c r="X51" s="66">
        <v>0.98</v>
      </c>
      <c r="Y51" s="66">
        <v>2</v>
      </c>
      <c r="Z51" s="66">
        <v>10</v>
      </c>
      <c r="AA51" s="66">
        <v>0</v>
      </c>
      <c r="AB51" s="49" t="s">
        <v>773</v>
      </c>
      <c r="AC51" s="66">
        <v>1990</v>
      </c>
      <c r="AD51" s="66" t="s">
        <v>1974</v>
      </c>
      <c r="AE51" s="296" t="s">
        <v>2242</v>
      </c>
      <c r="AH51" s="65" t="s">
        <v>1089</v>
      </c>
      <c r="AI51" s="131" t="s">
        <v>2005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595</v>
      </c>
      <c r="T52" s="67" t="s">
        <v>596</v>
      </c>
      <c r="U52" s="67">
        <v>8.7799999999999994</v>
      </c>
      <c r="V52" s="174">
        <v>8.7899999999999991</v>
      </c>
      <c r="W52" s="67">
        <v>8.5</v>
      </c>
      <c r="X52" s="67">
        <v>0.97</v>
      </c>
      <c r="Y52" s="67">
        <v>2</v>
      </c>
      <c r="Z52" s="67">
        <v>9</v>
      </c>
      <c r="AA52" s="67">
        <v>0</v>
      </c>
      <c r="AB52" s="65" t="s">
        <v>831</v>
      </c>
      <c r="AC52" s="67">
        <v>1983</v>
      </c>
      <c r="AD52" s="67" t="s">
        <v>1948</v>
      </c>
      <c r="AE52" s="297" t="s">
        <v>2236</v>
      </c>
      <c r="AH52" s="49" t="s">
        <v>1111</v>
      </c>
      <c r="AI52" s="132" t="s">
        <v>1815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345</v>
      </c>
      <c r="T53" s="66" t="s">
        <v>638</v>
      </c>
      <c r="U53" s="66">
        <v>8.77</v>
      </c>
      <c r="V53" s="174">
        <v>8.7899999999999991</v>
      </c>
      <c r="W53" s="66">
        <v>8.5</v>
      </c>
      <c r="X53" s="66">
        <v>0.99</v>
      </c>
      <c r="Y53" s="66">
        <v>3</v>
      </c>
      <c r="Z53" s="66">
        <v>13</v>
      </c>
      <c r="AA53" s="66">
        <v>0</v>
      </c>
      <c r="AB53" s="49" t="s">
        <v>769</v>
      </c>
      <c r="AC53" s="66">
        <v>2013</v>
      </c>
      <c r="AD53" s="66" t="s">
        <v>1965</v>
      </c>
      <c r="AE53" s="296" t="s">
        <v>2234</v>
      </c>
      <c r="AH53" s="65" t="s">
        <v>1091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828</v>
      </c>
      <c r="T54" s="67" t="s">
        <v>829</v>
      </c>
      <c r="U54" s="67">
        <v>8.82</v>
      </c>
      <c r="V54" s="174">
        <v>8.7899999999999991</v>
      </c>
      <c r="W54" s="67">
        <v>9</v>
      </c>
      <c r="X54" s="67">
        <v>0.86</v>
      </c>
      <c r="Y54" s="67">
        <v>3</v>
      </c>
      <c r="Z54" s="67">
        <v>13</v>
      </c>
      <c r="AA54" s="67">
        <v>2</v>
      </c>
      <c r="AB54" s="65" t="s">
        <v>830</v>
      </c>
      <c r="AC54" s="67">
        <v>2010</v>
      </c>
      <c r="AD54" s="67" t="s">
        <v>1966</v>
      </c>
      <c r="AE54" s="297" t="s">
        <v>2224</v>
      </c>
      <c r="AH54" s="49" t="s">
        <v>1093</v>
      </c>
      <c r="AI54" s="132" t="s">
        <v>1092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1297</v>
      </c>
      <c r="T55" s="66" t="s">
        <v>1298</v>
      </c>
      <c r="U55" s="66">
        <v>8.67</v>
      </c>
      <c r="V55" s="174">
        <v>8.7899999999999991</v>
      </c>
      <c r="W55" s="66">
        <v>9</v>
      </c>
      <c r="X55" s="66">
        <v>1.08</v>
      </c>
      <c r="Y55" s="66">
        <v>2</v>
      </c>
      <c r="Z55" s="66">
        <v>9</v>
      </c>
      <c r="AA55" s="66">
        <v>0</v>
      </c>
      <c r="AB55" s="49" t="s">
        <v>1302</v>
      </c>
      <c r="AC55" s="66">
        <v>2008</v>
      </c>
      <c r="AD55" s="66" t="s">
        <v>1967</v>
      </c>
      <c r="AE55" s="296" t="s">
        <v>2211</v>
      </c>
      <c r="AH55" s="65" t="s">
        <v>1085</v>
      </c>
      <c r="AI55" s="131" t="s">
        <v>2342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1696</v>
      </c>
      <c r="T56" s="67" t="s">
        <v>1695</v>
      </c>
      <c r="U56" s="67">
        <v>8.85</v>
      </c>
      <c r="V56" s="216">
        <v>8.7799999999999994</v>
      </c>
      <c r="W56" s="67">
        <v>8.75</v>
      </c>
      <c r="X56" s="67">
        <v>0.55000000000000004</v>
      </c>
      <c r="Y56" s="67">
        <v>1</v>
      </c>
      <c r="Z56" s="67">
        <v>10</v>
      </c>
      <c r="AA56" s="67">
        <v>0</v>
      </c>
      <c r="AB56" s="65" t="s">
        <v>1697</v>
      </c>
      <c r="AC56" s="67">
        <v>2014</v>
      </c>
      <c r="AD56" s="67" t="s">
        <v>1968</v>
      </c>
      <c r="AE56" s="297" t="s">
        <v>2194</v>
      </c>
      <c r="AH56" s="49" t="s">
        <v>1088</v>
      </c>
      <c r="AI56" s="132" t="s">
        <v>2172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2109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343</v>
      </c>
      <c r="T57" s="66" t="s">
        <v>2359</v>
      </c>
      <c r="U57" s="66">
        <v>8.75</v>
      </c>
      <c r="V57" s="216">
        <v>8.7799999999999994</v>
      </c>
      <c r="W57" s="66">
        <v>8.5</v>
      </c>
      <c r="X57" s="66">
        <v>0.84</v>
      </c>
      <c r="Y57" s="66">
        <v>2</v>
      </c>
      <c r="Z57" s="66">
        <v>10</v>
      </c>
      <c r="AA57" s="66">
        <v>0</v>
      </c>
      <c r="AB57" s="49" t="s">
        <v>787</v>
      </c>
      <c r="AC57" s="66">
        <v>1983</v>
      </c>
      <c r="AD57" s="66" t="s">
        <v>1951</v>
      </c>
      <c r="AE57" s="296" t="s">
        <v>2347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339</v>
      </c>
      <c r="T58" s="67" t="s">
        <v>1413</v>
      </c>
      <c r="U58" s="67">
        <v>8.83</v>
      </c>
      <c r="V58" s="175">
        <v>8.77</v>
      </c>
      <c r="W58" s="67">
        <v>8.75</v>
      </c>
      <c r="X58" s="67">
        <v>0.62</v>
      </c>
      <c r="Y58" s="67">
        <v>1</v>
      </c>
      <c r="Z58" s="67">
        <v>6</v>
      </c>
      <c r="AA58" s="67">
        <v>0</v>
      </c>
      <c r="AB58" s="65" t="s">
        <v>1416</v>
      </c>
      <c r="AC58" s="67">
        <v>2023</v>
      </c>
      <c r="AD58" s="67" t="s">
        <v>1969</v>
      </c>
      <c r="AE58" s="297" t="s">
        <v>2206</v>
      </c>
      <c r="AH58" s="49" t="s">
        <v>2107</v>
      </c>
      <c r="AI58" s="132" t="s">
        <v>2162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1802</v>
      </c>
      <c r="T59" s="66" t="s">
        <v>1803</v>
      </c>
      <c r="U59" s="66">
        <v>8.83</v>
      </c>
      <c r="V59" s="175">
        <v>8.77</v>
      </c>
      <c r="W59" s="66">
        <v>8.75</v>
      </c>
      <c r="X59" s="66">
        <v>0.62</v>
      </c>
      <c r="Y59" s="66">
        <v>1</v>
      </c>
      <c r="Z59" s="66">
        <v>6</v>
      </c>
      <c r="AA59" s="66">
        <v>0</v>
      </c>
      <c r="AB59" s="49" t="s">
        <v>1807</v>
      </c>
      <c r="AC59" s="66">
        <v>1991</v>
      </c>
      <c r="AD59" s="66" t="s">
        <v>1969</v>
      </c>
      <c r="AE59" s="296" t="s">
        <v>2189</v>
      </c>
      <c r="AH59" s="65" t="s">
        <v>1883</v>
      </c>
      <c r="AI59" s="131" t="s">
        <v>1884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354</v>
      </c>
      <c r="T60" s="67" t="s">
        <v>1197</v>
      </c>
      <c r="U60" s="67">
        <v>8.73</v>
      </c>
      <c r="V60" s="126">
        <v>8.76</v>
      </c>
      <c r="W60" s="67">
        <v>8.5</v>
      </c>
      <c r="X60" s="67">
        <v>0.87</v>
      </c>
      <c r="Y60" s="67">
        <v>2</v>
      </c>
      <c r="Z60" s="67">
        <v>13</v>
      </c>
      <c r="AA60" s="67">
        <v>0</v>
      </c>
      <c r="AB60" s="65" t="s">
        <v>1199</v>
      </c>
      <c r="AC60" s="67">
        <v>2009</v>
      </c>
      <c r="AD60" s="67" t="s">
        <v>1970</v>
      </c>
      <c r="AE60" s="297" t="s">
        <v>2246</v>
      </c>
      <c r="AH60" s="49" t="s">
        <v>1630</v>
      </c>
      <c r="AI60" s="132" t="s">
        <v>1631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350</v>
      </c>
      <c r="T61" s="66" t="s">
        <v>276</v>
      </c>
      <c r="U61" s="66">
        <v>8.7799999999999994</v>
      </c>
      <c r="V61" s="126">
        <v>8.76</v>
      </c>
      <c r="W61" s="66">
        <v>9</v>
      </c>
      <c r="X61" s="66">
        <v>0.79</v>
      </c>
      <c r="Y61" s="66">
        <v>2</v>
      </c>
      <c r="Z61" s="66">
        <v>10</v>
      </c>
      <c r="AA61" s="66">
        <v>1</v>
      </c>
      <c r="AB61" s="49" t="s">
        <v>772</v>
      </c>
      <c r="AC61" s="66">
        <v>1994</v>
      </c>
      <c r="AD61" s="66" t="s">
        <v>1969</v>
      </c>
      <c r="AE61" s="296" t="s">
        <v>2244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849</v>
      </c>
      <c r="T62" s="67" t="s">
        <v>844</v>
      </c>
      <c r="U62" s="67">
        <v>8.7100000000000009</v>
      </c>
      <c r="V62" s="126">
        <v>8.76</v>
      </c>
      <c r="W62" s="67">
        <v>8.5</v>
      </c>
      <c r="X62" s="67">
        <v>0.75</v>
      </c>
      <c r="Y62" s="67">
        <v>2</v>
      </c>
      <c r="Z62" s="67">
        <v>14</v>
      </c>
      <c r="AA62" s="67">
        <v>0</v>
      </c>
      <c r="AB62" s="65" t="s">
        <v>850</v>
      </c>
      <c r="AC62" s="67">
        <v>2005</v>
      </c>
      <c r="AD62" s="67" t="s">
        <v>1971</v>
      </c>
      <c r="AE62" s="297" t="s">
        <v>2223</v>
      </c>
      <c r="AH62" s="49" t="s">
        <v>1414</v>
      </c>
      <c r="AI62" s="132" t="s">
        <v>1415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1500</v>
      </c>
      <c r="T63" s="66" t="s">
        <v>1501</v>
      </c>
      <c r="U63" s="66">
        <v>8.73</v>
      </c>
      <c r="V63" s="126">
        <v>8.76</v>
      </c>
      <c r="W63" s="66">
        <v>8.5</v>
      </c>
      <c r="X63" s="66">
        <v>0.75</v>
      </c>
      <c r="Y63" s="66">
        <v>1</v>
      </c>
      <c r="Z63" s="66">
        <v>13</v>
      </c>
      <c r="AA63" s="66">
        <v>0</v>
      </c>
      <c r="AB63" s="49" t="s">
        <v>1502</v>
      </c>
      <c r="AC63" s="66">
        <v>1992</v>
      </c>
      <c r="AD63" s="66" t="s">
        <v>1965</v>
      </c>
      <c r="AE63" s="296" t="s">
        <v>2202</v>
      </c>
      <c r="AH63" s="65" t="s">
        <v>1374</v>
      </c>
      <c r="AI63" s="131" t="s">
        <v>2178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335</v>
      </c>
      <c r="T64" s="67" t="s">
        <v>568</v>
      </c>
      <c r="U64" s="67">
        <v>8.77</v>
      </c>
      <c r="V64" s="217">
        <v>8.75</v>
      </c>
      <c r="W64" s="67">
        <v>9</v>
      </c>
      <c r="X64" s="67">
        <v>0.72</v>
      </c>
      <c r="Y64" s="67">
        <v>1</v>
      </c>
      <c r="Z64" s="67">
        <v>11</v>
      </c>
      <c r="AA64" s="67">
        <v>0</v>
      </c>
      <c r="AB64" s="65" t="s">
        <v>764</v>
      </c>
      <c r="AC64" s="67">
        <v>2016</v>
      </c>
      <c r="AD64" s="67" t="s">
        <v>1967</v>
      </c>
      <c r="AE64" s="297" t="s">
        <v>2237</v>
      </c>
      <c r="AH64" s="49" t="s">
        <v>1102</v>
      </c>
      <c r="AI64" s="132" t="s">
        <v>1671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728</v>
      </c>
      <c r="T65" s="66" t="s">
        <v>724</v>
      </c>
      <c r="U65" s="66">
        <v>8.67</v>
      </c>
      <c r="V65" s="217">
        <v>8.75</v>
      </c>
      <c r="W65" s="66">
        <v>8</v>
      </c>
      <c r="X65" s="66">
        <v>1.04</v>
      </c>
      <c r="Y65" s="66">
        <v>4</v>
      </c>
      <c r="Z65" s="66">
        <v>16</v>
      </c>
      <c r="AA65" s="66">
        <v>1</v>
      </c>
      <c r="AB65" s="49" t="s">
        <v>789</v>
      </c>
      <c r="AC65" s="66">
        <v>2010</v>
      </c>
      <c r="AD65" s="66" t="s">
        <v>1972</v>
      </c>
      <c r="AE65" s="296" t="s">
        <v>2230</v>
      </c>
      <c r="AH65" s="65" t="s">
        <v>1241</v>
      </c>
      <c r="AI65" s="131" t="s">
        <v>1242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750</v>
      </c>
      <c r="T66" s="67" t="s">
        <v>751</v>
      </c>
      <c r="U66" s="67">
        <v>8.86</v>
      </c>
      <c r="V66" s="217">
        <v>8.75</v>
      </c>
      <c r="W66" s="67">
        <v>8.5</v>
      </c>
      <c r="X66" s="67">
        <v>0.77</v>
      </c>
      <c r="Y66" s="67">
        <v>3</v>
      </c>
      <c r="Z66" s="67">
        <v>11</v>
      </c>
      <c r="AA66" s="67">
        <v>0</v>
      </c>
      <c r="AB66" s="65" t="s">
        <v>851</v>
      </c>
      <c r="AC66" s="67">
        <v>2002</v>
      </c>
      <c r="AD66" s="67" t="s">
        <v>1962</v>
      </c>
      <c r="AE66" s="297" t="s">
        <v>2227</v>
      </c>
      <c r="AH66" s="49" t="s">
        <v>1243</v>
      </c>
      <c r="AI66" s="132" t="s">
        <v>1242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490</v>
      </c>
      <c r="T67" s="66" t="s">
        <v>491</v>
      </c>
      <c r="U67" s="66">
        <v>8.7100000000000009</v>
      </c>
      <c r="V67" s="306">
        <v>8.74</v>
      </c>
      <c r="W67" s="66">
        <v>8.5</v>
      </c>
      <c r="X67" s="66">
        <v>0.99</v>
      </c>
      <c r="Y67" s="66">
        <v>3</v>
      </c>
      <c r="Z67" s="66">
        <v>12</v>
      </c>
      <c r="AA67" s="66">
        <v>0</v>
      </c>
      <c r="AB67" s="49" t="s">
        <v>767</v>
      </c>
      <c r="AC67" s="66">
        <v>2002</v>
      </c>
      <c r="AD67" s="66" t="s">
        <v>1966</v>
      </c>
      <c r="AE67" s="296" t="s">
        <v>2239</v>
      </c>
      <c r="AH67" s="65" t="s">
        <v>1418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342</v>
      </c>
      <c r="T68" s="67" t="s">
        <v>909</v>
      </c>
      <c r="U68" s="67">
        <v>8.7100000000000009</v>
      </c>
      <c r="V68" s="176">
        <v>8.73</v>
      </c>
      <c r="W68" s="67">
        <v>8.5</v>
      </c>
      <c r="X68" s="67">
        <v>0.96</v>
      </c>
      <c r="Y68" s="67">
        <v>1</v>
      </c>
      <c r="Z68" s="67">
        <v>7</v>
      </c>
      <c r="AA68" s="67">
        <v>0</v>
      </c>
      <c r="AB68" s="65" t="s">
        <v>788</v>
      </c>
      <c r="AC68" s="67">
        <v>1999</v>
      </c>
      <c r="AD68" s="67" t="s">
        <v>1973</v>
      </c>
      <c r="AE68" s="297" t="s">
        <v>2221</v>
      </c>
      <c r="AH68" s="49" t="s">
        <v>1816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1459</v>
      </c>
      <c r="T69" s="66" t="s">
        <v>1460</v>
      </c>
      <c r="U69" s="66">
        <v>8.83</v>
      </c>
      <c r="V69" s="142">
        <v>8.7200000000000006</v>
      </c>
      <c r="W69" s="66">
        <v>8.5</v>
      </c>
      <c r="X69" s="66">
        <v>0.57999999999999996</v>
      </c>
      <c r="Y69" s="66">
        <v>1</v>
      </c>
      <c r="Z69" s="66">
        <v>9</v>
      </c>
      <c r="AA69" s="66">
        <v>0</v>
      </c>
      <c r="AB69" s="49" t="s">
        <v>1463</v>
      </c>
      <c r="AC69" s="66">
        <v>2002</v>
      </c>
      <c r="AD69" s="66" t="s">
        <v>1966</v>
      </c>
      <c r="AE69" s="296" t="s">
        <v>2204</v>
      </c>
      <c r="AH69" s="65" t="s">
        <v>1480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418</v>
      </c>
      <c r="T70" s="67" t="s">
        <v>416</v>
      </c>
      <c r="U70" s="67">
        <v>8.67</v>
      </c>
      <c r="V70" s="137">
        <v>8.7100000000000009</v>
      </c>
      <c r="W70" s="67">
        <v>8.5</v>
      </c>
      <c r="X70" s="67">
        <v>0.85</v>
      </c>
      <c r="Y70" s="67">
        <v>2</v>
      </c>
      <c r="Z70" s="67">
        <v>12</v>
      </c>
      <c r="AA70" s="67">
        <v>0</v>
      </c>
      <c r="AB70" s="65" t="s">
        <v>831</v>
      </c>
      <c r="AC70" s="67">
        <v>1989</v>
      </c>
      <c r="AD70" s="67" t="s">
        <v>1975</v>
      </c>
      <c r="AE70" s="297" t="s">
        <v>2242</v>
      </c>
      <c r="AH70" s="49" t="s">
        <v>787</v>
      </c>
      <c r="AI70" s="132" t="s">
        <v>2369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1526</v>
      </c>
      <c r="T71" s="66" t="s">
        <v>1527</v>
      </c>
      <c r="U71" s="66">
        <v>8.75</v>
      </c>
      <c r="V71" s="143">
        <v>8.6999999999999993</v>
      </c>
      <c r="W71" s="66">
        <v>8.75</v>
      </c>
      <c r="X71" s="66">
        <v>0.75</v>
      </c>
      <c r="Y71" s="66">
        <v>2</v>
      </c>
      <c r="Z71" s="66">
        <v>10</v>
      </c>
      <c r="AA71" s="66">
        <v>0</v>
      </c>
      <c r="AB71" s="49" t="s">
        <v>1528</v>
      </c>
      <c r="AC71" s="66">
        <v>1998</v>
      </c>
      <c r="AD71" s="66" t="s">
        <v>1976</v>
      </c>
      <c r="AE71" s="296" t="s">
        <v>2200</v>
      </c>
      <c r="AH71" s="65" t="s">
        <v>1099</v>
      </c>
      <c r="AI71" s="131" t="s">
        <v>1098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1719</v>
      </c>
      <c r="T72" s="67" t="s">
        <v>1715</v>
      </c>
      <c r="U72" s="67">
        <v>8.81</v>
      </c>
      <c r="V72" s="143">
        <v>8.6999999999999993</v>
      </c>
      <c r="W72" s="67">
        <v>8.5</v>
      </c>
      <c r="X72" s="67">
        <v>0.83</v>
      </c>
      <c r="Y72" s="67">
        <v>2</v>
      </c>
      <c r="Z72" s="67">
        <v>8</v>
      </c>
      <c r="AA72" s="67">
        <v>0</v>
      </c>
      <c r="AB72" s="65" t="s">
        <v>1374</v>
      </c>
      <c r="AC72" s="67">
        <v>1982</v>
      </c>
      <c r="AD72" s="67" t="s">
        <v>1953</v>
      </c>
      <c r="AE72" s="297" t="s">
        <v>2193</v>
      </c>
      <c r="AH72" s="49" t="s">
        <v>1258</v>
      </c>
      <c r="AI72" s="132" t="s">
        <v>1721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1479</v>
      </c>
      <c r="T73" s="66" t="s">
        <v>1484</v>
      </c>
      <c r="U73" s="66">
        <v>8.8000000000000007</v>
      </c>
      <c r="V73" s="193">
        <v>8.68</v>
      </c>
      <c r="W73" s="66">
        <v>8.5</v>
      </c>
      <c r="X73" s="66">
        <v>0.7</v>
      </c>
      <c r="Y73" s="66">
        <v>2</v>
      </c>
      <c r="Z73" s="66">
        <v>15</v>
      </c>
      <c r="AA73" s="66">
        <v>0</v>
      </c>
      <c r="AB73" s="49" t="s">
        <v>1481</v>
      </c>
      <c r="AC73" s="66">
        <v>2012</v>
      </c>
      <c r="AD73" s="66" t="s">
        <v>1952</v>
      </c>
      <c r="AE73" s="296" t="s">
        <v>2203</v>
      </c>
      <c r="AH73" s="65" t="s">
        <v>1107</v>
      </c>
      <c r="AI73" s="131" t="s">
        <v>1772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1353</v>
      </c>
      <c r="T74" s="67" t="s">
        <v>1354</v>
      </c>
      <c r="U74" s="67">
        <v>8.77</v>
      </c>
      <c r="V74" s="197">
        <v>8.65</v>
      </c>
      <c r="W74" s="67">
        <v>8.5</v>
      </c>
      <c r="X74" s="67">
        <v>0.75</v>
      </c>
      <c r="Y74" s="67">
        <v>2</v>
      </c>
      <c r="Z74" s="67">
        <v>14</v>
      </c>
      <c r="AA74" s="67">
        <v>1</v>
      </c>
      <c r="AB74" s="65" t="s">
        <v>1357</v>
      </c>
      <c r="AC74" s="67">
        <v>2002</v>
      </c>
      <c r="AD74" s="67" t="s">
        <v>1954</v>
      </c>
      <c r="AE74" s="297" t="s">
        <v>2209</v>
      </c>
      <c r="AH74" s="49" t="s">
        <v>1114</v>
      </c>
      <c r="AI74" s="132" t="s">
        <v>1485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343</v>
      </c>
      <c r="T75" s="66" t="s">
        <v>343</v>
      </c>
      <c r="U75" s="66">
        <v>8.4600000000000009</v>
      </c>
      <c r="V75" s="197">
        <v>8.65</v>
      </c>
      <c r="W75" s="66">
        <v>8.5</v>
      </c>
      <c r="X75" s="66">
        <v>1.33</v>
      </c>
      <c r="Y75" s="66">
        <v>3</v>
      </c>
      <c r="Z75" s="66">
        <v>12</v>
      </c>
      <c r="AA75" s="66">
        <v>0</v>
      </c>
      <c r="AB75" s="49" t="s">
        <v>1374</v>
      </c>
      <c r="AC75" s="66">
        <v>2021</v>
      </c>
      <c r="AD75" s="66" t="s">
        <v>1973</v>
      </c>
      <c r="AE75" s="296" t="s">
        <v>2208</v>
      </c>
      <c r="AH75" s="65" t="s">
        <v>1358</v>
      </c>
      <c r="AI75" s="131" t="s">
        <v>1359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1669</v>
      </c>
      <c r="T76" s="67" t="s">
        <v>1665</v>
      </c>
      <c r="U76" s="67">
        <v>8.75</v>
      </c>
      <c r="V76" s="197">
        <v>8.65</v>
      </c>
      <c r="W76" s="67">
        <v>8.5</v>
      </c>
      <c r="X76" s="67">
        <v>0.56000000000000005</v>
      </c>
      <c r="Y76" s="67">
        <v>1</v>
      </c>
      <c r="Z76" s="67">
        <v>9</v>
      </c>
      <c r="AA76" s="67">
        <v>1</v>
      </c>
      <c r="AB76" s="65" t="s">
        <v>1672</v>
      </c>
      <c r="AC76" s="67">
        <v>2000</v>
      </c>
      <c r="AD76" s="67" t="s">
        <v>1941</v>
      </c>
      <c r="AE76" s="297" t="s">
        <v>2196</v>
      </c>
      <c r="AH76" s="49" t="s">
        <v>1100</v>
      </c>
      <c r="AI76" s="132" t="s">
        <v>2006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2259</v>
      </c>
      <c r="T77" s="66" t="s">
        <v>2260</v>
      </c>
      <c r="U77" s="66">
        <v>8.75</v>
      </c>
      <c r="V77" s="307">
        <v>8.64</v>
      </c>
      <c r="W77" s="66">
        <v>8.5</v>
      </c>
      <c r="X77" s="66">
        <v>0.66</v>
      </c>
      <c r="Y77" s="66">
        <v>1</v>
      </c>
      <c r="Z77" s="66">
        <v>8</v>
      </c>
      <c r="AA77" s="66">
        <v>0</v>
      </c>
      <c r="AB77" s="49" t="s">
        <v>2261</v>
      </c>
      <c r="AC77" s="66">
        <v>1996</v>
      </c>
      <c r="AD77" s="66" t="s">
        <v>1953</v>
      </c>
      <c r="AE77" s="296" t="s">
        <v>2179</v>
      </c>
      <c r="AH77" s="65" t="s">
        <v>1529</v>
      </c>
      <c r="AI77" s="131" t="s">
        <v>1257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1254</v>
      </c>
      <c r="T78" s="67" t="s">
        <v>1248</v>
      </c>
      <c r="U78" s="67">
        <v>8.75</v>
      </c>
      <c r="V78" s="218">
        <v>8.6300000000000008</v>
      </c>
      <c r="W78" s="67">
        <v>8.5</v>
      </c>
      <c r="X78" s="67">
        <v>0.8</v>
      </c>
      <c r="Y78" s="67">
        <v>1</v>
      </c>
      <c r="Z78" s="67">
        <v>7</v>
      </c>
      <c r="AA78" s="67">
        <v>1</v>
      </c>
      <c r="AB78" s="65" t="s">
        <v>1255</v>
      </c>
      <c r="AC78" s="67">
        <v>2013</v>
      </c>
      <c r="AD78" s="67" t="s">
        <v>1955</v>
      </c>
      <c r="AE78" s="297" t="s">
        <v>2212</v>
      </c>
      <c r="AH78" s="49" t="s">
        <v>1673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1629</v>
      </c>
      <c r="T79" s="66" t="s">
        <v>1622</v>
      </c>
      <c r="U79" s="66">
        <v>8.75</v>
      </c>
      <c r="V79" s="218">
        <v>8.6300000000000008</v>
      </c>
      <c r="W79" s="66">
        <v>8.5</v>
      </c>
      <c r="X79" s="66">
        <v>0.87</v>
      </c>
      <c r="Y79" s="66">
        <v>2</v>
      </c>
      <c r="Z79" s="66">
        <v>10</v>
      </c>
      <c r="AA79" s="66">
        <v>0</v>
      </c>
      <c r="AB79" s="49" t="s">
        <v>1632</v>
      </c>
      <c r="AC79" s="66">
        <v>1979</v>
      </c>
      <c r="AD79" s="66" t="s">
        <v>1958</v>
      </c>
      <c r="AE79" s="296" t="s">
        <v>2198</v>
      </c>
      <c r="AH79" s="65" t="s">
        <v>1674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1165</v>
      </c>
      <c r="T80" s="67" t="s">
        <v>1730</v>
      </c>
      <c r="U80" s="67">
        <v>8.57</v>
      </c>
      <c r="V80" s="218">
        <v>8.6300000000000008</v>
      </c>
      <c r="W80" s="67">
        <v>8.5</v>
      </c>
      <c r="X80" s="67">
        <v>0.78</v>
      </c>
      <c r="Y80" s="67">
        <v>3</v>
      </c>
      <c r="Z80" s="67">
        <v>28</v>
      </c>
      <c r="AA80" s="67">
        <v>1</v>
      </c>
      <c r="AB80" s="65" t="s">
        <v>1757</v>
      </c>
      <c r="AC80" s="67">
        <v>1995</v>
      </c>
      <c r="AD80" s="67" t="s">
        <v>1968</v>
      </c>
      <c r="AE80" s="297" t="s">
        <v>2191</v>
      </c>
      <c r="AH80" s="49" t="s">
        <v>2261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610</v>
      </c>
      <c r="T81" s="66" t="s">
        <v>611</v>
      </c>
      <c r="U81" s="66">
        <v>8.73</v>
      </c>
      <c r="V81" s="191">
        <v>8.6199999999999992</v>
      </c>
      <c r="W81" s="66">
        <v>8.5</v>
      </c>
      <c r="X81" s="66">
        <v>0.89</v>
      </c>
      <c r="Y81" s="66">
        <v>3</v>
      </c>
      <c r="Z81" s="66">
        <v>13</v>
      </c>
      <c r="AA81" s="66">
        <v>2</v>
      </c>
      <c r="AB81" s="49" t="s">
        <v>832</v>
      </c>
      <c r="AC81" s="66">
        <v>2015</v>
      </c>
      <c r="AD81" s="66" t="s">
        <v>1951</v>
      </c>
      <c r="AE81" s="296" t="s">
        <v>2235</v>
      </c>
      <c r="AH81" s="65" t="s">
        <v>1256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1459</v>
      </c>
      <c r="T82" s="67" t="s">
        <v>1707</v>
      </c>
      <c r="U82" s="67">
        <v>8.7100000000000009</v>
      </c>
      <c r="V82" s="191">
        <v>8.6199999999999992</v>
      </c>
      <c r="W82" s="67">
        <v>8.5</v>
      </c>
      <c r="X82" s="67">
        <v>0.65</v>
      </c>
      <c r="Y82" s="67">
        <v>1</v>
      </c>
      <c r="Z82" s="67">
        <v>8</v>
      </c>
      <c r="AA82" s="67">
        <v>1</v>
      </c>
      <c r="AB82" s="65" t="s">
        <v>1708</v>
      </c>
      <c r="AC82" s="67">
        <v>2006</v>
      </c>
      <c r="AD82" s="67" t="s">
        <v>1977</v>
      </c>
      <c r="AE82" s="297" t="s">
        <v>2193</v>
      </c>
      <c r="AH82" s="49" t="s">
        <v>1633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2055</v>
      </c>
      <c r="T83" s="66" t="s">
        <v>2056</v>
      </c>
      <c r="U83" s="66">
        <v>8.67</v>
      </c>
      <c r="V83" s="286">
        <v>8.61</v>
      </c>
      <c r="W83" s="66">
        <v>8.75</v>
      </c>
      <c r="X83" s="66">
        <v>0.62</v>
      </c>
      <c r="Y83" s="66">
        <v>0</v>
      </c>
      <c r="Z83" s="66">
        <v>6</v>
      </c>
      <c r="AA83" s="66">
        <v>0</v>
      </c>
      <c r="AB83" s="49" t="s">
        <v>1088</v>
      </c>
      <c r="AC83" s="66">
        <v>2013</v>
      </c>
      <c r="AD83" s="66" t="s">
        <v>1947</v>
      </c>
      <c r="AE83" s="296" t="s">
        <v>2183</v>
      </c>
      <c r="AH83" s="65" t="s">
        <v>1101</v>
      </c>
      <c r="AI83" s="131" t="s">
        <v>1866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943</v>
      </c>
      <c r="T84" s="67" t="s">
        <v>924</v>
      </c>
      <c r="U84" s="67">
        <v>8.5500000000000007</v>
      </c>
      <c r="V84" s="219">
        <v>8.6</v>
      </c>
      <c r="W84" s="67">
        <v>8.5</v>
      </c>
      <c r="X84" s="67">
        <v>0.96</v>
      </c>
      <c r="Y84" s="67">
        <v>3</v>
      </c>
      <c r="Z84" s="67">
        <v>19</v>
      </c>
      <c r="AA84" s="67">
        <v>0</v>
      </c>
      <c r="AB84" s="65" t="s">
        <v>944</v>
      </c>
      <c r="AC84" s="67">
        <v>1979</v>
      </c>
      <c r="AD84" s="67" t="s">
        <v>1954</v>
      </c>
      <c r="AE84" s="297" t="s">
        <v>2220</v>
      </c>
      <c r="AH84" s="49" t="s">
        <v>786</v>
      </c>
      <c r="AI84" s="132" t="s">
        <v>2060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351</v>
      </c>
      <c r="T85" s="66" t="s">
        <v>245</v>
      </c>
      <c r="U85" s="66">
        <v>8.68</v>
      </c>
      <c r="V85" s="178">
        <v>8.58</v>
      </c>
      <c r="W85" s="66">
        <v>8.5</v>
      </c>
      <c r="X85" s="66">
        <v>0.81</v>
      </c>
      <c r="Y85" s="66">
        <v>2</v>
      </c>
      <c r="Z85" s="66">
        <v>11</v>
      </c>
      <c r="AA85" s="66">
        <v>0</v>
      </c>
      <c r="AB85" s="49" t="s">
        <v>774</v>
      </c>
      <c r="AC85" s="66">
        <v>1998</v>
      </c>
      <c r="AD85" s="66" t="s">
        <v>1971</v>
      </c>
      <c r="AE85" s="296" t="s">
        <v>2246</v>
      </c>
      <c r="AH85" s="65" t="s">
        <v>1094</v>
      </c>
      <c r="AI85" s="131" t="s">
        <v>2343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738</v>
      </c>
      <c r="T86" s="67" t="s">
        <v>739</v>
      </c>
      <c r="U86" s="67">
        <v>8.67</v>
      </c>
      <c r="V86" s="178">
        <v>8.58</v>
      </c>
      <c r="W86" s="67">
        <v>8.5</v>
      </c>
      <c r="X86" s="67">
        <v>0.62</v>
      </c>
      <c r="Y86" s="67">
        <v>1</v>
      </c>
      <c r="Z86" s="67">
        <v>9</v>
      </c>
      <c r="AA86" s="67">
        <v>0</v>
      </c>
      <c r="AB86" s="65" t="s">
        <v>790</v>
      </c>
      <c r="AC86" s="67">
        <v>1992</v>
      </c>
      <c r="AD86" s="67" t="s">
        <v>1963</v>
      </c>
      <c r="AE86" s="297" t="s">
        <v>2228</v>
      </c>
      <c r="AH86" s="49" t="s">
        <v>1211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352</v>
      </c>
      <c r="T87" s="66" t="s">
        <v>161</v>
      </c>
      <c r="U87" s="66">
        <v>8.67</v>
      </c>
      <c r="V87" s="220">
        <v>8.57</v>
      </c>
      <c r="W87" s="66">
        <v>8.5</v>
      </c>
      <c r="X87" s="66">
        <v>0.77</v>
      </c>
      <c r="Y87" s="66">
        <v>2</v>
      </c>
      <c r="Z87" s="66">
        <v>12</v>
      </c>
      <c r="AA87" s="66">
        <v>0</v>
      </c>
      <c r="AB87" s="49" t="s">
        <v>775</v>
      </c>
      <c r="AC87" s="66">
        <v>1977</v>
      </c>
      <c r="AD87" s="66" t="s">
        <v>1969</v>
      </c>
      <c r="AE87" s="296" t="s">
        <v>2179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780</v>
      </c>
      <c r="T88" s="67" t="s">
        <v>781</v>
      </c>
      <c r="U88" s="67">
        <v>8.67</v>
      </c>
      <c r="V88" s="220">
        <v>8.57</v>
      </c>
      <c r="W88" s="67">
        <v>8.5</v>
      </c>
      <c r="X88" s="67">
        <v>0.75</v>
      </c>
      <c r="Y88" s="67">
        <v>1</v>
      </c>
      <c r="Z88" s="67">
        <v>6</v>
      </c>
      <c r="AA88" s="67">
        <v>0</v>
      </c>
      <c r="AB88" s="65" t="s">
        <v>783</v>
      </c>
      <c r="AC88" s="67">
        <v>2024</v>
      </c>
      <c r="AD88" s="67" t="s">
        <v>1976</v>
      </c>
      <c r="AE88" s="297" t="s">
        <v>2226</v>
      </c>
      <c r="AH88" s="49" t="s">
        <v>1514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353</v>
      </c>
      <c r="T89" s="66" t="s">
        <v>160</v>
      </c>
      <c r="U89" s="66">
        <v>8.65</v>
      </c>
      <c r="V89" s="127">
        <v>8.56</v>
      </c>
      <c r="W89" s="66">
        <v>8.5</v>
      </c>
      <c r="X89" s="66">
        <v>0.72</v>
      </c>
      <c r="Y89" s="66">
        <v>2</v>
      </c>
      <c r="Z89" s="66">
        <v>13</v>
      </c>
      <c r="AA89" s="66">
        <v>0</v>
      </c>
      <c r="AB89" s="49" t="s">
        <v>794</v>
      </c>
      <c r="AC89" s="66">
        <v>2005</v>
      </c>
      <c r="AD89" s="66" t="s">
        <v>1973</v>
      </c>
      <c r="AE89" s="296" t="s">
        <v>2241</v>
      </c>
      <c r="AH89" s="65" t="s">
        <v>1104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335</v>
      </c>
      <c r="T90" s="67" t="s">
        <v>867</v>
      </c>
      <c r="U90" s="67">
        <v>8.5</v>
      </c>
      <c r="V90" s="127">
        <v>8.56</v>
      </c>
      <c r="W90" s="67">
        <v>8.5</v>
      </c>
      <c r="X90" s="67">
        <v>0.96</v>
      </c>
      <c r="Y90" s="67">
        <v>2</v>
      </c>
      <c r="Z90" s="67">
        <v>14</v>
      </c>
      <c r="AA90" s="67">
        <v>1</v>
      </c>
      <c r="AB90" s="65" t="s">
        <v>764</v>
      </c>
      <c r="AC90" s="67">
        <v>2003</v>
      </c>
      <c r="AD90" s="67" t="s">
        <v>1972</v>
      </c>
      <c r="AE90" s="297" t="s">
        <v>2223</v>
      </c>
      <c r="AH90" s="49" t="s">
        <v>1108</v>
      </c>
      <c r="AI90" s="132" t="s">
        <v>1530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968</v>
      </c>
      <c r="T91" s="66" t="s">
        <v>966</v>
      </c>
      <c r="U91" s="66">
        <v>8.67</v>
      </c>
      <c r="V91" s="127">
        <v>8.56</v>
      </c>
      <c r="W91" s="66">
        <v>8.5</v>
      </c>
      <c r="X91" s="66">
        <v>0.71</v>
      </c>
      <c r="Y91" s="66">
        <v>1</v>
      </c>
      <c r="Z91" s="66">
        <v>10</v>
      </c>
      <c r="AA91" s="66">
        <v>1</v>
      </c>
      <c r="AB91" s="49" t="s">
        <v>969</v>
      </c>
      <c r="AC91" s="66">
        <v>1999</v>
      </c>
      <c r="AD91" s="66" t="s">
        <v>1978</v>
      </c>
      <c r="AE91" s="296" t="s">
        <v>2219</v>
      </c>
      <c r="AH91" s="65" t="s">
        <v>1198</v>
      </c>
      <c r="AI91" s="131" t="s">
        <v>2157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338</v>
      </c>
      <c r="T92" s="67" t="s">
        <v>2154</v>
      </c>
      <c r="U92" s="67">
        <v>8.6</v>
      </c>
      <c r="V92" s="294">
        <v>8.5399999999999991</v>
      </c>
      <c r="W92" s="67">
        <v>8</v>
      </c>
      <c r="X92" s="67">
        <v>1.02</v>
      </c>
      <c r="Y92" s="67">
        <v>2</v>
      </c>
      <c r="Z92" s="67">
        <v>10</v>
      </c>
      <c r="AA92" s="67">
        <v>0</v>
      </c>
      <c r="AB92" s="65" t="s">
        <v>2159</v>
      </c>
      <c r="AC92" s="67">
        <v>1970</v>
      </c>
      <c r="AD92" s="67" t="s">
        <v>1976</v>
      </c>
      <c r="AE92" s="297" t="s">
        <v>2181</v>
      </c>
      <c r="AH92" s="49" t="s">
        <v>1577</v>
      </c>
      <c r="AI92" s="132" t="s">
        <v>2157</v>
      </c>
    </row>
    <row r="93" spans="1:35" ht="16.05" customHeight="1" thickBot="1">
      <c r="A93" s="110" t="s">
        <v>906</v>
      </c>
      <c r="B93" s="13">
        <f>ROUND(SUM(B94:B101)/COUNT(B94:B101), 2)</f>
        <v>8.5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2278</v>
      </c>
      <c r="T93" s="66" t="s">
        <v>2279</v>
      </c>
      <c r="U93" s="66">
        <v>8.6199999999999992</v>
      </c>
      <c r="V93" s="294">
        <v>8.5399999999999991</v>
      </c>
      <c r="W93" s="66">
        <v>8.5</v>
      </c>
      <c r="X93" s="66">
        <v>0.56000000000000005</v>
      </c>
      <c r="Y93" s="66">
        <v>1</v>
      </c>
      <c r="Z93" s="66">
        <v>15</v>
      </c>
      <c r="AA93" s="66">
        <v>2</v>
      </c>
      <c r="AB93" s="49" t="s">
        <v>2280</v>
      </c>
      <c r="AC93" s="66">
        <v>2024</v>
      </c>
      <c r="AD93" s="66" t="s">
        <v>1943</v>
      </c>
      <c r="AE93" s="296" t="s">
        <v>2281</v>
      </c>
      <c r="AH93" s="65" t="s">
        <v>785</v>
      </c>
      <c r="AI93" s="131" t="s">
        <v>2320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1896</v>
      </c>
      <c r="T94" s="67" t="s">
        <v>1897</v>
      </c>
      <c r="U94" s="67">
        <v>8.6</v>
      </c>
      <c r="V94" s="276">
        <v>8.52</v>
      </c>
      <c r="W94" s="67">
        <v>8.5</v>
      </c>
      <c r="X94" s="67">
        <v>0.66</v>
      </c>
      <c r="Y94" s="67">
        <v>1</v>
      </c>
      <c r="Z94" s="67">
        <v>10</v>
      </c>
      <c r="AA94" s="67">
        <v>0</v>
      </c>
      <c r="AB94" s="65" t="s">
        <v>1898</v>
      </c>
      <c r="AC94" s="67">
        <v>2024</v>
      </c>
      <c r="AD94" s="67" t="s">
        <v>1976</v>
      </c>
      <c r="AE94" s="297" t="s">
        <v>2186</v>
      </c>
      <c r="AH94" s="49" t="s">
        <v>1105</v>
      </c>
      <c r="AI94" s="132" t="s">
        <v>2362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1656</v>
      </c>
      <c r="T95" s="66" t="s">
        <v>1657</v>
      </c>
      <c r="U95" s="66">
        <v>8.6</v>
      </c>
      <c r="V95" s="221">
        <v>8.5</v>
      </c>
      <c r="W95" s="66">
        <v>8.5</v>
      </c>
      <c r="X95" s="66">
        <v>0.83</v>
      </c>
      <c r="Y95" s="66">
        <v>1</v>
      </c>
      <c r="Z95" s="66">
        <v>10</v>
      </c>
      <c r="AA95" s="66">
        <v>0</v>
      </c>
      <c r="AB95" s="49" t="s">
        <v>773</v>
      </c>
      <c r="AC95" s="66">
        <v>1993</v>
      </c>
      <c r="AD95" s="66" t="s">
        <v>1953</v>
      </c>
      <c r="AE95" s="296" t="s">
        <v>2197</v>
      </c>
      <c r="AH95" s="65" t="s">
        <v>1404</v>
      </c>
      <c r="AI95" s="131" t="s">
        <v>2344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2295</v>
      </c>
      <c r="T96" s="67" t="s">
        <v>2296</v>
      </c>
      <c r="U96" s="67">
        <v>8.58</v>
      </c>
      <c r="V96" s="221">
        <v>8.5</v>
      </c>
      <c r="W96" s="67">
        <v>8.5</v>
      </c>
      <c r="X96" s="67">
        <v>0.67</v>
      </c>
      <c r="Y96" s="67">
        <v>1</v>
      </c>
      <c r="Z96" s="67">
        <v>12</v>
      </c>
      <c r="AA96" s="67">
        <v>0</v>
      </c>
      <c r="AB96" s="65" t="s">
        <v>2301</v>
      </c>
      <c r="AC96" s="67">
        <v>1992</v>
      </c>
      <c r="AD96" s="67" t="s">
        <v>1972</v>
      </c>
      <c r="AE96" s="297" t="s">
        <v>2281</v>
      </c>
      <c r="AH96" s="49" t="s">
        <v>1115</v>
      </c>
      <c r="AI96" s="132" t="s">
        <v>1834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849</v>
      </c>
      <c r="T97" s="66" t="s">
        <v>2341</v>
      </c>
      <c r="U97" s="66">
        <v>8.57</v>
      </c>
      <c r="V97" s="308">
        <v>8.49</v>
      </c>
      <c r="W97" s="66">
        <v>8.5</v>
      </c>
      <c r="X97" s="66">
        <v>0.6</v>
      </c>
      <c r="Y97" s="66">
        <v>1</v>
      </c>
      <c r="Z97" s="66">
        <v>15</v>
      </c>
      <c r="AA97" s="66">
        <v>0</v>
      </c>
      <c r="AB97" s="49" t="s">
        <v>850</v>
      </c>
      <c r="AC97" s="66">
        <v>2003</v>
      </c>
      <c r="AD97" s="66" t="s">
        <v>1973</v>
      </c>
      <c r="AE97" s="296" t="s">
        <v>2347</v>
      </c>
      <c r="AH97" s="65" t="s">
        <v>1303</v>
      </c>
      <c r="AI97" s="131" t="s">
        <v>1110</v>
      </c>
    </row>
    <row r="98" spans="1:35" ht="16.05" customHeight="1" thickBot="1">
      <c r="A98" s="5" t="s">
        <v>518</v>
      </c>
      <c r="B98" s="257">
        <v>8.5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2323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1034</v>
      </c>
      <c r="T98" s="67" t="s">
        <v>1035</v>
      </c>
      <c r="U98" s="67">
        <v>8.5500000000000007</v>
      </c>
      <c r="V98" s="222">
        <v>8.4700000000000006</v>
      </c>
      <c r="W98" s="67">
        <v>8.5</v>
      </c>
      <c r="X98" s="67">
        <v>0.69</v>
      </c>
      <c r="Y98" s="67">
        <v>1</v>
      </c>
      <c r="Z98" s="67">
        <v>12</v>
      </c>
      <c r="AA98" s="67">
        <v>1</v>
      </c>
      <c r="AB98" s="65" t="s">
        <v>786</v>
      </c>
      <c r="AC98" s="67">
        <v>1999</v>
      </c>
      <c r="AD98" s="67" t="s">
        <v>1942</v>
      </c>
      <c r="AE98" s="297" t="s">
        <v>2215</v>
      </c>
      <c r="AH98" s="49" t="s">
        <v>790</v>
      </c>
      <c r="AI98" s="132" t="s">
        <v>1110</v>
      </c>
    </row>
    <row r="99" spans="1:35" ht="16.05" customHeight="1" thickBot="1">
      <c r="A99" s="5" t="s">
        <v>519</v>
      </c>
      <c r="B99" s="257">
        <v>7.5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342</v>
      </c>
      <c r="T99" s="66" t="s">
        <v>2046</v>
      </c>
      <c r="U99" s="66">
        <v>8.5</v>
      </c>
      <c r="V99" s="284">
        <v>8.4600000000000009</v>
      </c>
      <c r="W99" s="66">
        <v>8.5</v>
      </c>
      <c r="X99" s="66">
        <v>0.35</v>
      </c>
      <c r="Y99" s="66">
        <v>0</v>
      </c>
      <c r="Z99" s="66">
        <v>8</v>
      </c>
      <c r="AA99" s="66">
        <v>0</v>
      </c>
      <c r="AB99" s="49" t="s">
        <v>786</v>
      </c>
      <c r="AC99" s="66">
        <v>2024</v>
      </c>
      <c r="AD99" s="66" t="s">
        <v>1984</v>
      </c>
      <c r="AE99" s="296" t="s">
        <v>2184</v>
      </c>
      <c r="AH99" s="65" t="s">
        <v>1112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1239</v>
      </c>
      <c r="T100" s="67" t="s">
        <v>1240</v>
      </c>
      <c r="U100" s="67">
        <v>8.5299999999999994</v>
      </c>
      <c r="V100" s="246">
        <v>8.4499999999999993</v>
      </c>
      <c r="W100" s="67">
        <v>8.5</v>
      </c>
      <c r="X100" s="67">
        <v>0.96</v>
      </c>
      <c r="Y100" s="67">
        <v>3</v>
      </c>
      <c r="Z100" s="67">
        <v>15</v>
      </c>
      <c r="AA100" s="67">
        <v>0</v>
      </c>
      <c r="AB100" s="65" t="s">
        <v>1244</v>
      </c>
      <c r="AC100" s="67">
        <v>2024</v>
      </c>
      <c r="AD100" s="67" t="s">
        <v>1945</v>
      </c>
      <c r="AE100" s="297" t="s">
        <v>2212</v>
      </c>
      <c r="AH100" s="49" t="s">
        <v>1106</v>
      </c>
      <c r="AI100" s="132" t="s">
        <v>2363</v>
      </c>
    </row>
    <row r="101" spans="1:35" ht="16.05" customHeight="1" thickBot="1">
      <c r="A101" s="8" t="s">
        <v>521</v>
      </c>
      <c r="B101" s="258">
        <v>7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1793</v>
      </c>
      <c r="T101" s="66" t="s">
        <v>1794</v>
      </c>
      <c r="U101" s="66">
        <v>8.5</v>
      </c>
      <c r="V101" s="246">
        <v>8.4499999999999993</v>
      </c>
      <c r="W101" s="66">
        <v>8.5</v>
      </c>
      <c r="X101" s="66">
        <v>0.41</v>
      </c>
      <c r="Y101" s="66">
        <v>0</v>
      </c>
      <c r="Z101" s="66">
        <v>9</v>
      </c>
      <c r="AA101" s="66">
        <v>0</v>
      </c>
      <c r="AB101" s="49" t="s">
        <v>1244</v>
      </c>
      <c r="AC101" s="66">
        <v>2026</v>
      </c>
      <c r="AD101" s="66" t="s">
        <v>1979</v>
      </c>
      <c r="AE101" s="296" t="s">
        <v>2190</v>
      </c>
      <c r="AH101" s="65" t="s">
        <v>2297</v>
      </c>
      <c r="AI101" s="131" t="s">
        <v>2298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543</v>
      </c>
      <c r="T102" s="67" t="s">
        <v>544</v>
      </c>
      <c r="U102" s="67">
        <v>8.5</v>
      </c>
      <c r="V102" s="223">
        <v>8.43</v>
      </c>
      <c r="W102" s="67">
        <v>8.5</v>
      </c>
      <c r="X102" s="67">
        <v>0.59</v>
      </c>
      <c r="Y102" s="67">
        <v>0</v>
      </c>
      <c r="Z102" s="67">
        <v>17</v>
      </c>
      <c r="AA102" s="67">
        <v>4</v>
      </c>
      <c r="AB102" s="65" t="s">
        <v>795</v>
      </c>
      <c r="AC102" s="67">
        <v>2016</v>
      </c>
      <c r="AD102" s="67" t="s">
        <v>1977</v>
      </c>
      <c r="AE102" s="297" t="s">
        <v>2237</v>
      </c>
      <c r="AH102" s="49" t="s">
        <v>2299</v>
      </c>
      <c r="AI102" s="132" t="s">
        <v>2298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342</v>
      </c>
      <c r="T103" s="66" t="s">
        <v>522</v>
      </c>
      <c r="U103" s="66">
        <v>8.5</v>
      </c>
      <c r="V103" s="224">
        <v>8.41</v>
      </c>
      <c r="W103" s="66">
        <v>8.5</v>
      </c>
      <c r="X103" s="66">
        <v>0.94</v>
      </c>
      <c r="Y103" s="66">
        <v>1</v>
      </c>
      <c r="Z103" s="66">
        <v>8</v>
      </c>
      <c r="AA103" s="66">
        <v>0</v>
      </c>
      <c r="AB103" s="49" t="s">
        <v>788</v>
      </c>
      <c r="AC103" s="66">
        <v>2003</v>
      </c>
      <c r="AD103" s="66" t="s">
        <v>1976</v>
      </c>
      <c r="AE103" s="296" t="s">
        <v>2238</v>
      </c>
      <c r="AH103" s="65" t="s">
        <v>1116</v>
      </c>
      <c r="AI103" s="131" t="s">
        <v>1901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2317</v>
      </c>
      <c r="T104" s="67" t="s">
        <v>2318</v>
      </c>
      <c r="U104" s="67">
        <v>8.5399999999999991</v>
      </c>
      <c r="V104" s="224">
        <v>8.41</v>
      </c>
      <c r="W104" s="67">
        <v>8.25</v>
      </c>
      <c r="X104" s="67">
        <v>0.81</v>
      </c>
      <c r="Y104" s="67">
        <v>2</v>
      </c>
      <c r="Z104" s="67">
        <v>14</v>
      </c>
      <c r="AA104" s="67">
        <v>0</v>
      </c>
      <c r="AB104" s="65" t="s">
        <v>2322</v>
      </c>
      <c r="AC104" s="67">
        <v>1991</v>
      </c>
      <c r="AD104" s="67" t="s">
        <v>1957</v>
      </c>
      <c r="AE104" s="297" t="s">
        <v>2340</v>
      </c>
      <c r="AH104" s="49" t="s">
        <v>2163</v>
      </c>
      <c r="AI104" s="132" t="s">
        <v>1899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381</v>
      </c>
      <c r="T105" s="66" t="s">
        <v>382</v>
      </c>
      <c r="U105" s="66">
        <v>8.4600000000000009</v>
      </c>
      <c r="V105" s="225">
        <v>8.39</v>
      </c>
      <c r="W105" s="66">
        <v>8.5</v>
      </c>
      <c r="X105" s="66">
        <v>0.84</v>
      </c>
      <c r="Y105" s="66">
        <v>2</v>
      </c>
      <c r="Z105" s="66">
        <v>13</v>
      </c>
      <c r="AA105" s="66">
        <v>0</v>
      </c>
      <c r="AB105" s="49" t="s">
        <v>792</v>
      </c>
      <c r="AC105" s="66">
        <v>2018</v>
      </c>
      <c r="AD105" s="66" t="s">
        <v>1960</v>
      </c>
      <c r="AE105" s="296" t="s">
        <v>2243</v>
      </c>
      <c r="AH105" s="65" t="s">
        <v>1898</v>
      </c>
      <c r="AI105" s="131" t="s">
        <v>1899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1286</v>
      </c>
      <c r="T106" s="67" t="s">
        <v>1276</v>
      </c>
      <c r="U106" s="67">
        <v>8.4499999999999993</v>
      </c>
      <c r="V106" s="180">
        <v>8.3800000000000008</v>
      </c>
      <c r="W106" s="67">
        <v>8.5</v>
      </c>
      <c r="X106" s="67">
        <v>0.78</v>
      </c>
      <c r="Y106" s="67">
        <v>1</v>
      </c>
      <c r="Z106" s="67">
        <v>11</v>
      </c>
      <c r="AA106" s="67">
        <v>0</v>
      </c>
      <c r="AB106" s="65" t="s">
        <v>1287</v>
      </c>
      <c r="AC106" s="67">
        <v>2024</v>
      </c>
      <c r="AD106" s="67" t="s">
        <v>1979</v>
      </c>
      <c r="AE106" s="297" t="s">
        <v>2211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2072</v>
      </c>
      <c r="T107" s="66" t="s">
        <v>2073</v>
      </c>
      <c r="U107" s="66">
        <v>8.43</v>
      </c>
      <c r="V107" s="180">
        <v>8.3800000000000008</v>
      </c>
      <c r="W107" s="66">
        <v>8.5</v>
      </c>
      <c r="X107" s="66">
        <v>0.49</v>
      </c>
      <c r="Y107" s="66">
        <v>0</v>
      </c>
      <c r="Z107" s="66">
        <v>8</v>
      </c>
      <c r="AA107" s="66">
        <v>1</v>
      </c>
      <c r="AB107" s="49" t="s">
        <v>2074</v>
      </c>
      <c r="AC107" s="66">
        <v>2026</v>
      </c>
      <c r="AD107" s="66" t="s">
        <v>1971</v>
      </c>
      <c r="AE107" s="296" t="s">
        <v>2183</v>
      </c>
      <c r="AH107" s="65" t="s">
        <v>1482</v>
      </c>
      <c r="AI107" s="131" t="s">
        <v>2141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1681</v>
      </c>
      <c r="T108" s="67" t="s">
        <v>1682</v>
      </c>
      <c r="U108" s="67">
        <v>8.4</v>
      </c>
      <c r="V108" s="226">
        <v>8.3699999999999992</v>
      </c>
      <c r="W108" s="67">
        <v>8.5</v>
      </c>
      <c r="X108" s="67">
        <v>0.37</v>
      </c>
      <c r="Y108" s="67">
        <v>0</v>
      </c>
      <c r="Z108" s="67">
        <v>5</v>
      </c>
      <c r="AA108" s="67">
        <v>0</v>
      </c>
      <c r="AB108" s="65" t="s">
        <v>1683</v>
      </c>
      <c r="AC108" s="67">
        <v>2026</v>
      </c>
      <c r="AD108" s="67" t="s">
        <v>1951</v>
      </c>
      <c r="AE108" s="297" t="s">
        <v>2195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357</v>
      </c>
      <c r="T109" s="66" t="s">
        <v>358</v>
      </c>
      <c r="U109" s="66">
        <v>8.42</v>
      </c>
      <c r="V109" s="181">
        <v>8.34</v>
      </c>
      <c r="W109" s="66">
        <v>8.5</v>
      </c>
      <c r="X109" s="66">
        <v>0.91</v>
      </c>
      <c r="Y109" s="66">
        <v>1</v>
      </c>
      <c r="Z109" s="66">
        <v>13</v>
      </c>
      <c r="AA109" s="66">
        <v>1</v>
      </c>
      <c r="AB109" s="49" t="s">
        <v>777</v>
      </c>
      <c r="AC109" s="66">
        <v>2000</v>
      </c>
      <c r="AD109" s="66" t="s">
        <v>1974</v>
      </c>
      <c r="AE109" s="296" t="s">
        <v>2246</v>
      </c>
      <c r="AH109" s="65" t="s">
        <v>1119</v>
      </c>
      <c r="AI109" s="131" t="s">
        <v>1902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1544</v>
      </c>
      <c r="T110" s="67" t="s">
        <v>1600</v>
      </c>
      <c r="U110" s="67">
        <v>8.44</v>
      </c>
      <c r="V110" s="181">
        <v>8.34</v>
      </c>
      <c r="W110" s="67">
        <v>8.5</v>
      </c>
      <c r="X110" s="67">
        <v>1.28</v>
      </c>
      <c r="Y110" s="67">
        <v>2</v>
      </c>
      <c r="Z110" s="67">
        <v>10</v>
      </c>
      <c r="AA110" s="67">
        <v>1</v>
      </c>
      <c r="AB110" s="65" t="s">
        <v>1605</v>
      </c>
      <c r="AC110" s="67">
        <v>2016</v>
      </c>
      <c r="AD110" s="67" t="s">
        <v>1976</v>
      </c>
      <c r="AE110" s="297" t="s">
        <v>2198</v>
      </c>
      <c r="AH110" s="49" t="s">
        <v>1109</v>
      </c>
      <c r="AI110" s="132" t="s">
        <v>1805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2106</v>
      </c>
      <c r="T111" s="66" t="s">
        <v>2092</v>
      </c>
      <c r="U111" s="66">
        <v>8.3800000000000008</v>
      </c>
      <c r="V111" s="291">
        <v>8.33</v>
      </c>
      <c r="W111" s="66">
        <v>8.5</v>
      </c>
      <c r="X111" s="66">
        <v>0.78</v>
      </c>
      <c r="Y111" s="66">
        <v>2</v>
      </c>
      <c r="Z111" s="66">
        <v>19</v>
      </c>
      <c r="AA111" s="66">
        <v>2</v>
      </c>
      <c r="AB111" s="49" t="s">
        <v>2108</v>
      </c>
      <c r="AC111" s="66">
        <v>1994</v>
      </c>
      <c r="AD111" s="66" t="s">
        <v>1938</v>
      </c>
      <c r="AE111" s="296" t="s">
        <v>2182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1165</v>
      </c>
      <c r="T112" s="67" t="s">
        <v>1166</v>
      </c>
      <c r="U112" s="67">
        <v>8.4600000000000009</v>
      </c>
      <c r="V112" s="227">
        <v>8.27</v>
      </c>
      <c r="W112" s="67">
        <v>8</v>
      </c>
      <c r="X112" s="67">
        <v>1.1299999999999999</v>
      </c>
      <c r="Y112" s="67">
        <v>3</v>
      </c>
      <c r="Z112" s="67">
        <v>13</v>
      </c>
      <c r="AA112" s="67">
        <v>1</v>
      </c>
      <c r="AB112" s="65" t="s">
        <v>1167</v>
      </c>
      <c r="AC112" s="67">
        <v>1993</v>
      </c>
      <c r="AD112" s="67" t="s">
        <v>1973</v>
      </c>
      <c r="AE112" s="297" t="s">
        <v>2213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342</v>
      </c>
      <c r="T113" s="66" t="s">
        <v>1864</v>
      </c>
      <c r="U113" s="66">
        <v>8.2899999999999991</v>
      </c>
      <c r="V113" s="227">
        <v>8.27</v>
      </c>
      <c r="W113" s="66">
        <v>8.5</v>
      </c>
      <c r="X113" s="66">
        <v>0.45</v>
      </c>
      <c r="Y113" s="66">
        <v>0</v>
      </c>
      <c r="Z113" s="66">
        <v>9</v>
      </c>
      <c r="AA113" s="66">
        <v>2</v>
      </c>
      <c r="AB113" s="49" t="s">
        <v>788</v>
      </c>
      <c r="AC113" s="66">
        <v>1998</v>
      </c>
      <c r="AD113" s="66" t="s">
        <v>1973</v>
      </c>
      <c r="AE113" s="296" t="s">
        <v>2187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355</v>
      </c>
      <c r="T114" s="67" t="s">
        <v>162</v>
      </c>
      <c r="U114" s="67">
        <v>8.3800000000000008</v>
      </c>
      <c r="V114" s="228">
        <v>8.25</v>
      </c>
      <c r="W114" s="67">
        <v>8.25</v>
      </c>
      <c r="X114" s="67">
        <v>1.06</v>
      </c>
      <c r="Y114" s="67">
        <v>2</v>
      </c>
      <c r="Z114" s="67">
        <v>12</v>
      </c>
      <c r="AA114" s="67">
        <v>0</v>
      </c>
      <c r="AB114" s="65" t="s">
        <v>833</v>
      </c>
      <c r="AC114" s="67">
        <v>1992</v>
      </c>
      <c r="AD114" s="67" t="s">
        <v>1970</v>
      </c>
      <c r="AE114" s="297" t="s">
        <v>2179</v>
      </c>
      <c r="AH114" s="49" t="s">
        <v>1684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342</v>
      </c>
      <c r="T115" s="66" t="s">
        <v>1728</v>
      </c>
      <c r="U115" s="66">
        <v>8.4</v>
      </c>
      <c r="V115" s="228">
        <v>8.25</v>
      </c>
      <c r="W115" s="66">
        <v>8</v>
      </c>
      <c r="X115" s="66">
        <v>0.86</v>
      </c>
      <c r="Y115" s="66">
        <v>1</v>
      </c>
      <c r="Z115" s="66">
        <v>5</v>
      </c>
      <c r="AA115" s="66">
        <v>0</v>
      </c>
      <c r="AB115" s="49" t="s">
        <v>786</v>
      </c>
      <c r="AC115" s="66">
        <v>1996</v>
      </c>
      <c r="AD115" s="66" t="s">
        <v>1965</v>
      </c>
      <c r="AE115" s="296" t="s">
        <v>2192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334</v>
      </c>
      <c r="T116" s="67" t="s">
        <v>318</v>
      </c>
      <c r="U116" s="67">
        <v>8.35</v>
      </c>
      <c r="V116" s="229">
        <v>8.2200000000000006</v>
      </c>
      <c r="W116" s="67">
        <v>8.25</v>
      </c>
      <c r="X116" s="67">
        <v>1.32</v>
      </c>
      <c r="Y116" s="67">
        <v>3</v>
      </c>
      <c r="Z116" s="67">
        <v>10</v>
      </c>
      <c r="AA116" s="67">
        <v>0</v>
      </c>
      <c r="AB116" s="65" t="s">
        <v>784</v>
      </c>
      <c r="AC116" s="67">
        <v>1993</v>
      </c>
      <c r="AD116" s="67" t="s">
        <v>1966</v>
      </c>
      <c r="AE116" s="297" t="s">
        <v>2243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356</v>
      </c>
      <c r="T117" s="66" t="s">
        <v>311</v>
      </c>
      <c r="U117" s="66">
        <v>8.35</v>
      </c>
      <c r="V117" s="230">
        <v>8.1999999999999993</v>
      </c>
      <c r="W117" s="66">
        <v>8</v>
      </c>
      <c r="X117" s="66">
        <v>0.78</v>
      </c>
      <c r="Y117" s="66">
        <v>1</v>
      </c>
      <c r="Z117" s="66">
        <v>10</v>
      </c>
      <c r="AA117" s="66">
        <v>0</v>
      </c>
      <c r="AB117" s="49" t="s">
        <v>835</v>
      </c>
      <c r="AC117" s="66">
        <v>1979</v>
      </c>
      <c r="AD117" s="66" t="s">
        <v>1969</v>
      </c>
      <c r="AE117" s="296" t="s">
        <v>2243</v>
      </c>
      <c r="AH117" s="65" t="s">
        <v>776</v>
      </c>
      <c r="AI117" s="131" t="s">
        <v>1806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361</v>
      </c>
      <c r="T118" s="67" t="s">
        <v>362</v>
      </c>
      <c r="U118" s="67">
        <v>8.33</v>
      </c>
      <c r="V118" s="182">
        <v>8.17</v>
      </c>
      <c r="W118" s="67">
        <v>8</v>
      </c>
      <c r="X118" s="67">
        <v>0.94</v>
      </c>
      <c r="Y118" s="67">
        <v>1</v>
      </c>
      <c r="Z118" s="67">
        <v>9</v>
      </c>
      <c r="AA118" s="67">
        <v>0</v>
      </c>
      <c r="AB118" s="65" t="s">
        <v>772</v>
      </c>
      <c r="AC118" s="67">
        <v>1993</v>
      </c>
      <c r="AD118" s="67" t="s">
        <v>1964</v>
      </c>
      <c r="AE118" s="297" t="s">
        <v>2244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583</v>
      </c>
      <c r="T119" s="66" t="s">
        <v>584</v>
      </c>
      <c r="U119" s="66">
        <v>8.31</v>
      </c>
      <c r="V119" s="182">
        <v>8.16</v>
      </c>
      <c r="W119" s="66">
        <v>8</v>
      </c>
      <c r="X119" s="66">
        <v>0.89</v>
      </c>
      <c r="Y119" s="66">
        <v>2</v>
      </c>
      <c r="Z119" s="66">
        <v>14</v>
      </c>
      <c r="AA119" s="66">
        <v>1</v>
      </c>
      <c r="AB119" s="49" t="s">
        <v>776</v>
      </c>
      <c r="AC119" s="66">
        <v>2016</v>
      </c>
      <c r="AD119" s="66" t="s">
        <v>1960</v>
      </c>
      <c r="AE119" s="296" t="s">
        <v>2236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813</v>
      </c>
      <c r="T120" s="67" t="s">
        <v>814</v>
      </c>
      <c r="U120" s="67">
        <v>8.33</v>
      </c>
      <c r="V120" s="182">
        <v>8.16</v>
      </c>
      <c r="W120" s="67">
        <v>8</v>
      </c>
      <c r="X120" s="67">
        <v>1.1599999999999999</v>
      </c>
      <c r="Y120" s="67">
        <v>3</v>
      </c>
      <c r="Z120" s="67">
        <v>15</v>
      </c>
      <c r="AA120" s="67">
        <v>0</v>
      </c>
      <c r="AB120" s="65" t="s">
        <v>834</v>
      </c>
      <c r="AC120" s="67">
        <v>2003</v>
      </c>
      <c r="AD120" s="67" t="s">
        <v>1980</v>
      </c>
      <c r="AE120" s="297" t="s">
        <v>2225</v>
      </c>
      <c r="AH120" s="49" t="s">
        <v>1607</v>
      </c>
      <c r="AI120" s="132" t="s">
        <v>1608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1852</v>
      </c>
      <c r="T121" s="66" t="s">
        <v>1852</v>
      </c>
      <c r="U121" s="66">
        <v>8.2899999999999991</v>
      </c>
      <c r="V121" s="182">
        <v>8.16</v>
      </c>
      <c r="W121" s="66">
        <v>8</v>
      </c>
      <c r="X121" s="66">
        <v>0.52</v>
      </c>
      <c r="Y121" s="66">
        <v>0</v>
      </c>
      <c r="Z121" s="66">
        <v>7</v>
      </c>
      <c r="AA121" s="66">
        <v>0</v>
      </c>
      <c r="AB121" s="49" t="s">
        <v>1853</v>
      </c>
      <c r="AC121" s="66">
        <v>2018</v>
      </c>
      <c r="AD121" s="66" t="s">
        <v>1981</v>
      </c>
      <c r="AE121" s="296" t="s">
        <v>2188</v>
      </c>
      <c r="AH121" s="65" t="s">
        <v>2074</v>
      </c>
      <c r="AI121" s="131" t="s">
        <v>2085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335</v>
      </c>
      <c r="T122" s="67" t="s">
        <v>623</v>
      </c>
      <c r="U122" s="67">
        <v>8.0500000000000007</v>
      </c>
      <c r="V122" s="170">
        <v>8.11</v>
      </c>
      <c r="W122" s="67">
        <v>8.25</v>
      </c>
      <c r="X122" s="67">
        <v>1.19</v>
      </c>
      <c r="Y122" s="67">
        <v>1</v>
      </c>
      <c r="Z122" s="67">
        <v>11</v>
      </c>
      <c r="AA122" s="67">
        <v>1</v>
      </c>
      <c r="AB122" s="65" t="s">
        <v>764</v>
      </c>
      <c r="AC122" s="67">
        <v>2001</v>
      </c>
      <c r="AD122" s="67" t="s">
        <v>1976</v>
      </c>
      <c r="AE122" s="297" t="s">
        <v>2235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475</v>
      </c>
      <c r="T123" s="66" t="s">
        <v>476</v>
      </c>
      <c r="U123" s="66">
        <v>8.18</v>
      </c>
      <c r="V123" s="231">
        <v>8.06</v>
      </c>
      <c r="W123" s="66">
        <v>8</v>
      </c>
      <c r="X123" s="66">
        <v>0.89</v>
      </c>
      <c r="Y123" s="66">
        <v>2</v>
      </c>
      <c r="Z123" s="66">
        <v>19</v>
      </c>
      <c r="AA123" s="66">
        <v>0</v>
      </c>
      <c r="AB123" s="49" t="s">
        <v>791</v>
      </c>
      <c r="AC123" s="66">
        <v>2023</v>
      </c>
      <c r="AD123" s="66" t="s">
        <v>1959</v>
      </c>
      <c r="AE123" s="296" t="s">
        <v>2239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347</v>
      </c>
      <c r="T124" s="67" t="s">
        <v>1904</v>
      </c>
      <c r="U124" s="67">
        <v>8.18</v>
      </c>
      <c r="V124" s="231">
        <v>8.06</v>
      </c>
      <c r="W124" s="67">
        <v>8</v>
      </c>
      <c r="X124" s="67">
        <v>0.86</v>
      </c>
      <c r="Y124" s="67">
        <v>1</v>
      </c>
      <c r="Z124" s="67">
        <v>11</v>
      </c>
      <c r="AA124" s="67">
        <v>0</v>
      </c>
      <c r="AB124" s="65" t="s">
        <v>1914</v>
      </c>
      <c r="AC124" s="67">
        <v>2001</v>
      </c>
      <c r="AD124" s="67" t="s">
        <v>1937</v>
      </c>
      <c r="AE124" s="297" t="s">
        <v>2185</v>
      </c>
      <c r="AH124" s="49" t="s">
        <v>2142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728</v>
      </c>
      <c r="T125" s="66" t="s">
        <v>1305</v>
      </c>
      <c r="U125" s="66">
        <v>8.11</v>
      </c>
      <c r="V125" s="183">
        <v>8</v>
      </c>
      <c r="W125" s="66">
        <v>8</v>
      </c>
      <c r="X125" s="66">
        <v>0.71</v>
      </c>
      <c r="Y125" s="66">
        <v>0</v>
      </c>
      <c r="Z125" s="66">
        <v>15</v>
      </c>
      <c r="AA125" s="66">
        <v>1</v>
      </c>
      <c r="AB125" s="49" t="s">
        <v>1321</v>
      </c>
      <c r="AC125" s="66">
        <v>2026</v>
      </c>
      <c r="AD125" s="66" t="s">
        <v>1956</v>
      </c>
      <c r="AE125" s="296" t="s">
        <v>2210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394</v>
      </c>
      <c r="T126" s="67" t="s">
        <v>387</v>
      </c>
      <c r="U126" s="67">
        <v>8</v>
      </c>
      <c r="V126" s="232">
        <v>7.98</v>
      </c>
      <c r="W126" s="67">
        <v>8.25</v>
      </c>
      <c r="X126" s="67">
        <v>0.56000000000000005</v>
      </c>
      <c r="Y126" s="67">
        <v>0</v>
      </c>
      <c r="Z126" s="67">
        <v>9</v>
      </c>
      <c r="AA126" s="67">
        <v>1</v>
      </c>
      <c r="AB126" s="65" t="s">
        <v>767</v>
      </c>
      <c r="AC126" s="67">
        <v>2005</v>
      </c>
      <c r="AD126" s="67" t="s">
        <v>1971</v>
      </c>
      <c r="AE126" s="297" t="s">
        <v>2243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345</v>
      </c>
      <c r="T127" s="66" t="s">
        <v>702</v>
      </c>
      <c r="U127" s="66">
        <v>8.07</v>
      </c>
      <c r="V127" s="184">
        <v>7.95</v>
      </c>
      <c r="W127" s="66">
        <v>8</v>
      </c>
      <c r="X127" s="66">
        <v>1.07</v>
      </c>
      <c r="Y127" s="66">
        <v>2</v>
      </c>
      <c r="Z127" s="66">
        <v>16</v>
      </c>
      <c r="AA127" s="66">
        <v>2</v>
      </c>
      <c r="AB127" s="49" t="s">
        <v>769</v>
      </c>
      <c r="AC127" s="66">
        <v>1997</v>
      </c>
      <c r="AD127" s="66" t="s">
        <v>1965</v>
      </c>
      <c r="AE127" s="296" t="s">
        <v>2231</v>
      </c>
      <c r="AH127" s="65" t="s">
        <v>1134</v>
      </c>
      <c r="AI127" s="131" t="s">
        <v>1698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1429</v>
      </c>
      <c r="T128" s="67" t="s">
        <v>1430</v>
      </c>
      <c r="U128" s="67">
        <v>8.0500000000000007</v>
      </c>
      <c r="V128" s="184">
        <v>7.95</v>
      </c>
      <c r="W128" s="67">
        <v>8</v>
      </c>
      <c r="X128" s="67">
        <v>0.72</v>
      </c>
      <c r="Y128" s="67">
        <v>0</v>
      </c>
      <c r="Z128" s="67">
        <v>10</v>
      </c>
      <c r="AA128" s="67">
        <v>0</v>
      </c>
      <c r="AB128" s="65" t="s">
        <v>763</v>
      </c>
      <c r="AC128" s="67">
        <v>2026</v>
      </c>
      <c r="AD128" s="67" t="s">
        <v>1971</v>
      </c>
      <c r="AE128" s="297" t="s">
        <v>2205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342</v>
      </c>
      <c r="T129" s="66" t="s">
        <v>1782</v>
      </c>
      <c r="U129" s="66">
        <v>8.06</v>
      </c>
      <c r="V129" s="184">
        <v>7.95</v>
      </c>
      <c r="W129" s="66">
        <v>8</v>
      </c>
      <c r="X129" s="66">
        <v>0.81</v>
      </c>
      <c r="Y129" s="66">
        <v>0</v>
      </c>
      <c r="Z129" s="66">
        <v>8</v>
      </c>
      <c r="AA129" s="66">
        <v>0</v>
      </c>
      <c r="AB129" s="49" t="s">
        <v>1088</v>
      </c>
      <c r="AC129" s="66">
        <v>2014</v>
      </c>
      <c r="AD129" s="66" t="s">
        <v>1980</v>
      </c>
      <c r="AE129" s="296" t="s">
        <v>2190</v>
      </c>
      <c r="AH129" s="65" t="s">
        <v>784</v>
      </c>
      <c r="AI129" s="131" t="s">
        <v>1835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2382</v>
      </c>
      <c r="T130" s="67" t="s">
        <v>2383</v>
      </c>
      <c r="U130" s="67">
        <v>8</v>
      </c>
      <c r="V130" s="252">
        <v>7.94</v>
      </c>
      <c r="W130" s="67">
        <v>8</v>
      </c>
      <c r="X130" s="67">
        <v>0.45</v>
      </c>
      <c r="Y130" s="67">
        <v>0</v>
      </c>
      <c r="Z130" s="67">
        <v>10</v>
      </c>
      <c r="AA130" s="67">
        <v>0</v>
      </c>
      <c r="AB130" s="65" t="s">
        <v>1100</v>
      </c>
      <c r="AC130" s="67">
        <v>2025</v>
      </c>
      <c r="AD130" s="67" t="s">
        <v>1974</v>
      </c>
      <c r="AE130" s="297" t="s">
        <v>2347</v>
      </c>
      <c r="AH130" s="49" t="s">
        <v>1935</v>
      </c>
      <c r="AI130" s="132" t="s">
        <v>1936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345</v>
      </c>
      <c r="T131" s="66" t="s">
        <v>1578</v>
      </c>
      <c r="U131" s="66">
        <v>8</v>
      </c>
      <c r="V131" s="233">
        <v>7.79</v>
      </c>
      <c r="W131" s="66">
        <v>7.5</v>
      </c>
      <c r="X131" s="66">
        <v>0.88</v>
      </c>
      <c r="Y131" s="66">
        <v>0</v>
      </c>
      <c r="Z131" s="66">
        <v>10</v>
      </c>
      <c r="AA131" s="66">
        <v>1</v>
      </c>
      <c r="AB131" s="49" t="s">
        <v>1589</v>
      </c>
      <c r="AC131" s="66">
        <v>2005</v>
      </c>
      <c r="AD131" s="66" t="s">
        <v>1963</v>
      </c>
      <c r="AE131" s="296" t="s">
        <v>2199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335</v>
      </c>
      <c r="T132" s="67" t="s">
        <v>954</v>
      </c>
      <c r="U132" s="67">
        <v>7.88</v>
      </c>
      <c r="V132" s="234">
        <v>7.74</v>
      </c>
      <c r="W132" s="67">
        <v>7.75</v>
      </c>
      <c r="X132" s="67">
        <v>0.86</v>
      </c>
      <c r="Y132" s="67">
        <v>0</v>
      </c>
      <c r="Z132" s="67">
        <v>8</v>
      </c>
      <c r="AA132" s="67">
        <v>0</v>
      </c>
      <c r="AB132" s="65" t="s">
        <v>955</v>
      </c>
      <c r="AC132" s="67">
        <v>2011</v>
      </c>
      <c r="AD132" s="67" t="s">
        <v>1974</v>
      </c>
      <c r="AE132" s="297" t="s">
        <v>2220</v>
      </c>
      <c r="AH132" s="49" t="s">
        <v>1591</v>
      </c>
      <c r="AI132" s="132" t="s">
        <v>1592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657</v>
      </c>
      <c r="T133" s="66" t="s">
        <v>658</v>
      </c>
      <c r="U133" s="66">
        <v>7.72</v>
      </c>
      <c r="V133" s="235">
        <v>7.7</v>
      </c>
      <c r="W133" s="66">
        <v>8</v>
      </c>
      <c r="X133" s="66">
        <v>0.57999999999999996</v>
      </c>
      <c r="Y133" s="66">
        <v>0</v>
      </c>
      <c r="Z133" s="66">
        <v>18</v>
      </c>
      <c r="AA133" s="66">
        <v>0</v>
      </c>
      <c r="AB133" s="49" t="s">
        <v>792</v>
      </c>
      <c r="AC133" s="66">
        <v>2026</v>
      </c>
      <c r="AD133" s="66" t="s">
        <v>1962</v>
      </c>
      <c r="AE133" s="296" t="s">
        <v>2233</v>
      </c>
      <c r="AH133" s="65" t="s">
        <v>1593</v>
      </c>
      <c r="AI133" s="131" t="s">
        <v>1592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505</v>
      </c>
      <c r="T134" s="67" t="s">
        <v>506</v>
      </c>
      <c r="U134" s="67">
        <v>7.67</v>
      </c>
      <c r="V134" s="236">
        <v>7.66</v>
      </c>
      <c r="W134" s="67">
        <v>8</v>
      </c>
      <c r="X134" s="67">
        <v>0.59</v>
      </c>
      <c r="Y134" s="67">
        <v>0</v>
      </c>
      <c r="Z134" s="67">
        <v>12</v>
      </c>
      <c r="AA134" s="67">
        <v>0</v>
      </c>
      <c r="AB134" s="65" t="s">
        <v>778</v>
      </c>
      <c r="AC134" s="67">
        <v>2021</v>
      </c>
      <c r="AD134" s="67" t="s">
        <v>1977</v>
      </c>
      <c r="AE134" s="297" t="s">
        <v>2238</v>
      </c>
      <c r="AH134" s="49" t="s">
        <v>1133</v>
      </c>
      <c r="AI134" s="132" t="s">
        <v>2007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346</v>
      </c>
      <c r="T135" s="66" t="s">
        <v>346</v>
      </c>
      <c r="U135" s="66">
        <v>7.77</v>
      </c>
      <c r="V135" s="237">
        <v>7.64</v>
      </c>
      <c r="W135" s="66">
        <v>7.5</v>
      </c>
      <c r="X135" s="66">
        <v>0.62</v>
      </c>
      <c r="Y135" s="66">
        <v>0</v>
      </c>
      <c r="Z135" s="66">
        <v>11</v>
      </c>
      <c r="AA135" s="66">
        <v>0</v>
      </c>
      <c r="AB135" s="49" t="s">
        <v>787</v>
      </c>
      <c r="AC135" s="66">
        <v>2026</v>
      </c>
      <c r="AD135" s="66" t="s">
        <v>1948</v>
      </c>
      <c r="AE135" s="296" t="s">
        <v>2240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1832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1209</v>
      </c>
      <c r="T136" s="67" t="s">
        <v>1210</v>
      </c>
      <c r="U136" s="67">
        <v>7.71</v>
      </c>
      <c r="V136" s="185">
        <v>7.61</v>
      </c>
      <c r="W136" s="67">
        <v>7.5</v>
      </c>
      <c r="X136" s="67">
        <v>0.45</v>
      </c>
      <c r="Y136" s="67">
        <v>0</v>
      </c>
      <c r="Z136" s="67">
        <v>8</v>
      </c>
      <c r="AA136" s="67">
        <v>1</v>
      </c>
      <c r="AB136" s="65" t="s">
        <v>1212</v>
      </c>
      <c r="AC136" s="67">
        <v>2020</v>
      </c>
      <c r="AD136" s="67" t="s">
        <v>1982</v>
      </c>
      <c r="AE136" s="297" t="s">
        <v>2212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335</v>
      </c>
      <c r="T137" s="66" t="s">
        <v>993</v>
      </c>
      <c r="U137" s="66">
        <v>7.5</v>
      </c>
      <c r="V137" s="238">
        <v>7.4</v>
      </c>
      <c r="W137" s="66">
        <v>7.5</v>
      </c>
      <c r="X137" s="66">
        <v>0.76</v>
      </c>
      <c r="Y137" s="66">
        <v>0</v>
      </c>
      <c r="Z137" s="66">
        <v>12</v>
      </c>
      <c r="AA137" s="66">
        <v>0</v>
      </c>
      <c r="AB137" s="49" t="s">
        <v>785</v>
      </c>
      <c r="AC137" s="66">
        <v>1993</v>
      </c>
      <c r="AD137" s="66" t="s">
        <v>1940</v>
      </c>
      <c r="AE137" s="296" t="s">
        <v>2218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828</v>
      </c>
      <c r="T138" s="67" t="s">
        <v>1923</v>
      </c>
      <c r="U138" s="67">
        <v>7.31</v>
      </c>
      <c r="V138" s="280">
        <v>7.2</v>
      </c>
      <c r="W138" s="67">
        <v>7.25</v>
      </c>
      <c r="X138" s="67">
        <v>0.73</v>
      </c>
      <c r="Y138" s="67">
        <v>0</v>
      </c>
      <c r="Z138" s="67">
        <v>18</v>
      </c>
      <c r="AA138" s="67">
        <v>0</v>
      </c>
      <c r="AB138" s="65" t="s">
        <v>1133</v>
      </c>
      <c r="AC138" s="67">
        <v>2026</v>
      </c>
      <c r="AD138" s="67" t="s">
        <v>1940</v>
      </c>
      <c r="AE138" s="297" t="s">
        <v>2185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427</v>
      </c>
      <c r="T139" s="66" t="s">
        <v>428</v>
      </c>
      <c r="U139" s="66">
        <v>7.29</v>
      </c>
      <c r="V139" s="239">
        <v>7.16</v>
      </c>
      <c r="W139" s="66">
        <v>7</v>
      </c>
      <c r="X139" s="66">
        <v>0.52</v>
      </c>
      <c r="Y139" s="66">
        <v>0</v>
      </c>
      <c r="Z139" s="66">
        <v>7</v>
      </c>
      <c r="AA139" s="66">
        <v>0</v>
      </c>
      <c r="AB139" s="49" t="s">
        <v>793</v>
      </c>
      <c r="AC139" s="66">
        <v>2021</v>
      </c>
      <c r="AD139" s="66" t="s">
        <v>1983</v>
      </c>
      <c r="AE139" s="296" t="s">
        <v>2241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678</v>
      </c>
      <c r="T140" s="67" t="s">
        <v>679</v>
      </c>
      <c r="U140" s="67">
        <v>7.06</v>
      </c>
      <c r="V140" s="240">
        <v>6.99</v>
      </c>
      <c r="W140" s="67">
        <v>7</v>
      </c>
      <c r="X140" s="67">
        <v>0.44</v>
      </c>
      <c r="Y140" s="67">
        <v>0</v>
      </c>
      <c r="Z140" s="67">
        <v>10</v>
      </c>
      <c r="AA140" s="67">
        <v>1</v>
      </c>
      <c r="AB140" s="65" t="s">
        <v>786</v>
      </c>
      <c r="AC140" s="67">
        <v>2026</v>
      </c>
      <c r="AD140" s="67" t="s">
        <v>1984</v>
      </c>
      <c r="AE140" s="297" t="s">
        <v>2232</v>
      </c>
      <c r="AH140" s="130" t="s">
        <v>2008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343</v>
      </c>
      <c r="T141" s="66" t="s">
        <v>1819</v>
      </c>
      <c r="U141" s="66">
        <v>3.68</v>
      </c>
      <c r="V141" s="251">
        <v>3.37</v>
      </c>
      <c r="W141" s="66">
        <v>3</v>
      </c>
      <c r="X141" s="66">
        <v>1.37</v>
      </c>
      <c r="Y141" s="66">
        <v>0</v>
      </c>
      <c r="Z141" s="66">
        <v>11</v>
      </c>
      <c r="AA141" s="66">
        <v>0</v>
      </c>
      <c r="AB141" s="49" t="s">
        <v>784</v>
      </c>
      <c r="AC141" s="66">
        <v>2003</v>
      </c>
      <c r="AD141" s="66" t="s">
        <v>1941</v>
      </c>
      <c r="AE141" s="296" t="s">
        <v>2189</v>
      </c>
      <c r="AH141" s="65" t="s">
        <v>2009</v>
      </c>
      <c r="AI141" s="131" t="s">
        <v>2392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V142"/>
      <c r="W142"/>
      <c r="X142"/>
      <c r="Y142"/>
      <c r="Z142"/>
      <c r="AH142" s="49" t="s">
        <v>2010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309" t="s">
        <v>1355</v>
      </c>
      <c r="S143" s="309"/>
      <c r="T143" s="309"/>
      <c r="U143" s="309"/>
      <c r="V143" s="309"/>
      <c r="W143" s="309"/>
      <c r="X143" s="309"/>
      <c r="Y143" s="309"/>
      <c r="Z143" s="309"/>
      <c r="AA143" s="309"/>
      <c r="AB143" s="309"/>
      <c r="AC143" s="309"/>
      <c r="AD143" s="309"/>
      <c r="AE143" s="309"/>
      <c r="AH143" s="65" t="s">
        <v>2011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48" t="s">
        <v>360</v>
      </c>
      <c r="S144" s="48" t="s">
        <v>327</v>
      </c>
      <c r="T144" s="48" t="s">
        <v>525</v>
      </c>
      <c r="U144" s="48" t="s">
        <v>329</v>
      </c>
      <c r="V144" s="48" t="s">
        <v>2061</v>
      </c>
      <c r="W144" s="48" t="s">
        <v>523</v>
      </c>
      <c r="X144" s="48" t="s">
        <v>330</v>
      </c>
      <c r="Y144" s="48" t="s">
        <v>331</v>
      </c>
      <c r="Z144" s="48" t="s">
        <v>332</v>
      </c>
      <c r="AA144" s="48" t="s">
        <v>333</v>
      </c>
      <c r="AB144" s="48" t="s">
        <v>922</v>
      </c>
      <c r="AC144" s="48" t="s">
        <v>1985</v>
      </c>
      <c r="AD144" s="48" t="s">
        <v>1986</v>
      </c>
      <c r="AE144" s="48" t="s">
        <v>2176</v>
      </c>
      <c r="AH144" s="49" t="s">
        <v>2012</v>
      </c>
      <c r="AI144" s="132" t="s">
        <v>2364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7">
        <v>1</v>
      </c>
      <c r="S145" s="49" t="s">
        <v>340</v>
      </c>
      <c r="T145" s="66">
        <v>4</v>
      </c>
      <c r="U145" s="66">
        <v>9.48</v>
      </c>
      <c r="V145" s="201">
        <v>9.73</v>
      </c>
      <c r="W145" s="66">
        <v>9.56</v>
      </c>
      <c r="X145" s="66">
        <v>0.76</v>
      </c>
      <c r="Y145" s="66">
        <v>13</v>
      </c>
      <c r="Z145" s="66">
        <v>26</v>
      </c>
      <c r="AA145" s="66">
        <v>1</v>
      </c>
      <c r="AB145" s="49" t="s">
        <v>1042</v>
      </c>
      <c r="AC145" s="66" t="s">
        <v>1987</v>
      </c>
      <c r="AD145" s="66" t="s">
        <v>1976</v>
      </c>
      <c r="AE145" s="296" t="s">
        <v>2248</v>
      </c>
      <c r="AH145" s="65" t="s">
        <v>2013</v>
      </c>
      <c r="AI145" s="131" t="s">
        <v>2014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8">
        <v>2</v>
      </c>
      <c r="S146" s="65" t="s">
        <v>334</v>
      </c>
      <c r="T146" s="67">
        <v>5</v>
      </c>
      <c r="U146" s="67">
        <v>9.36</v>
      </c>
      <c r="V146" s="241">
        <v>9.68</v>
      </c>
      <c r="W146" s="67">
        <v>9.65</v>
      </c>
      <c r="X146" s="67">
        <v>0.91</v>
      </c>
      <c r="Y146" s="67">
        <v>22</v>
      </c>
      <c r="Z146" s="67">
        <v>58</v>
      </c>
      <c r="AA146" s="67">
        <v>14</v>
      </c>
      <c r="AB146" s="65" t="s">
        <v>1273</v>
      </c>
      <c r="AC146" s="67" t="s">
        <v>1988</v>
      </c>
      <c r="AD146" s="67" t="s">
        <v>1938</v>
      </c>
      <c r="AE146" s="297" t="s">
        <v>2248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9">
        <v>3</v>
      </c>
      <c r="S147" s="49" t="s">
        <v>339</v>
      </c>
      <c r="T147" s="66">
        <v>3</v>
      </c>
      <c r="U147" s="66">
        <v>9.18</v>
      </c>
      <c r="V147" s="242">
        <v>9.1999999999999993</v>
      </c>
      <c r="W147" s="66">
        <v>8.92</v>
      </c>
      <c r="X147" s="66">
        <v>0.74</v>
      </c>
      <c r="Y147" s="66">
        <v>5</v>
      </c>
      <c r="Z147" s="66">
        <v>16</v>
      </c>
      <c r="AA147" s="66">
        <v>0</v>
      </c>
      <c r="AB147" s="49" t="s">
        <v>1417</v>
      </c>
      <c r="AC147" s="66" t="s">
        <v>1989</v>
      </c>
      <c r="AD147" s="66" t="s">
        <v>1957</v>
      </c>
      <c r="AE147" s="296" t="s">
        <v>2248</v>
      </c>
      <c r="AH147" s="130" t="s">
        <v>2015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4</v>
      </c>
      <c r="S148" s="65" t="s">
        <v>338</v>
      </c>
      <c r="T148" s="67">
        <v>2</v>
      </c>
      <c r="U148" s="67">
        <v>8.99</v>
      </c>
      <c r="V148" s="210">
        <v>9.0399999999999991</v>
      </c>
      <c r="W148" s="67">
        <v>8.75</v>
      </c>
      <c r="X148" s="67">
        <v>0.9</v>
      </c>
      <c r="Y148" s="67">
        <v>5</v>
      </c>
      <c r="Z148" s="67">
        <v>18</v>
      </c>
      <c r="AA148" s="67">
        <v>0</v>
      </c>
      <c r="AB148" s="65" t="s">
        <v>2160</v>
      </c>
      <c r="AC148" s="67" t="s">
        <v>2161</v>
      </c>
      <c r="AD148" s="67" t="s">
        <v>1976</v>
      </c>
      <c r="AE148" s="297" t="s">
        <v>2248</v>
      </c>
      <c r="AH148" s="49" t="s">
        <v>2016</v>
      </c>
      <c r="AI148" s="132" t="s">
        <v>2017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5</v>
      </c>
      <c r="S149" s="49" t="s">
        <v>490</v>
      </c>
      <c r="T149" s="66">
        <v>3</v>
      </c>
      <c r="U149" s="66">
        <v>8.94</v>
      </c>
      <c r="V149" s="211">
        <v>9</v>
      </c>
      <c r="W149" s="66">
        <v>8.83</v>
      </c>
      <c r="X149" s="66">
        <v>0.85</v>
      </c>
      <c r="Y149" s="66">
        <v>6</v>
      </c>
      <c r="Z149" s="66">
        <v>27</v>
      </c>
      <c r="AA149" s="66">
        <v>0</v>
      </c>
      <c r="AB149" s="49" t="s">
        <v>767</v>
      </c>
      <c r="AC149" s="66" t="s">
        <v>1990</v>
      </c>
      <c r="AD149" s="66" t="s">
        <v>1955</v>
      </c>
      <c r="AE149" s="296" t="s">
        <v>2248</v>
      </c>
      <c r="AH149" s="65" t="s">
        <v>2018</v>
      </c>
      <c r="AI149" s="131" t="s">
        <v>2173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6</v>
      </c>
      <c r="S150" s="65" t="s">
        <v>1192</v>
      </c>
      <c r="T150" s="67">
        <v>2</v>
      </c>
      <c r="U150" s="67">
        <v>8.7200000000000006</v>
      </c>
      <c r="V150" s="282">
        <v>8.9</v>
      </c>
      <c r="W150" s="67">
        <v>8.5</v>
      </c>
      <c r="X150" s="67">
        <v>0.94</v>
      </c>
      <c r="Y150" s="67">
        <v>10</v>
      </c>
      <c r="Z150" s="67">
        <v>54</v>
      </c>
      <c r="AA150" s="67">
        <v>2</v>
      </c>
      <c r="AB150" s="65" t="s">
        <v>1576</v>
      </c>
      <c r="AC150" s="67" t="s">
        <v>2155</v>
      </c>
      <c r="AD150" s="67" t="s">
        <v>2156</v>
      </c>
      <c r="AE150" s="297" t="s">
        <v>2248</v>
      </c>
      <c r="AH150" s="49" t="s">
        <v>2019</v>
      </c>
      <c r="AI150" s="132" t="s">
        <v>2370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7</v>
      </c>
      <c r="S151" s="49" t="s">
        <v>349</v>
      </c>
      <c r="T151" s="66">
        <v>2</v>
      </c>
      <c r="U151" s="66">
        <v>8.83</v>
      </c>
      <c r="V151" s="173">
        <v>8.85</v>
      </c>
      <c r="W151" s="66">
        <v>8.5</v>
      </c>
      <c r="X151" s="66">
        <v>0.88</v>
      </c>
      <c r="Y151" s="66">
        <v>4</v>
      </c>
      <c r="Z151" s="66">
        <v>18</v>
      </c>
      <c r="AA151" s="66">
        <v>0</v>
      </c>
      <c r="AB151" s="49" t="s">
        <v>2062</v>
      </c>
      <c r="AC151" s="66" t="s">
        <v>1992</v>
      </c>
      <c r="AD151" s="66" t="s">
        <v>1957</v>
      </c>
      <c r="AE151" s="296" t="s">
        <v>2248</v>
      </c>
      <c r="AH151" s="65" t="s">
        <v>2020</v>
      </c>
      <c r="AI151" s="131" t="s">
        <v>2345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8</v>
      </c>
      <c r="S152" s="65" t="s">
        <v>354</v>
      </c>
      <c r="T152" s="67">
        <v>2</v>
      </c>
      <c r="U152" s="67">
        <v>8.85</v>
      </c>
      <c r="V152" s="215">
        <v>8.84</v>
      </c>
      <c r="W152" s="67">
        <v>8.75</v>
      </c>
      <c r="X152" s="67">
        <v>0.73</v>
      </c>
      <c r="Y152" s="67">
        <v>4</v>
      </c>
      <c r="Z152" s="67">
        <v>25</v>
      </c>
      <c r="AA152" s="67">
        <v>0</v>
      </c>
      <c r="AB152" s="65" t="s">
        <v>1882</v>
      </c>
      <c r="AC152" s="67" t="s">
        <v>1991</v>
      </c>
      <c r="AD152" s="67" t="s">
        <v>1954</v>
      </c>
      <c r="AE152" s="297" t="s">
        <v>2248</v>
      </c>
      <c r="AH152" s="49" t="s">
        <v>2021</v>
      </c>
      <c r="AI152" s="132" t="s">
        <v>2365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9</v>
      </c>
      <c r="S153" s="49" t="s">
        <v>335</v>
      </c>
      <c r="T153" s="66">
        <v>9</v>
      </c>
      <c r="U153" s="66">
        <v>8.67</v>
      </c>
      <c r="V153" s="174">
        <v>8.7899999999999991</v>
      </c>
      <c r="W153" s="66">
        <v>8.69</v>
      </c>
      <c r="X153" s="66">
        <v>0.86</v>
      </c>
      <c r="Y153" s="66">
        <v>20</v>
      </c>
      <c r="Z153" s="66">
        <v>101</v>
      </c>
      <c r="AA153" s="66">
        <v>4</v>
      </c>
      <c r="AB153" s="49" t="s">
        <v>956</v>
      </c>
      <c r="AC153" s="66" t="s">
        <v>1995</v>
      </c>
      <c r="AD153" s="66" t="s">
        <v>1948</v>
      </c>
      <c r="AE153" s="296" t="s">
        <v>2248</v>
      </c>
      <c r="AH153" s="65" t="s">
        <v>2022</v>
      </c>
      <c r="AI153" s="131" t="s">
        <v>2321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10</v>
      </c>
      <c r="S154" s="65" t="s">
        <v>353</v>
      </c>
      <c r="T154" s="67">
        <v>3</v>
      </c>
      <c r="U154" s="67">
        <v>8.77</v>
      </c>
      <c r="V154" s="174">
        <v>8.7899999999999991</v>
      </c>
      <c r="W154" s="67">
        <v>8.67</v>
      </c>
      <c r="X154" s="67">
        <v>0.81</v>
      </c>
      <c r="Y154" s="67">
        <v>6</v>
      </c>
      <c r="Z154" s="67">
        <v>34</v>
      </c>
      <c r="AA154" s="67">
        <v>1</v>
      </c>
      <c r="AB154" s="65" t="s">
        <v>1670</v>
      </c>
      <c r="AC154" s="67" t="s">
        <v>1993</v>
      </c>
      <c r="AD154" s="67" t="s">
        <v>1967</v>
      </c>
      <c r="AE154" s="297" t="s">
        <v>2248</v>
      </c>
      <c r="AH154" s="49" t="s">
        <v>2023</v>
      </c>
      <c r="AI154" s="132" t="s">
        <v>2300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11</v>
      </c>
      <c r="S155" s="49" t="s">
        <v>1719</v>
      </c>
      <c r="T155" s="66">
        <v>2</v>
      </c>
      <c r="U155" s="66">
        <v>8.81</v>
      </c>
      <c r="V155" s="175">
        <v>8.77</v>
      </c>
      <c r="W155" s="66">
        <v>8.5</v>
      </c>
      <c r="X155" s="66">
        <v>0.81</v>
      </c>
      <c r="Y155" s="66">
        <v>3</v>
      </c>
      <c r="Z155" s="66">
        <v>16</v>
      </c>
      <c r="AA155" s="66">
        <v>0</v>
      </c>
      <c r="AB155" s="49" t="s">
        <v>1374</v>
      </c>
      <c r="AC155" s="66" t="s">
        <v>2177</v>
      </c>
      <c r="AD155" s="66" t="s">
        <v>1940</v>
      </c>
      <c r="AE155" s="296" t="s">
        <v>2248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12</v>
      </c>
      <c r="S156" s="65" t="s">
        <v>1459</v>
      </c>
      <c r="T156" s="67">
        <v>2</v>
      </c>
      <c r="U156" s="67">
        <v>8.77</v>
      </c>
      <c r="V156" s="177">
        <v>8.67</v>
      </c>
      <c r="W156" s="67">
        <v>8.5</v>
      </c>
      <c r="X156" s="67">
        <v>0.62</v>
      </c>
      <c r="Y156" s="67">
        <v>2</v>
      </c>
      <c r="Z156" s="67">
        <v>17</v>
      </c>
      <c r="AA156" s="67">
        <v>1</v>
      </c>
      <c r="AB156" s="65" t="s">
        <v>1720</v>
      </c>
      <c r="AC156" s="67" t="s">
        <v>2319</v>
      </c>
      <c r="AD156" s="67" t="s">
        <v>1994</v>
      </c>
      <c r="AE156" s="297" t="s">
        <v>2248</v>
      </c>
      <c r="AH156" s="130" t="s">
        <v>2024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13</v>
      </c>
      <c r="S157" s="49" t="s">
        <v>849</v>
      </c>
      <c r="T157" s="66">
        <v>2</v>
      </c>
      <c r="U157" s="66">
        <v>8.64</v>
      </c>
      <c r="V157" s="218">
        <v>8.6300000000000008</v>
      </c>
      <c r="W157" s="66">
        <v>8.5</v>
      </c>
      <c r="X157" s="66">
        <v>0.68</v>
      </c>
      <c r="Y157" s="66">
        <v>3</v>
      </c>
      <c r="Z157" s="66">
        <v>29</v>
      </c>
      <c r="AA157" s="66">
        <v>0</v>
      </c>
      <c r="AB157" s="49" t="s">
        <v>850</v>
      </c>
      <c r="AC157" s="66" t="s">
        <v>2360</v>
      </c>
      <c r="AD157" s="66" t="s">
        <v>1971</v>
      </c>
      <c r="AE157" s="296" t="s">
        <v>2248</v>
      </c>
      <c r="AH157" s="65" t="s">
        <v>2025</v>
      </c>
      <c r="AI157" s="131" t="s">
        <v>2392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14</v>
      </c>
      <c r="S158" s="65" t="s">
        <v>1544</v>
      </c>
      <c r="T158" s="67">
        <v>2</v>
      </c>
      <c r="U158" s="67">
        <v>8.6300000000000008</v>
      </c>
      <c r="V158" s="243">
        <v>8.59</v>
      </c>
      <c r="W158" s="67">
        <v>8.5</v>
      </c>
      <c r="X158" s="67">
        <v>1.05</v>
      </c>
      <c r="Y158" s="67">
        <v>4</v>
      </c>
      <c r="Z158" s="67">
        <v>22</v>
      </c>
      <c r="AA158" s="67">
        <v>2</v>
      </c>
      <c r="AB158" s="65" t="s">
        <v>1606</v>
      </c>
      <c r="AC158" s="67" t="s">
        <v>1996</v>
      </c>
      <c r="AD158" s="67" t="s">
        <v>1980</v>
      </c>
      <c r="AE158" s="297" t="s">
        <v>2248</v>
      </c>
      <c r="AH158" s="49" t="s">
        <v>2026</v>
      </c>
      <c r="AI158" s="132" t="s">
        <v>1980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15</v>
      </c>
      <c r="S159" s="49" t="s">
        <v>342</v>
      </c>
      <c r="T159" s="66">
        <v>8</v>
      </c>
      <c r="U159" s="66">
        <v>8.58</v>
      </c>
      <c r="V159" s="179">
        <v>8.5500000000000007</v>
      </c>
      <c r="W159" s="66">
        <v>8.4700000000000006</v>
      </c>
      <c r="X159" s="66">
        <v>0.76</v>
      </c>
      <c r="Y159" s="66">
        <v>7</v>
      </c>
      <c r="Z159" s="66">
        <v>60</v>
      </c>
      <c r="AA159" s="66">
        <v>2</v>
      </c>
      <c r="AB159" s="49" t="s">
        <v>2057</v>
      </c>
      <c r="AC159" s="66" t="s">
        <v>2058</v>
      </c>
      <c r="AD159" s="66" t="s">
        <v>1952</v>
      </c>
      <c r="AE159" s="296" t="s">
        <v>2248</v>
      </c>
      <c r="AH159" s="65" t="s">
        <v>2027</v>
      </c>
      <c r="AI159" s="131" t="s">
        <v>2158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16</v>
      </c>
      <c r="S160" s="65" t="s">
        <v>728</v>
      </c>
      <c r="T160" s="67">
        <v>3</v>
      </c>
      <c r="U160" s="67">
        <v>8.5500000000000007</v>
      </c>
      <c r="V160" s="179">
        <v>8.5500000000000007</v>
      </c>
      <c r="W160" s="67">
        <v>8.17</v>
      </c>
      <c r="X160" s="67">
        <v>0.83</v>
      </c>
      <c r="Y160" s="67">
        <v>6</v>
      </c>
      <c r="Z160" s="67">
        <v>46</v>
      </c>
      <c r="AA160" s="67">
        <v>4</v>
      </c>
      <c r="AB160" s="65" t="s">
        <v>1461</v>
      </c>
      <c r="AC160" s="67" t="s">
        <v>1997</v>
      </c>
      <c r="AD160" s="67" t="s">
        <v>1960</v>
      </c>
      <c r="AE160" s="297" t="s">
        <v>2248</v>
      </c>
      <c r="AH160" s="49" t="s">
        <v>2028</v>
      </c>
      <c r="AI160" s="132" t="s">
        <v>2029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17</v>
      </c>
      <c r="S161" s="49" t="s">
        <v>347</v>
      </c>
      <c r="T161" s="66">
        <v>2</v>
      </c>
      <c r="U161" s="66">
        <v>8.5399999999999991</v>
      </c>
      <c r="V161" s="222">
        <v>8.4700000000000006</v>
      </c>
      <c r="W161" s="66">
        <v>8.5</v>
      </c>
      <c r="X161" s="66">
        <v>0.78</v>
      </c>
      <c r="Y161" s="66">
        <v>3</v>
      </c>
      <c r="Z161" s="66">
        <v>20</v>
      </c>
      <c r="AA161" s="66">
        <v>0</v>
      </c>
      <c r="AB161" s="49" t="s">
        <v>1934</v>
      </c>
      <c r="AC161" s="66" t="s">
        <v>1998</v>
      </c>
      <c r="AD161" s="66" t="s">
        <v>1953</v>
      </c>
      <c r="AE161" s="296" t="s">
        <v>2248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18</v>
      </c>
      <c r="S162" s="65" t="s">
        <v>1165</v>
      </c>
      <c r="T162" s="67">
        <v>2</v>
      </c>
      <c r="U162" s="67">
        <v>8.52</v>
      </c>
      <c r="V162" s="246">
        <v>8.4499999999999993</v>
      </c>
      <c r="W162" s="67">
        <v>8.25</v>
      </c>
      <c r="X162" s="67">
        <v>0.96</v>
      </c>
      <c r="Y162" s="67">
        <v>6</v>
      </c>
      <c r="Z162" s="67">
        <v>41</v>
      </c>
      <c r="AA162" s="67">
        <v>2</v>
      </c>
      <c r="AB162" s="65" t="s">
        <v>1771</v>
      </c>
      <c r="AC162" s="67" t="s">
        <v>1999</v>
      </c>
      <c r="AD162" s="67" t="s">
        <v>2000</v>
      </c>
      <c r="AE162" s="297" t="s">
        <v>2248</v>
      </c>
      <c r="AH162" s="130" t="s">
        <v>2030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19</v>
      </c>
      <c r="S163" s="49" t="s">
        <v>345</v>
      </c>
      <c r="T163" s="66">
        <v>4</v>
      </c>
      <c r="U163" s="66">
        <v>8.4600000000000009</v>
      </c>
      <c r="V163" s="277">
        <v>8.4</v>
      </c>
      <c r="W163" s="66">
        <v>8.25</v>
      </c>
      <c r="X163" s="66">
        <v>0.95</v>
      </c>
      <c r="Y163" s="66">
        <v>8</v>
      </c>
      <c r="Z163" s="66">
        <v>53</v>
      </c>
      <c r="AA163" s="66">
        <v>4</v>
      </c>
      <c r="AB163" s="49" t="s">
        <v>1590</v>
      </c>
      <c r="AC163" s="66" t="s">
        <v>2001</v>
      </c>
      <c r="AD163" s="66" t="s">
        <v>1994</v>
      </c>
      <c r="AE163" s="296" t="s">
        <v>2248</v>
      </c>
      <c r="AH163" s="65" t="s">
        <v>2031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20</v>
      </c>
      <c r="S164" s="65" t="s">
        <v>346</v>
      </c>
      <c r="T164" s="67">
        <v>2</v>
      </c>
      <c r="U164" s="67">
        <v>8.39</v>
      </c>
      <c r="V164" s="226">
        <v>8.3699999999999992</v>
      </c>
      <c r="W164" s="67">
        <v>8.25</v>
      </c>
      <c r="X164" s="67">
        <v>0.72</v>
      </c>
      <c r="Y164" s="67">
        <v>2</v>
      </c>
      <c r="Z164" s="67">
        <v>20</v>
      </c>
      <c r="AA164" s="67">
        <v>0</v>
      </c>
      <c r="AB164" s="65" t="s">
        <v>787</v>
      </c>
      <c r="AC164" s="67" t="s">
        <v>2002</v>
      </c>
      <c r="AD164" s="67" t="s">
        <v>1939</v>
      </c>
      <c r="AE164" s="297" t="s">
        <v>2248</v>
      </c>
      <c r="AH164" s="49" t="s">
        <v>1047</v>
      </c>
      <c r="AI164" s="132" t="s">
        <v>2393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21</v>
      </c>
      <c r="S165" s="49" t="s">
        <v>343</v>
      </c>
      <c r="T165" s="66">
        <v>6</v>
      </c>
      <c r="U165" s="66">
        <v>8.0500000000000007</v>
      </c>
      <c r="V165" s="314">
        <v>8.08</v>
      </c>
      <c r="W165" s="66">
        <v>7.88</v>
      </c>
      <c r="X165" s="66">
        <v>1.03</v>
      </c>
      <c r="Y165" s="66">
        <v>13</v>
      </c>
      <c r="Z165" s="66">
        <v>58</v>
      </c>
      <c r="AA165" s="66">
        <v>0</v>
      </c>
      <c r="AB165" s="49" t="s">
        <v>1833</v>
      </c>
      <c r="AC165" s="66" t="s">
        <v>2368</v>
      </c>
      <c r="AD165" s="66" t="s">
        <v>1955</v>
      </c>
      <c r="AE165" s="296" t="s">
        <v>2248</v>
      </c>
      <c r="AH165" s="65" t="s">
        <v>2032</v>
      </c>
      <c r="AI165" s="131" t="s">
        <v>2394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22</v>
      </c>
      <c r="S166" s="65" t="s">
        <v>828</v>
      </c>
      <c r="T166" s="67">
        <v>2</v>
      </c>
      <c r="U166" s="67">
        <v>8.07</v>
      </c>
      <c r="V166" s="281">
        <v>7.99</v>
      </c>
      <c r="W166" s="67">
        <v>8.1300000000000008</v>
      </c>
      <c r="X166" s="67">
        <v>0.8</v>
      </c>
      <c r="Y166" s="67">
        <v>3</v>
      </c>
      <c r="Z166" s="67">
        <v>31</v>
      </c>
      <c r="AA166" s="67">
        <v>2</v>
      </c>
      <c r="AB166" s="65" t="s">
        <v>2003</v>
      </c>
      <c r="AC166" s="67" t="s">
        <v>2004</v>
      </c>
      <c r="AD166" s="67" t="s">
        <v>1980</v>
      </c>
      <c r="AE166" s="297" t="s">
        <v>2248</v>
      </c>
      <c r="AH166" s="49" t="s">
        <v>1050</v>
      </c>
      <c r="AI166" s="132" t="s">
        <v>2395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V167"/>
      <c r="W167"/>
      <c r="X167"/>
      <c r="Y167"/>
      <c r="Z167"/>
      <c r="AH167" s="65" t="s">
        <v>1056</v>
      </c>
      <c r="AI167" s="131" t="s">
        <v>2396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309" t="s">
        <v>1804</v>
      </c>
      <c r="S168" s="309"/>
      <c r="T168" s="309"/>
      <c r="U168" s="309"/>
      <c r="V168" s="309"/>
      <c r="W168"/>
      <c r="X168"/>
      <c r="Y168"/>
      <c r="Z168"/>
      <c r="AH168" s="49" t="s">
        <v>331</v>
      </c>
      <c r="AI168" s="132" t="s">
        <v>2397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48" t="s">
        <v>360</v>
      </c>
      <c r="S169" s="48" t="s">
        <v>327</v>
      </c>
      <c r="T169" s="48" t="s">
        <v>328</v>
      </c>
      <c r="U169" s="48" t="s">
        <v>329</v>
      </c>
      <c r="V169" s="48" t="s">
        <v>1014</v>
      </c>
      <c r="W169"/>
      <c r="X169"/>
      <c r="Y169"/>
      <c r="Z169"/>
      <c r="AH169" s="65" t="s">
        <v>2033</v>
      </c>
      <c r="AI169" s="131" t="s">
        <v>2346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7">
        <v>1</v>
      </c>
      <c r="S170" s="49" t="s">
        <v>1008</v>
      </c>
      <c r="T170" s="49" t="s">
        <v>1006</v>
      </c>
      <c r="U170" s="66">
        <v>10.5</v>
      </c>
      <c r="V170" s="121">
        <v>10.85</v>
      </c>
      <c r="W170"/>
      <c r="X170"/>
      <c r="Y170"/>
      <c r="Z170"/>
      <c r="AH170" s="49" t="s">
        <v>2034</v>
      </c>
      <c r="AI170" s="132" t="s">
        <v>2366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8">
        <v>2</v>
      </c>
      <c r="S171" s="65" t="s">
        <v>334</v>
      </c>
      <c r="T171" s="65" t="s">
        <v>7</v>
      </c>
      <c r="U171" s="67">
        <v>9.89</v>
      </c>
      <c r="V171" s="121">
        <v>10.52</v>
      </c>
      <c r="W171"/>
      <c r="X171"/>
      <c r="Y171"/>
      <c r="Z171"/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9">
        <v>3</v>
      </c>
      <c r="S172" s="49" t="s">
        <v>340</v>
      </c>
      <c r="T172" s="49" t="s">
        <v>1039</v>
      </c>
      <c r="U172" s="66">
        <v>10</v>
      </c>
      <c r="V172" s="121">
        <v>10.39</v>
      </c>
      <c r="W172"/>
      <c r="X172"/>
      <c r="Y172"/>
      <c r="Z172"/>
      <c r="AH172" s="49" t="s">
        <v>2035</v>
      </c>
      <c r="AI172" s="132" t="s">
        <v>2398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4</v>
      </c>
      <c r="S173" s="65" t="s">
        <v>335</v>
      </c>
      <c r="T173" s="65" t="s">
        <v>336</v>
      </c>
      <c r="U173" s="67">
        <v>9.6999999999999993</v>
      </c>
      <c r="V173" s="121">
        <v>10.37</v>
      </c>
      <c r="W173"/>
      <c r="X173"/>
      <c r="Y173"/>
      <c r="Z173"/>
      <c r="AH173" s="65" t="s">
        <v>2036</v>
      </c>
      <c r="AI173" s="131" t="s">
        <v>2367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5</v>
      </c>
      <c r="S174" s="49" t="s">
        <v>684</v>
      </c>
      <c r="T174" s="49" t="s">
        <v>685</v>
      </c>
      <c r="U174" s="66">
        <v>9.8800000000000008</v>
      </c>
      <c r="V174" s="121">
        <v>10.220000000000001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6</v>
      </c>
      <c r="S175" s="65" t="s">
        <v>338</v>
      </c>
      <c r="T175" s="65" t="s">
        <v>274</v>
      </c>
      <c r="U175" s="67">
        <v>9.3800000000000008</v>
      </c>
      <c r="V175" s="203">
        <v>9.5299999999999994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7</v>
      </c>
      <c r="S176" s="49" t="s">
        <v>339</v>
      </c>
      <c r="T176" s="49" t="s">
        <v>1196</v>
      </c>
      <c r="U176" s="66">
        <v>9.4</v>
      </c>
      <c r="V176" s="171">
        <v>9.4600000000000009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8</v>
      </c>
      <c r="S177" s="65" t="s">
        <v>2084</v>
      </c>
      <c r="T177" s="65" t="s">
        <v>2077</v>
      </c>
      <c r="U177" s="67">
        <v>9.31</v>
      </c>
      <c r="V177" s="289">
        <v>9.43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9</v>
      </c>
      <c r="S178" s="49" t="s">
        <v>343</v>
      </c>
      <c r="T178" s="49" t="s">
        <v>56</v>
      </c>
      <c r="U178" s="66">
        <v>9.25</v>
      </c>
      <c r="V178" s="204">
        <v>9.3699999999999992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10</v>
      </c>
      <c r="S179" s="65" t="s">
        <v>344</v>
      </c>
      <c r="T179" s="65" t="s">
        <v>188</v>
      </c>
      <c r="U179" s="67">
        <v>9.2100000000000009</v>
      </c>
      <c r="V179" s="206">
        <v>9.34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11</v>
      </c>
      <c r="S180" s="49" t="s">
        <v>342</v>
      </c>
      <c r="T180" s="49" t="s">
        <v>132</v>
      </c>
      <c r="U180" s="66">
        <v>9.2100000000000009</v>
      </c>
      <c r="V180" s="207">
        <v>9.2799999999999994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12</v>
      </c>
      <c r="S181" s="65" t="s">
        <v>454</v>
      </c>
      <c r="T181" s="65" t="s">
        <v>36</v>
      </c>
      <c r="U181" s="67">
        <v>9.15</v>
      </c>
      <c r="V181" s="125">
        <v>9.23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13</v>
      </c>
      <c r="S182" s="49" t="s">
        <v>490</v>
      </c>
      <c r="T182" s="49" t="s">
        <v>508</v>
      </c>
      <c r="U182" s="66">
        <v>9.17</v>
      </c>
      <c r="V182" s="125">
        <v>9.23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14</v>
      </c>
      <c r="S183" s="65" t="s">
        <v>920</v>
      </c>
      <c r="T183" s="65" t="s">
        <v>911</v>
      </c>
      <c r="U183" s="67">
        <v>9.06</v>
      </c>
      <c r="V183" s="135">
        <v>9.1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15</v>
      </c>
      <c r="S184" s="49" t="s">
        <v>345</v>
      </c>
      <c r="T184" s="49" t="s">
        <v>159</v>
      </c>
      <c r="U184" s="66">
        <v>9</v>
      </c>
      <c r="V184" s="135">
        <v>9.09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1546</v>
      </c>
      <c r="N185" s="13">
        <f>ROUND(SUM(N186:N209)/COUNT(N186:N209), 2)</f>
        <v>8.7200000000000006</v>
      </c>
      <c r="O185" s="19"/>
      <c r="R185" s="56">
        <v>16</v>
      </c>
      <c r="S185" s="65" t="s">
        <v>346</v>
      </c>
      <c r="T185" s="65" t="s">
        <v>264</v>
      </c>
      <c r="U185" s="67">
        <v>9</v>
      </c>
      <c r="V185" s="135">
        <v>9.09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17</v>
      </c>
      <c r="S186" s="49" t="s">
        <v>353</v>
      </c>
      <c r="T186" s="49" t="s">
        <v>1641</v>
      </c>
      <c r="U186" s="66">
        <v>8.94</v>
      </c>
      <c r="V186" s="212">
        <v>8.9499999999999993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18</v>
      </c>
      <c r="S187" s="65" t="s">
        <v>354</v>
      </c>
      <c r="T187" s="65" t="s">
        <v>1880</v>
      </c>
      <c r="U187" s="67">
        <v>8.9600000000000009</v>
      </c>
      <c r="V187" s="274">
        <v>8.93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19</v>
      </c>
      <c r="S188" s="49" t="s">
        <v>1352</v>
      </c>
      <c r="T188" s="49" t="s">
        <v>1343</v>
      </c>
      <c r="U188" s="66">
        <v>8.9499999999999993</v>
      </c>
      <c r="V188" s="282">
        <v>8.91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20</v>
      </c>
      <c r="S189" s="65" t="s">
        <v>728</v>
      </c>
      <c r="T189" s="65" t="s">
        <v>1447</v>
      </c>
      <c r="U189" s="67">
        <v>8.8800000000000008</v>
      </c>
      <c r="V189" s="50">
        <v>8.89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V190"/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V191"/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V192"/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1486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1499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1487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1488</v>
      </c>
      <c r="K240" s="257">
        <v>9</v>
      </c>
      <c r="L240" s="3"/>
      <c r="M240" s="266" t="s">
        <v>1503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1489</v>
      </c>
      <c r="K241" s="257">
        <v>9.5</v>
      </c>
      <c r="L241" s="3"/>
      <c r="M241" s="12" t="s">
        <v>1504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1490</v>
      </c>
      <c r="K242" s="257">
        <v>9</v>
      </c>
      <c r="L242" s="3"/>
      <c r="M242" s="5" t="s">
        <v>1505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1491</v>
      </c>
      <c r="K243" s="257">
        <v>8</v>
      </c>
      <c r="L243" s="3"/>
      <c r="M243" s="5" t="s">
        <v>1506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1492</v>
      </c>
      <c r="K244" s="257">
        <v>9</v>
      </c>
      <c r="L244" s="3"/>
      <c r="M244" s="5" t="s">
        <v>1507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1493</v>
      </c>
      <c r="K245" s="257">
        <v>8.5</v>
      </c>
      <c r="L245" s="3"/>
      <c r="M245" s="5" t="s">
        <v>1508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1543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1525</v>
      </c>
      <c r="H246" s="2">
        <f>ROUND(SUM(H247:H256)/COUNT(H247:H256), 2)</f>
        <v>8.75</v>
      </c>
      <c r="I246" s="3"/>
      <c r="J246" s="5" t="s">
        <v>1494</v>
      </c>
      <c r="K246" s="257">
        <v>8</v>
      </c>
      <c r="L246" s="3"/>
      <c r="M246" s="5" t="s">
        <v>1509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1531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1516</v>
      </c>
      <c r="H247" s="257">
        <v>10</v>
      </c>
      <c r="I247" s="3"/>
      <c r="J247" s="5" t="s">
        <v>1495</v>
      </c>
      <c r="K247" s="257">
        <v>8</v>
      </c>
      <c r="L247" s="3"/>
      <c r="M247" s="8" t="s">
        <v>1510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1532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1517</v>
      </c>
      <c r="H248" s="257">
        <v>9</v>
      </c>
      <c r="I248" s="3"/>
      <c r="J248" s="5" t="s">
        <v>1496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1533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1497</v>
      </c>
      <c r="K249" s="257">
        <v>8.5</v>
      </c>
      <c r="L249" s="3"/>
      <c r="M249" s="267" t="s">
        <v>1548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1534</v>
      </c>
      <c r="B250" s="257"/>
      <c r="C250" s="3"/>
      <c r="D250" s="5" t="s">
        <v>1476</v>
      </c>
      <c r="E250" s="257">
        <v>9</v>
      </c>
      <c r="F250" s="3"/>
      <c r="G250" s="5" t="s">
        <v>1518</v>
      </c>
      <c r="H250" s="257">
        <v>9</v>
      </c>
      <c r="I250" s="3"/>
      <c r="J250" s="8" t="s">
        <v>1498</v>
      </c>
      <c r="K250" s="258">
        <v>8</v>
      </c>
      <c r="L250" s="3"/>
      <c r="M250" s="12" t="s">
        <v>1547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1535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1519</v>
      </c>
      <c r="H251" s="257">
        <v>8.5</v>
      </c>
      <c r="I251" s="3"/>
      <c r="J251" s="3"/>
      <c r="K251" s="3"/>
      <c r="L251" s="3"/>
      <c r="M251" s="5" t="s">
        <v>1549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1536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1520</v>
      </c>
      <c r="H252" s="257">
        <v>8</v>
      </c>
      <c r="I252" s="3"/>
      <c r="J252" s="168" t="s">
        <v>1588</v>
      </c>
      <c r="K252" s="2">
        <f>ROUND(SUM(K253:K262)/COUNT(K253:K262), 2)</f>
        <v>8</v>
      </c>
      <c r="L252" s="3"/>
      <c r="M252" s="5" t="s">
        <v>1550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1537</v>
      </c>
      <c r="B253" s="257">
        <v>10.5</v>
      </c>
      <c r="C253" s="3"/>
      <c r="D253" s="3"/>
      <c r="E253" s="3"/>
      <c r="F253" s="3"/>
      <c r="G253" s="5" t="s">
        <v>1521</v>
      </c>
      <c r="H253" s="257">
        <v>9</v>
      </c>
      <c r="I253" s="3"/>
      <c r="J253" s="12" t="s">
        <v>1578</v>
      </c>
      <c r="K253" s="256">
        <v>8.5</v>
      </c>
      <c r="L253" s="3"/>
      <c r="M253" s="5" t="s">
        <v>1551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1538</v>
      </c>
      <c r="B254" s="257">
        <v>9</v>
      </c>
      <c r="C254" s="3"/>
      <c r="D254" s="169" t="s">
        <v>1594</v>
      </c>
      <c r="E254" s="2">
        <f>ROUND(SUM(E255:E264)/COUNT(E255:E264), 2)</f>
        <v>8.44</v>
      </c>
      <c r="F254" s="3"/>
      <c r="G254" s="5" t="s">
        <v>1522</v>
      </c>
      <c r="H254" s="257">
        <v>8</v>
      </c>
      <c r="I254" s="3"/>
      <c r="J254" s="5" t="s">
        <v>1579</v>
      </c>
      <c r="K254" s="257">
        <v>7.5</v>
      </c>
      <c r="L254" s="3"/>
      <c r="M254" s="5" t="s">
        <v>1552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1539</v>
      </c>
      <c r="B255" s="257">
        <v>8</v>
      </c>
      <c r="C255" s="3"/>
      <c r="D255" s="12" t="s">
        <v>1595</v>
      </c>
      <c r="E255" s="256">
        <v>8.5</v>
      </c>
      <c r="F255" s="3"/>
      <c r="G255" s="5" t="s">
        <v>1523</v>
      </c>
      <c r="H255" s="257">
        <v>8</v>
      </c>
      <c r="I255" s="3"/>
      <c r="J255" s="5" t="s">
        <v>1580</v>
      </c>
      <c r="K255" s="257">
        <v>9.5</v>
      </c>
      <c r="L255" s="3"/>
      <c r="M255" s="5" t="s">
        <v>1553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1540</v>
      </c>
      <c r="B256" s="257">
        <v>8</v>
      </c>
      <c r="C256" s="3"/>
      <c r="D256" s="5" t="s">
        <v>1596</v>
      </c>
      <c r="E256" s="257">
        <v>10</v>
      </c>
      <c r="F256" s="3"/>
      <c r="G256" s="8" t="s">
        <v>1524</v>
      </c>
      <c r="H256" s="258">
        <v>8</v>
      </c>
      <c r="I256" s="3"/>
      <c r="J256" s="5" t="s">
        <v>1581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1541</v>
      </c>
      <c r="B257" s="257">
        <v>8.5</v>
      </c>
      <c r="C257" s="3"/>
      <c r="D257" s="5" t="s">
        <v>1597</v>
      </c>
      <c r="E257" s="257">
        <v>9.5</v>
      </c>
      <c r="F257" s="3"/>
      <c r="G257" s="3"/>
      <c r="H257" s="3"/>
      <c r="I257" s="3"/>
      <c r="J257" s="5" t="s">
        <v>1582</v>
      </c>
      <c r="K257" s="257">
        <v>9</v>
      </c>
      <c r="L257" s="3"/>
      <c r="M257" s="5" t="s">
        <v>1554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1542</v>
      </c>
      <c r="B258" s="258">
        <v>8.5</v>
      </c>
      <c r="C258" s="3"/>
      <c r="D258" s="5" t="s">
        <v>1598</v>
      </c>
      <c r="E258" s="257">
        <v>10</v>
      </c>
      <c r="F258" s="3"/>
      <c r="G258" s="186" t="s">
        <v>1609</v>
      </c>
      <c r="H258" s="13">
        <f>ROUND(SUM(H259:H263)/COUNT(H259:H263), 2)</f>
        <v>8.9</v>
      </c>
      <c r="I258" s="3"/>
      <c r="J258" s="5" t="s">
        <v>1583</v>
      </c>
      <c r="K258" s="257">
        <v>6.5</v>
      </c>
      <c r="L258" s="3"/>
      <c r="M258" s="5" t="s">
        <v>1555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1599</v>
      </c>
      <c r="E259" s="257"/>
      <c r="F259" s="3"/>
      <c r="G259" s="12" t="s">
        <v>1610</v>
      </c>
      <c r="H259" s="256">
        <v>9</v>
      </c>
      <c r="I259" s="3"/>
      <c r="J259" s="5" t="s">
        <v>1584</v>
      </c>
      <c r="K259" s="257"/>
      <c r="L259" s="3"/>
      <c r="M259" s="5" t="s">
        <v>1556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1618</v>
      </c>
      <c r="B260" s="2">
        <f>ROUND(SUM(B261:B270)/COUNT(B261:B270), 2)</f>
        <v>8.75</v>
      </c>
      <c r="C260" s="3"/>
      <c r="D260" s="5" t="s">
        <v>1600</v>
      </c>
      <c r="E260" s="257">
        <v>8</v>
      </c>
      <c r="F260" s="3"/>
      <c r="G260" s="5" t="s">
        <v>1611</v>
      </c>
      <c r="H260" s="257">
        <v>8.5</v>
      </c>
      <c r="I260" s="3"/>
      <c r="J260" s="5" t="s">
        <v>1585</v>
      </c>
      <c r="K260" s="257">
        <v>7.5</v>
      </c>
      <c r="L260" s="3"/>
      <c r="M260" s="5" t="s">
        <v>1557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1619</v>
      </c>
      <c r="B261" s="257">
        <v>8</v>
      </c>
      <c r="C261" s="3"/>
      <c r="D261" s="5" t="s">
        <v>1601</v>
      </c>
      <c r="E261" s="257">
        <v>9</v>
      </c>
      <c r="F261" s="3"/>
      <c r="G261" s="5" t="s">
        <v>1612</v>
      </c>
      <c r="H261" s="257">
        <v>9</v>
      </c>
      <c r="I261" s="3"/>
      <c r="J261" s="5" t="s">
        <v>1586</v>
      </c>
      <c r="K261" s="257">
        <v>8.5</v>
      </c>
      <c r="L261" s="3"/>
      <c r="M261" s="5" t="s">
        <v>1558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1620</v>
      </c>
      <c r="B262" s="257">
        <v>9.5</v>
      </c>
      <c r="C262" s="3"/>
      <c r="D262" s="5" t="s">
        <v>1602</v>
      </c>
      <c r="E262" s="257">
        <v>8</v>
      </c>
      <c r="F262" s="3"/>
      <c r="G262" s="5" t="s">
        <v>1613</v>
      </c>
      <c r="H262" s="257">
        <v>8</v>
      </c>
      <c r="I262" s="3"/>
      <c r="J262" s="8" t="s">
        <v>1587</v>
      </c>
      <c r="K262" s="258">
        <v>7.5</v>
      </c>
      <c r="L262" s="3"/>
      <c r="M262" s="5" t="s">
        <v>1559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1621</v>
      </c>
      <c r="B263" s="257">
        <v>10</v>
      </c>
      <c r="C263" s="3"/>
      <c r="D263" s="5" t="s">
        <v>1603</v>
      </c>
      <c r="E263" s="257">
        <v>7</v>
      </c>
      <c r="F263" s="3"/>
      <c r="G263" s="8" t="s">
        <v>1614</v>
      </c>
      <c r="H263" s="258">
        <v>10</v>
      </c>
      <c r="I263" s="3"/>
      <c r="J263" s="3"/>
      <c r="K263" s="3"/>
      <c r="L263" s="3"/>
      <c r="M263" s="5" t="s">
        <v>1560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1622</v>
      </c>
      <c r="B264" s="257">
        <v>9.5</v>
      </c>
      <c r="C264" s="3"/>
      <c r="D264" s="8" t="s">
        <v>1604</v>
      </c>
      <c r="E264" s="258">
        <v>6</v>
      </c>
      <c r="F264" s="3"/>
      <c r="G264" s="3"/>
      <c r="H264" s="3"/>
      <c r="I264" s="3"/>
      <c r="J264" s="188" t="s">
        <v>1634</v>
      </c>
      <c r="K264" s="2">
        <f>ROUND(SUM(K265:K274)/COUNT(K265:K274), 2)</f>
        <v>8.94</v>
      </c>
      <c r="L264" s="3"/>
      <c r="M264" s="5" t="s">
        <v>1561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1623</v>
      </c>
      <c r="B265" s="257">
        <v>8</v>
      </c>
      <c r="C265" s="3"/>
      <c r="D265" s="3"/>
      <c r="E265" s="3"/>
      <c r="F265" s="3"/>
      <c r="G265" s="190" t="s">
        <v>1668</v>
      </c>
      <c r="H265" s="13">
        <f>ROUND(SUM(H266:H274)/COUNT(H266:H274), 2)</f>
        <v>8.75</v>
      </c>
      <c r="I265" s="3"/>
      <c r="J265" s="12" t="s">
        <v>1635</v>
      </c>
      <c r="K265" s="256">
        <v>8</v>
      </c>
      <c r="L265" s="3"/>
      <c r="M265" s="5" t="s">
        <v>1562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1624</v>
      </c>
      <c r="B266" s="257">
        <v>8.5</v>
      </c>
      <c r="C266" s="3"/>
      <c r="D266" s="189" t="s">
        <v>1645</v>
      </c>
      <c r="E266" s="13">
        <f>ROUND(SUM(E267:E276)/COUNT(E267:E276), 2)</f>
        <v>8.6</v>
      </c>
      <c r="F266" s="3"/>
      <c r="G266" s="12" t="s">
        <v>1659</v>
      </c>
      <c r="H266" s="256">
        <v>8.5</v>
      </c>
      <c r="I266" s="3"/>
      <c r="J266" s="5" t="s">
        <v>1636</v>
      </c>
      <c r="K266" s="257">
        <v>8.5</v>
      </c>
      <c r="L266" s="3"/>
      <c r="M266" s="5" t="s">
        <v>1563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1625</v>
      </c>
      <c r="B267" s="257">
        <v>8.5</v>
      </c>
      <c r="C267" s="3"/>
      <c r="D267" s="12" t="s">
        <v>1646</v>
      </c>
      <c r="E267" s="256">
        <v>9.5</v>
      </c>
      <c r="F267" s="3"/>
      <c r="G267" s="5" t="s">
        <v>1660</v>
      </c>
      <c r="H267" s="257">
        <v>10</v>
      </c>
      <c r="I267" s="3"/>
      <c r="J267" s="5" t="s">
        <v>1637</v>
      </c>
      <c r="K267" s="257">
        <v>8.5</v>
      </c>
      <c r="L267" s="3"/>
      <c r="M267" s="5" t="s">
        <v>1564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1626</v>
      </c>
      <c r="B268" s="257">
        <v>8</v>
      </c>
      <c r="C268" s="3"/>
      <c r="D268" s="5" t="s">
        <v>1647</v>
      </c>
      <c r="E268" s="257">
        <v>8.5</v>
      </c>
      <c r="F268" s="3"/>
      <c r="G268" s="5" t="s">
        <v>1667</v>
      </c>
      <c r="H268" s="257">
        <v>9</v>
      </c>
      <c r="I268" s="3"/>
      <c r="J268" s="5" t="s">
        <v>1638</v>
      </c>
      <c r="K268" s="257">
        <v>9</v>
      </c>
      <c r="L268" s="3"/>
      <c r="M268" s="5" t="s">
        <v>1565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1627</v>
      </c>
      <c r="B269" s="257">
        <v>7.5</v>
      </c>
      <c r="C269" s="3"/>
      <c r="D269" s="5" t="s">
        <v>1648</v>
      </c>
      <c r="E269" s="257">
        <v>8.5</v>
      </c>
      <c r="F269" s="3"/>
      <c r="G269" s="5" t="s">
        <v>1661</v>
      </c>
      <c r="H269" s="257">
        <v>8.5</v>
      </c>
      <c r="I269" s="3"/>
      <c r="J269" s="5" t="s">
        <v>1639</v>
      </c>
      <c r="K269" s="257">
        <v>10</v>
      </c>
      <c r="L269" s="3"/>
      <c r="M269" s="5" t="s">
        <v>1566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1628</v>
      </c>
      <c r="B270" s="258">
        <v>10</v>
      </c>
      <c r="C270" s="3"/>
      <c r="D270" s="5" t="s">
        <v>1649</v>
      </c>
      <c r="E270" s="257">
        <v>8</v>
      </c>
      <c r="F270" s="3"/>
      <c r="G270" s="5" t="s">
        <v>1662</v>
      </c>
      <c r="H270" s="257">
        <v>8.5</v>
      </c>
      <c r="I270" s="3"/>
      <c r="J270" s="5" t="s">
        <v>1640</v>
      </c>
      <c r="K270" s="257">
        <v>10.5</v>
      </c>
      <c r="L270" s="3"/>
      <c r="M270" s="5" t="s">
        <v>1567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1650</v>
      </c>
      <c r="E271" s="257">
        <v>7.5</v>
      </c>
      <c r="F271" s="3"/>
      <c r="G271" s="5" t="s">
        <v>1663</v>
      </c>
      <c r="H271" s="257"/>
      <c r="I271" s="3"/>
      <c r="J271" s="5" t="s">
        <v>1641</v>
      </c>
      <c r="K271" s="257"/>
      <c r="L271" s="3"/>
      <c r="M271" s="5" t="s">
        <v>1568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1675</v>
      </c>
      <c r="B272" s="13">
        <f>ROUND(SUM(B273:B277)/COUNT(B273:B277), 2)</f>
        <v>8.4</v>
      </c>
      <c r="C272" s="3"/>
      <c r="D272" s="5" t="s">
        <v>1651</v>
      </c>
      <c r="E272" s="257">
        <v>9.5</v>
      </c>
      <c r="F272" s="3"/>
      <c r="G272" s="5" t="s">
        <v>1664</v>
      </c>
      <c r="H272" s="257">
        <v>8.5</v>
      </c>
      <c r="I272" s="3"/>
      <c r="J272" s="5" t="s">
        <v>1642</v>
      </c>
      <c r="K272" s="257">
        <v>9</v>
      </c>
      <c r="L272" s="3"/>
      <c r="M272" s="5" t="s">
        <v>1569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1676</v>
      </c>
      <c r="B273" s="257">
        <v>8.5</v>
      </c>
      <c r="C273" s="3"/>
      <c r="D273" s="5" t="s">
        <v>1652</v>
      </c>
      <c r="E273" s="257">
        <v>10</v>
      </c>
      <c r="F273" s="3"/>
      <c r="G273" s="5" t="s">
        <v>1665</v>
      </c>
      <c r="H273" s="257">
        <v>9</v>
      </c>
      <c r="I273" s="3"/>
      <c r="J273" s="5" t="s">
        <v>1643</v>
      </c>
      <c r="K273" s="257">
        <v>8.5</v>
      </c>
      <c r="L273" s="3"/>
      <c r="M273" s="5" t="s">
        <v>1570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1677</v>
      </c>
      <c r="B274" s="257">
        <v>9</v>
      </c>
      <c r="C274" s="3"/>
      <c r="D274" s="5" t="s">
        <v>1653</v>
      </c>
      <c r="E274" s="257">
        <v>8</v>
      </c>
      <c r="F274" s="3"/>
      <c r="G274" s="8" t="s">
        <v>1666</v>
      </c>
      <c r="H274" s="258">
        <v>8</v>
      </c>
      <c r="I274" s="3"/>
      <c r="J274" s="8" t="s">
        <v>1644</v>
      </c>
      <c r="K274" s="258">
        <v>8.5</v>
      </c>
      <c r="L274" s="3"/>
      <c r="M274" s="5" t="s">
        <v>1571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1678</v>
      </c>
      <c r="B275" s="257">
        <v>8.5</v>
      </c>
      <c r="C275" s="3"/>
      <c r="D275" s="5" t="s">
        <v>1654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1572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1679</v>
      </c>
      <c r="B276" s="257">
        <v>8</v>
      </c>
      <c r="C276" s="3"/>
      <c r="D276" s="8" t="s">
        <v>1655</v>
      </c>
      <c r="E276" s="258">
        <v>9</v>
      </c>
      <c r="F276" s="3"/>
      <c r="G276" s="194" t="s">
        <v>1685</v>
      </c>
      <c r="H276" s="2">
        <f>ROUND(SUM(H277:H286)/COUNT(H277:H286), 2)</f>
        <v>8.85</v>
      </c>
      <c r="I276" s="3"/>
      <c r="J276" s="195" t="s">
        <v>1709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1680</v>
      </c>
      <c r="B277" s="258">
        <v>8</v>
      </c>
      <c r="C277" s="3"/>
      <c r="D277" s="3"/>
      <c r="E277" s="3"/>
      <c r="F277" s="3"/>
      <c r="G277" s="12" t="s">
        <v>1686</v>
      </c>
      <c r="H277" s="256">
        <v>9.5</v>
      </c>
      <c r="I277" s="3"/>
      <c r="J277" s="12" t="s">
        <v>1699</v>
      </c>
      <c r="K277" s="256">
        <v>8.5</v>
      </c>
      <c r="L277" s="3"/>
      <c r="M277" s="244" t="s">
        <v>1722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1710</v>
      </c>
      <c r="E278" s="13">
        <f>ROUND(SUM(E279:E286)/COUNT(E279:E286), 2)</f>
        <v>8.81</v>
      </c>
      <c r="F278" s="3"/>
      <c r="G278" s="5" t="s">
        <v>1687</v>
      </c>
      <c r="H278" s="257">
        <v>9</v>
      </c>
      <c r="I278" s="3"/>
      <c r="J278" s="5" t="s">
        <v>1700</v>
      </c>
      <c r="K278" s="257">
        <v>9</v>
      </c>
      <c r="L278" s="3"/>
      <c r="M278" s="5" t="s">
        <v>1723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1729</v>
      </c>
      <c r="B279" s="13">
        <f>ROUND(SUM(B280:B307)/COUNT(B280:B307), 2)</f>
        <v>8.57</v>
      </c>
      <c r="C279" s="3"/>
      <c r="D279" s="12" t="s">
        <v>1711</v>
      </c>
      <c r="E279" s="256">
        <v>8</v>
      </c>
      <c r="F279" s="3"/>
      <c r="G279" s="5" t="s">
        <v>1688</v>
      </c>
      <c r="H279" s="257">
        <v>10</v>
      </c>
      <c r="I279" s="3"/>
      <c r="J279" s="5" t="s">
        <v>1701</v>
      </c>
      <c r="K279" s="257"/>
      <c r="L279" s="3"/>
      <c r="M279" s="5" t="s">
        <v>1724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1730</v>
      </c>
      <c r="B280" s="256"/>
      <c r="C280" s="3"/>
      <c r="D280" s="5" t="s">
        <v>1712</v>
      </c>
      <c r="E280" s="257">
        <v>8.5</v>
      </c>
      <c r="F280" s="3"/>
      <c r="G280" s="5" t="s">
        <v>1689</v>
      </c>
      <c r="H280" s="257">
        <v>8.5</v>
      </c>
      <c r="I280" s="3"/>
      <c r="J280" s="5" t="s">
        <v>1702</v>
      </c>
      <c r="K280" s="257">
        <v>8.5</v>
      </c>
      <c r="L280" s="3"/>
      <c r="M280" s="5" t="s">
        <v>1725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1731</v>
      </c>
      <c r="B281" s="257">
        <v>10</v>
      </c>
      <c r="C281" s="3"/>
      <c r="D281" s="5" t="s">
        <v>1713</v>
      </c>
      <c r="E281" s="257">
        <v>8</v>
      </c>
      <c r="F281" s="3"/>
      <c r="G281" s="5" t="s">
        <v>1690</v>
      </c>
      <c r="H281" s="257">
        <v>8</v>
      </c>
      <c r="I281" s="3"/>
      <c r="J281" s="5" t="s">
        <v>1703</v>
      </c>
      <c r="K281" s="257">
        <v>10</v>
      </c>
      <c r="L281" s="3"/>
      <c r="M281" s="5" t="s">
        <v>1726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1732</v>
      </c>
      <c r="B282" s="257">
        <v>8</v>
      </c>
      <c r="C282" s="3"/>
      <c r="D282" s="5" t="s">
        <v>1714</v>
      </c>
      <c r="E282" s="257">
        <v>8.5</v>
      </c>
      <c r="F282" s="3"/>
      <c r="G282" s="5" t="s">
        <v>1691</v>
      </c>
      <c r="H282" s="257">
        <v>8.5</v>
      </c>
      <c r="I282" s="3"/>
      <c r="J282" s="5" t="s">
        <v>1704</v>
      </c>
      <c r="K282" s="257">
        <v>8</v>
      </c>
      <c r="L282" s="3"/>
      <c r="M282" s="8" t="s">
        <v>1727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1733</v>
      </c>
      <c r="B283" s="257">
        <v>9.5</v>
      </c>
      <c r="C283" s="3"/>
      <c r="D283" s="5" t="s">
        <v>1715</v>
      </c>
      <c r="E283" s="257">
        <v>10</v>
      </c>
      <c r="F283" s="3"/>
      <c r="G283" s="5" t="s">
        <v>1692</v>
      </c>
      <c r="H283" s="257">
        <v>8.5</v>
      </c>
      <c r="I283" s="3"/>
      <c r="J283" s="5" t="s">
        <v>1705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1734</v>
      </c>
      <c r="B284" s="257">
        <v>8</v>
      </c>
      <c r="C284" s="3"/>
      <c r="D284" s="5" t="s">
        <v>1716</v>
      </c>
      <c r="E284" s="257">
        <v>9.5</v>
      </c>
      <c r="F284" s="3"/>
      <c r="G284" s="5" t="s">
        <v>1693</v>
      </c>
      <c r="H284" s="257">
        <v>9</v>
      </c>
      <c r="I284" s="3"/>
      <c r="J284" s="8" t="s">
        <v>1706</v>
      </c>
      <c r="K284" s="258">
        <v>8</v>
      </c>
      <c r="L284" s="3"/>
      <c r="M284" s="255" t="s">
        <v>1758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1735</v>
      </c>
      <c r="B285" s="257">
        <v>10</v>
      </c>
      <c r="C285" s="3"/>
      <c r="D285" s="5" t="s">
        <v>1717</v>
      </c>
      <c r="E285" s="257">
        <v>8</v>
      </c>
      <c r="F285" s="3"/>
      <c r="G285" s="5" t="s">
        <v>1694</v>
      </c>
      <c r="H285" s="257">
        <v>8.5</v>
      </c>
      <c r="I285" s="3"/>
      <c r="J285" s="3"/>
      <c r="K285" s="3"/>
      <c r="L285" s="3"/>
      <c r="M285" s="12" t="s">
        <v>1759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1736</v>
      </c>
      <c r="B286" s="257">
        <v>9</v>
      </c>
      <c r="C286" s="3"/>
      <c r="D286" s="8" t="s">
        <v>1718</v>
      </c>
      <c r="E286" s="258">
        <v>10</v>
      </c>
      <c r="F286" s="3"/>
      <c r="G286" s="8" t="s">
        <v>1695</v>
      </c>
      <c r="H286" s="258">
        <v>9</v>
      </c>
      <c r="I286" s="3"/>
      <c r="J286" s="248" t="s">
        <v>1781</v>
      </c>
      <c r="K286" s="2">
        <f>ROUND(SUM(K287:K294)/COUNT(K287:K294), 2)</f>
        <v>8.06</v>
      </c>
      <c r="L286" s="3"/>
      <c r="M286" s="5" t="s">
        <v>1760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1737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1773</v>
      </c>
      <c r="K287" s="257">
        <v>9</v>
      </c>
      <c r="L287" s="3"/>
      <c r="M287" s="5" t="s">
        <v>1761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1738</v>
      </c>
      <c r="B288" s="257">
        <v>7.5</v>
      </c>
      <c r="C288" s="3"/>
      <c r="D288" s="249" t="s">
        <v>1783</v>
      </c>
      <c r="E288" s="13">
        <f>ROUND(SUM(E289:E297)/COUNT(E289:E297), 2)</f>
        <v>8.5</v>
      </c>
      <c r="F288" s="3"/>
      <c r="G288" s="254" t="s">
        <v>1795</v>
      </c>
      <c r="H288" s="13">
        <f>ROUND(SUM(H289:H294)/COUNT(H289:H294), 2)</f>
        <v>8.83</v>
      </c>
      <c r="I288" s="3"/>
      <c r="J288" s="5" t="s">
        <v>1774</v>
      </c>
      <c r="K288" s="257">
        <v>9</v>
      </c>
      <c r="L288" s="3"/>
      <c r="M288" s="5" t="s">
        <v>1762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1739</v>
      </c>
      <c r="B289" s="257">
        <v>8.5</v>
      </c>
      <c r="C289" s="3"/>
      <c r="D289" s="12" t="s">
        <v>1784</v>
      </c>
      <c r="E289" s="256">
        <v>8</v>
      </c>
      <c r="F289" s="3"/>
      <c r="G289" s="12" t="s">
        <v>1796</v>
      </c>
      <c r="H289" s="256">
        <v>9</v>
      </c>
      <c r="I289" s="3"/>
      <c r="J289" s="5" t="s">
        <v>1775</v>
      </c>
      <c r="K289" s="257">
        <v>8</v>
      </c>
      <c r="L289" s="3"/>
      <c r="M289" s="5" t="s">
        <v>1763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1740</v>
      </c>
      <c r="B290" s="257">
        <v>8.5</v>
      </c>
      <c r="C290" s="3"/>
      <c r="D290" s="5" t="s">
        <v>1785</v>
      </c>
      <c r="E290" s="257">
        <v>9</v>
      </c>
      <c r="F290" s="3"/>
      <c r="G290" s="5" t="s">
        <v>1797</v>
      </c>
      <c r="H290" s="257">
        <v>8.5</v>
      </c>
      <c r="I290" s="3"/>
      <c r="J290" s="5" t="s">
        <v>1776</v>
      </c>
      <c r="K290" s="257">
        <v>7</v>
      </c>
      <c r="L290" s="3"/>
      <c r="M290" s="5" t="s">
        <v>1764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1741</v>
      </c>
      <c r="B291" s="257">
        <v>8</v>
      </c>
      <c r="C291" s="3"/>
      <c r="D291" s="5" t="s">
        <v>1786</v>
      </c>
      <c r="E291" s="257">
        <v>8.5</v>
      </c>
      <c r="F291" s="3"/>
      <c r="G291" s="5" t="s">
        <v>1798</v>
      </c>
      <c r="H291" s="257">
        <v>8</v>
      </c>
      <c r="I291" s="3"/>
      <c r="J291" s="5" t="s">
        <v>1777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1742</v>
      </c>
      <c r="B292" s="257">
        <v>9</v>
      </c>
      <c r="C292" s="3"/>
      <c r="D292" s="5" t="s">
        <v>1787</v>
      </c>
      <c r="E292" s="257">
        <v>8.5</v>
      </c>
      <c r="F292" s="3"/>
      <c r="G292" s="5" t="s">
        <v>1799</v>
      </c>
      <c r="H292" s="257">
        <v>9</v>
      </c>
      <c r="I292" s="3"/>
      <c r="J292" s="5" t="s">
        <v>1778</v>
      </c>
      <c r="K292" s="257">
        <v>8</v>
      </c>
      <c r="L292" s="3"/>
      <c r="M292" s="5" t="s">
        <v>1765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1743</v>
      </c>
      <c r="B293" s="257">
        <v>8.5</v>
      </c>
      <c r="C293" s="3"/>
      <c r="D293" s="5" t="s">
        <v>1788</v>
      </c>
      <c r="E293" s="257">
        <v>9</v>
      </c>
      <c r="F293" s="3"/>
      <c r="G293" s="5" t="s">
        <v>1800</v>
      </c>
      <c r="H293" s="257">
        <v>8.5</v>
      </c>
      <c r="I293" s="3"/>
      <c r="J293" s="5" t="s">
        <v>1779</v>
      </c>
      <c r="K293" s="257">
        <v>7</v>
      </c>
      <c r="L293" s="3"/>
      <c r="M293" s="5" t="s">
        <v>1766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1744</v>
      </c>
      <c r="B294" s="257">
        <v>8</v>
      </c>
      <c r="C294" s="3"/>
      <c r="D294" s="5" t="s">
        <v>1789</v>
      </c>
      <c r="E294" s="257">
        <v>8</v>
      </c>
      <c r="F294" s="3"/>
      <c r="G294" s="8" t="s">
        <v>1801</v>
      </c>
      <c r="H294" s="258">
        <v>10</v>
      </c>
      <c r="I294" s="3"/>
      <c r="J294" s="8" t="s">
        <v>1780</v>
      </c>
      <c r="K294" s="258">
        <v>9</v>
      </c>
      <c r="L294" s="3"/>
      <c r="M294" s="5" t="s">
        <v>1767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1745</v>
      </c>
      <c r="B295" s="257">
        <v>8</v>
      </c>
      <c r="C295" s="3"/>
      <c r="D295" s="5" t="s">
        <v>1790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1768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1746</v>
      </c>
      <c r="B296" s="257">
        <v>9</v>
      </c>
      <c r="C296" s="3"/>
      <c r="D296" s="5" t="s">
        <v>1791</v>
      </c>
      <c r="E296" s="257">
        <v>8.5</v>
      </c>
      <c r="F296" s="3"/>
      <c r="G296" s="250" t="s">
        <v>1817</v>
      </c>
      <c r="H296" s="13">
        <f>ROUND(SUM(H297:H307)/COUNT(H297:H307), 2)</f>
        <v>3.68</v>
      </c>
      <c r="I296" s="3"/>
      <c r="J296" s="269" t="s">
        <v>1836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1747</v>
      </c>
      <c r="B297" s="257">
        <v>8</v>
      </c>
      <c r="C297" s="3"/>
      <c r="D297" s="8" t="s">
        <v>1792</v>
      </c>
      <c r="E297" s="258">
        <v>8</v>
      </c>
      <c r="F297" s="3"/>
      <c r="G297" s="12" t="s">
        <v>1818</v>
      </c>
      <c r="H297" s="256">
        <v>6.5</v>
      </c>
      <c r="I297" s="3"/>
      <c r="J297" s="12" t="s">
        <v>1837</v>
      </c>
      <c r="K297" s="256">
        <v>9</v>
      </c>
      <c r="L297" s="3"/>
      <c r="M297" s="271" t="s">
        <v>1851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1819</v>
      </c>
      <c r="H298" s="257">
        <v>5</v>
      </c>
      <c r="I298" s="3"/>
      <c r="J298" s="5" t="s">
        <v>1838</v>
      </c>
      <c r="K298" s="257">
        <v>8.5</v>
      </c>
      <c r="L298" s="3"/>
      <c r="M298" s="12" t="s">
        <v>1844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1748</v>
      </c>
      <c r="B299" s="257">
        <v>7</v>
      </c>
      <c r="C299" s="3"/>
      <c r="D299" s="272" t="s">
        <v>1854</v>
      </c>
      <c r="E299" s="13">
        <f>ROUND(SUM(E300:E309)/COUNT(E300:E309), 2)</f>
        <v>8.2899999999999991</v>
      </c>
      <c r="F299" s="3"/>
      <c r="G299" s="5" t="s">
        <v>1820</v>
      </c>
      <c r="H299" s="257">
        <v>5.5</v>
      </c>
      <c r="I299" s="3"/>
      <c r="J299" s="5" t="s">
        <v>1839</v>
      </c>
      <c r="K299" s="257">
        <v>9</v>
      </c>
      <c r="L299" s="3"/>
      <c r="M299" s="5" t="s">
        <v>1845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1749</v>
      </c>
      <c r="B300" s="257">
        <v>8.5</v>
      </c>
      <c r="C300" s="3"/>
      <c r="D300" s="12" t="s">
        <v>1855</v>
      </c>
      <c r="E300" s="256"/>
      <c r="F300" s="3"/>
      <c r="G300" s="5" t="s">
        <v>1821</v>
      </c>
      <c r="H300" s="257">
        <v>4</v>
      </c>
      <c r="I300" s="3"/>
      <c r="J300" s="5" t="s">
        <v>1840</v>
      </c>
      <c r="K300" s="257">
        <v>8.5</v>
      </c>
      <c r="L300" s="3"/>
      <c r="M300" s="5" t="s">
        <v>1846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1750</v>
      </c>
      <c r="B301" s="257">
        <v>8.5</v>
      </c>
      <c r="C301" s="3"/>
      <c r="D301" s="5" t="s">
        <v>1856</v>
      </c>
      <c r="E301" s="257">
        <v>8.5</v>
      </c>
      <c r="F301" s="3"/>
      <c r="G301" s="5" t="s">
        <v>1822</v>
      </c>
      <c r="H301" s="257">
        <v>3</v>
      </c>
      <c r="I301" s="3"/>
      <c r="J301" s="5" t="s">
        <v>1841</v>
      </c>
      <c r="K301" s="257">
        <v>8</v>
      </c>
      <c r="L301" s="3"/>
      <c r="M301" s="5" t="s">
        <v>1847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1751</v>
      </c>
      <c r="B302" s="257">
        <v>7.5</v>
      </c>
      <c r="C302" s="3"/>
      <c r="D302" s="5" t="s">
        <v>1857</v>
      </c>
      <c r="E302" s="257">
        <v>9</v>
      </c>
      <c r="F302" s="3"/>
      <c r="G302" s="5" t="s">
        <v>1823</v>
      </c>
      <c r="H302" s="257">
        <v>3</v>
      </c>
      <c r="I302" s="3"/>
      <c r="J302" s="8" t="s">
        <v>1842</v>
      </c>
      <c r="K302" s="258">
        <v>10.5</v>
      </c>
      <c r="L302" s="3"/>
      <c r="M302" s="5" t="s">
        <v>1848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1752</v>
      </c>
      <c r="B303" s="257">
        <v>8.5</v>
      </c>
      <c r="C303" s="3"/>
      <c r="D303" s="5" t="s">
        <v>1858</v>
      </c>
      <c r="E303" s="257"/>
      <c r="F303" s="3"/>
      <c r="G303" s="5" t="s">
        <v>1824</v>
      </c>
      <c r="H303" s="257">
        <v>3</v>
      </c>
      <c r="I303" s="3"/>
      <c r="J303" s="3"/>
      <c r="K303" s="3"/>
      <c r="L303" s="3"/>
      <c r="M303" s="5" t="s">
        <v>1849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1753</v>
      </c>
      <c r="B304" s="257">
        <v>9</v>
      </c>
      <c r="C304" s="3"/>
      <c r="D304" s="5" t="s">
        <v>1859</v>
      </c>
      <c r="E304" s="257">
        <v>7.5</v>
      </c>
      <c r="F304" s="3"/>
      <c r="G304" s="5" t="s">
        <v>1825</v>
      </c>
      <c r="H304" s="257">
        <v>3.5</v>
      </c>
      <c r="I304" s="3"/>
      <c r="J304" s="273" t="s">
        <v>1879</v>
      </c>
      <c r="K304" s="13">
        <f>ROUND(SUM(K305:K316)/COUNT(K305:K316), 2)</f>
        <v>8.9600000000000009</v>
      </c>
      <c r="L304" s="3"/>
      <c r="M304" s="8" t="s">
        <v>1850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1754</v>
      </c>
      <c r="B305" s="257">
        <v>8.5</v>
      </c>
      <c r="C305" s="3"/>
      <c r="D305" s="5" t="s">
        <v>1860</v>
      </c>
      <c r="E305" s="257">
        <v>8.5</v>
      </c>
      <c r="F305" s="3"/>
      <c r="G305" s="5" t="s">
        <v>1826</v>
      </c>
      <c r="H305" s="257">
        <v>3</v>
      </c>
      <c r="I305" s="3"/>
      <c r="J305" s="12" t="s">
        <v>1867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1755</v>
      </c>
      <c r="B306" s="257">
        <v>9</v>
      </c>
      <c r="C306" s="3"/>
      <c r="D306" s="5" t="s">
        <v>1861</v>
      </c>
      <c r="E306" s="257">
        <v>8</v>
      </c>
      <c r="F306" s="3"/>
      <c r="G306" s="5" t="s">
        <v>1827</v>
      </c>
      <c r="H306" s="257">
        <v>2</v>
      </c>
      <c r="I306" s="3"/>
      <c r="J306" s="5" t="s">
        <v>1868</v>
      </c>
      <c r="K306" s="257">
        <v>10</v>
      </c>
      <c r="L306" s="3"/>
      <c r="M306" s="275" t="s">
        <v>1885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1756</v>
      </c>
      <c r="B307" s="258">
        <v>8.5</v>
      </c>
      <c r="C307" s="3"/>
      <c r="D307" s="5" t="s">
        <v>1862</v>
      </c>
      <c r="E307" s="257">
        <v>8</v>
      </c>
      <c r="F307" s="3"/>
      <c r="G307" s="8" t="s">
        <v>1828</v>
      </c>
      <c r="H307" s="258">
        <v>2</v>
      </c>
      <c r="I307" s="3"/>
      <c r="J307" s="5" t="s">
        <v>1869</v>
      </c>
      <c r="K307" s="257">
        <v>9</v>
      </c>
      <c r="L307" s="3"/>
      <c r="M307" s="12" t="s">
        <v>1886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1863</v>
      </c>
      <c r="E308" s="258">
        <v>8.5</v>
      </c>
      <c r="F308" s="3"/>
      <c r="G308" s="3"/>
      <c r="H308" s="3"/>
      <c r="I308" s="3"/>
      <c r="J308" s="5" t="s">
        <v>1870</v>
      </c>
      <c r="K308" s="257">
        <v>9</v>
      </c>
      <c r="L308" s="3"/>
      <c r="M308" s="5" t="s">
        <v>1887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1903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1933</v>
      </c>
      <c r="H309" s="13">
        <f>ROUND(SUM(H310:H327)/COUNT(H310:H327), 2)</f>
        <v>7.31</v>
      </c>
      <c r="I309" s="3"/>
      <c r="J309" s="5" t="s">
        <v>1871</v>
      </c>
      <c r="K309" s="257">
        <v>9</v>
      </c>
      <c r="L309" s="3"/>
      <c r="M309" s="5" t="s">
        <v>1888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1904</v>
      </c>
      <c r="B310" s="256">
        <v>7.5</v>
      </c>
      <c r="C310" s="3"/>
      <c r="D310" s="283" t="s">
        <v>2037</v>
      </c>
      <c r="E310" s="13">
        <f>ROUND(SUM(E311:E318)/COUNT(E311:E318), 2)</f>
        <v>8.5</v>
      </c>
      <c r="F310" s="3"/>
      <c r="G310" s="12" t="s">
        <v>1915</v>
      </c>
      <c r="H310" s="256">
        <v>8.5</v>
      </c>
      <c r="I310" s="3"/>
      <c r="J310" s="5" t="s">
        <v>1872</v>
      </c>
      <c r="K310" s="257">
        <v>10</v>
      </c>
      <c r="L310" s="3"/>
      <c r="M310" s="5" t="s">
        <v>1889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1905</v>
      </c>
      <c r="B311" s="257">
        <v>8.5</v>
      </c>
      <c r="C311" s="3"/>
      <c r="D311" s="12" t="s">
        <v>2038</v>
      </c>
      <c r="E311" s="256">
        <v>8.5</v>
      </c>
      <c r="F311" s="3"/>
      <c r="G311" s="5" t="s">
        <v>1916</v>
      </c>
      <c r="H311" s="257">
        <v>7.5</v>
      </c>
      <c r="I311" s="3"/>
      <c r="J311" s="5" t="s">
        <v>1873</v>
      </c>
      <c r="K311" s="257">
        <v>8</v>
      </c>
      <c r="L311" s="3"/>
      <c r="M311" s="5" t="s">
        <v>1890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2039</v>
      </c>
      <c r="E312" s="257">
        <v>8.5</v>
      </c>
      <c r="F312" s="3"/>
      <c r="G312" s="5" t="s">
        <v>1917</v>
      </c>
      <c r="H312" s="257">
        <v>8.5</v>
      </c>
      <c r="I312" s="3"/>
      <c r="J312" s="5" t="s">
        <v>1874</v>
      </c>
      <c r="K312" s="257">
        <v>8.5</v>
      </c>
      <c r="L312" s="3"/>
      <c r="M312" s="5" t="s">
        <v>1891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1906</v>
      </c>
      <c r="B313" s="257">
        <v>8</v>
      </c>
      <c r="C313" s="3"/>
      <c r="D313" s="5" t="s">
        <v>2040</v>
      </c>
      <c r="E313" s="257">
        <v>9</v>
      </c>
      <c r="F313" s="3"/>
      <c r="G313" s="5" t="s">
        <v>1918</v>
      </c>
      <c r="H313" s="257">
        <v>8.5</v>
      </c>
      <c r="I313" s="3"/>
      <c r="J313" s="5" t="s">
        <v>1875</v>
      </c>
      <c r="K313" s="257">
        <v>8.5</v>
      </c>
      <c r="L313" s="3"/>
      <c r="M313" s="5" t="s">
        <v>1892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1907</v>
      </c>
      <c r="B314" s="257">
        <v>9.5</v>
      </c>
      <c r="C314" s="3"/>
      <c r="D314" s="5" t="s">
        <v>2041</v>
      </c>
      <c r="E314" s="257">
        <v>9</v>
      </c>
      <c r="F314" s="3"/>
      <c r="G314" s="5" t="s">
        <v>1919</v>
      </c>
      <c r="H314" s="257">
        <v>7.5</v>
      </c>
      <c r="I314" s="3"/>
      <c r="J314" s="5" t="s">
        <v>1876</v>
      </c>
      <c r="K314" s="257">
        <v>9</v>
      </c>
      <c r="L314" s="3"/>
      <c r="M314" s="5" t="s">
        <v>1893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1908</v>
      </c>
      <c r="B315" s="257">
        <v>7</v>
      </c>
      <c r="C315" s="3"/>
      <c r="D315" s="5" t="s">
        <v>2042</v>
      </c>
      <c r="E315" s="257">
        <v>8</v>
      </c>
      <c r="F315" s="3"/>
      <c r="G315" s="5" t="s">
        <v>1920</v>
      </c>
      <c r="H315" s="257">
        <v>7</v>
      </c>
      <c r="I315" s="3"/>
      <c r="J315" s="5" t="s">
        <v>1877</v>
      </c>
      <c r="K315" s="257">
        <v>9.5</v>
      </c>
      <c r="L315" s="3"/>
      <c r="M315" s="5" t="s">
        <v>1894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1909</v>
      </c>
      <c r="B316" s="257">
        <v>10</v>
      </c>
      <c r="C316" s="3"/>
      <c r="D316" s="5" t="s">
        <v>2043</v>
      </c>
      <c r="E316" s="257">
        <v>8</v>
      </c>
      <c r="F316" s="3"/>
      <c r="G316" s="5" t="s">
        <v>1921</v>
      </c>
      <c r="H316" s="257">
        <v>7</v>
      </c>
      <c r="I316" s="3"/>
      <c r="J316" s="8" t="s">
        <v>1878</v>
      </c>
      <c r="K316" s="258">
        <v>8.5</v>
      </c>
      <c r="L316" s="3"/>
      <c r="M316" s="8" t="s">
        <v>1895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1910</v>
      </c>
      <c r="B317" s="257">
        <v>8.5</v>
      </c>
      <c r="C317" s="3"/>
      <c r="D317" s="5" t="s">
        <v>2044</v>
      </c>
      <c r="E317" s="257">
        <v>8.5</v>
      </c>
      <c r="F317" s="3"/>
      <c r="G317" s="5" t="s">
        <v>1922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1911</v>
      </c>
      <c r="B318" s="257">
        <v>7.5</v>
      </c>
      <c r="C318" s="3"/>
      <c r="D318" s="8" t="s">
        <v>2045</v>
      </c>
      <c r="E318" s="258">
        <v>8.5</v>
      </c>
      <c r="F318" s="3"/>
      <c r="G318" s="5" t="s">
        <v>1923</v>
      </c>
      <c r="H318" s="257">
        <v>7</v>
      </c>
      <c r="I318" s="3"/>
      <c r="J318" s="287" t="s">
        <v>2063</v>
      </c>
      <c r="K318" s="13">
        <f>ROUND(SUM(K319:K326)/COUNT(K319:K326), 2)</f>
        <v>8.43</v>
      </c>
      <c r="L318" s="3"/>
      <c r="M318" s="288" t="s">
        <v>2075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1912</v>
      </c>
      <c r="B319" s="257">
        <v>7.5</v>
      </c>
      <c r="C319" s="3"/>
      <c r="D319" s="3"/>
      <c r="E319" s="3"/>
      <c r="F319" s="3"/>
      <c r="G319" s="5" t="s">
        <v>1924</v>
      </c>
      <c r="H319" s="257">
        <v>7</v>
      </c>
      <c r="I319" s="3"/>
      <c r="J319" s="12" t="s">
        <v>2064</v>
      </c>
      <c r="K319" s="256"/>
      <c r="L319" s="3"/>
      <c r="M319" s="12" t="s">
        <v>2076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1913</v>
      </c>
      <c r="B320" s="258">
        <v>8</v>
      </c>
      <c r="C320" s="3"/>
      <c r="D320" s="285" t="s">
        <v>2048</v>
      </c>
      <c r="E320" s="13">
        <f>ROUND(SUM(E321:E326)/COUNT(E321:E326), 2)</f>
        <v>8.67</v>
      </c>
      <c r="F320" s="3"/>
      <c r="G320" s="5" t="s">
        <v>1925</v>
      </c>
      <c r="H320" s="257">
        <v>7.5</v>
      </c>
      <c r="I320" s="3"/>
      <c r="J320" s="5" t="s">
        <v>2065</v>
      </c>
      <c r="K320" s="257">
        <v>8.5</v>
      </c>
      <c r="L320" s="3"/>
      <c r="M320" s="5" t="s">
        <v>2077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2049</v>
      </c>
      <c r="E321" s="256">
        <v>8.5</v>
      </c>
      <c r="F321" s="3"/>
      <c r="G321" s="5" t="s">
        <v>1926</v>
      </c>
      <c r="H321" s="257">
        <v>6</v>
      </c>
      <c r="I321" s="3"/>
      <c r="J321" s="5" t="s">
        <v>2066</v>
      </c>
      <c r="K321" s="257">
        <v>9</v>
      </c>
      <c r="L321" s="3"/>
      <c r="M321" s="5" t="s">
        <v>2078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2087</v>
      </c>
      <c r="B322" s="13">
        <f>ROUND(SUM(B323:B341)/COUNT(B323:B341), 2)</f>
        <v>8.3800000000000008</v>
      </c>
      <c r="C322" s="3"/>
      <c r="D322" s="5" t="s">
        <v>2050</v>
      </c>
      <c r="E322" s="257">
        <v>9</v>
      </c>
      <c r="F322" s="3"/>
      <c r="G322" s="5" t="s">
        <v>1927</v>
      </c>
      <c r="H322" s="257">
        <v>7</v>
      </c>
      <c r="I322" s="3"/>
      <c r="J322" s="5" t="s">
        <v>2067</v>
      </c>
      <c r="K322" s="257">
        <v>8.5</v>
      </c>
      <c r="L322" s="3"/>
      <c r="M322" s="5" t="s">
        <v>2079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2051</v>
      </c>
      <c r="E323" s="257">
        <v>8.5</v>
      </c>
      <c r="F323" s="3"/>
      <c r="G323" s="5" t="s">
        <v>1928</v>
      </c>
      <c r="H323" s="257">
        <v>8</v>
      </c>
      <c r="I323" s="3"/>
      <c r="J323" s="5" t="s">
        <v>2068</v>
      </c>
      <c r="K323" s="257">
        <v>8.5</v>
      </c>
      <c r="L323" s="3"/>
      <c r="M323" s="5" t="s">
        <v>2080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2088</v>
      </c>
      <c r="B324" s="257">
        <v>8</v>
      </c>
      <c r="C324" s="3"/>
      <c r="D324" s="5" t="s">
        <v>2052</v>
      </c>
      <c r="E324" s="257">
        <v>7.5</v>
      </c>
      <c r="F324" s="3"/>
      <c r="G324" s="5" t="s">
        <v>1929</v>
      </c>
      <c r="H324" s="257">
        <v>7.5</v>
      </c>
      <c r="I324" s="3"/>
      <c r="J324" s="5" t="s">
        <v>2069</v>
      </c>
      <c r="K324" s="257">
        <v>7.5</v>
      </c>
      <c r="L324" s="3"/>
      <c r="M324" s="5" t="s">
        <v>2081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2089</v>
      </c>
      <c r="B325" s="257">
        <v>8</v>
      </c>
      <c r="C325" s="3"/>
      <c r="D325" s="5" t="s">
        <v>2053</v>
      </c>
      <c r="E325" s="257">
        <v>9</v>
      </c>
      <c r="F325" s="3"/>
      <c r="G325" s="5" t="s">
        <v>1930</v>
      </c>
      <c r="H325" s="257">
        <v>7</v>
      </c>
      <c r="I325" s="3"/>
      <c r="J325" s="5" t="s">
        <v>2070</v>
      </c>
      <c r="K325" s="257">
        <v>8</v>
      </c>
      <c r="L325" s="3"/>
      <c r="M325" s="5" t="s">
        <v>2082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2090</v>
      </c>
      <c r="B326" s="257">
        <v>8.5</v>
      </c>
      <c r="C326" s="3"/>
      <c r="D326" s="8" t="s">
        <v>2054</v>
      </c>
      <c r="E326" s="258">
        <v>9.5</v>
      </c>
      <c r="F326" s="3"/>
      <c r="G326" s="5" t="s">
        <v>1931</v>
      </c>
      <c r="H326" s="257">
        <v>6</v>
      </c>
      <c r="I326" s="3"/>
      <c r="J326" s="8" t="s">
        <v>2071</v>
      </c>
      <c r="K326" s="258">
        <v>9</v>
      </c>
      <c r="L326" s="3"/>
      <c r="M326" s="8" t="s">
        <v>2083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2091</v>
      </c>
      <c r="B327" s="257">
        <v>8</v>
      </c>
      <c r="C327" s="3"/>
      <c r="D327" s="3"/>
      <c r="E327" s="3"/>
      <c r="F327" s="3"/>
      <c r="G327" s="8" t="s">
        <v>1932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2092</v>
      </c>
      <c r="B328" s="257">
        <v>9</v>
      </c>
      <c r="C328" s="3"/>
      <c r="D328" s="293" t="s">
        <v>2110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2250</v>
      </c>
      <c r="K328" s="13">
        <f>ROUND(SUM(K329:K338)/COUNT(K329:K338), 2)</f>
        <v>8.6</v>
      </c>
      <c r="L328" s="3"/>
      <c r="M328" s="295" t="s">
        <v>2164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2093</v>
      </c>
      <c r="B329" s="257">
        <v>8.5</v>
      </c>
      <c r="C329" s="3"/>
      <c r="D329" s="12" t="s">
        <v>2111</v>
      </c>
      <c r="E329" s="256">
        <v>8.5</v>
      </c>
      <c r="F329" s="3"/>
      <c r="G329" s="299" t="s">
        <v>2249</v>
      </c>
      <c r="H329" s="13">
        <f>ROUND(SUM(H330:H337)/COUNT(H330:H337), 2)</f>
        <v>8.75</v>
      </c>
      <c r="I329" s="3"/>
      <c r="J329" s="12" t="s">
        <v>2144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2094</v>
      </c>
      <c r="B330" s="257"/>
      <c r="C330" s="3"/>
      <c r="D330" s="5" t="s">
        <v>2112</v>
      </c>
      <c r="E330" s="257">
        <v>10.5</v>
      </c>
      <c r="F330" s="3"/>
      <c r="G330" s="12" t="s">
        <v>2251</v>
      </c>
      <c r="H330" s="256">
        <v>9.5</v>
      </c>
      <c r="I330" s="3"/>
      <c r="J330" s="5" t="s">
        <v>2145</v>
      </c>
      <c r="K330" s="257">
        <v>8</v>
      </c>
      <c r="L330" s="3"/>
      <c r="M330" s="5" t="s">
        <v>2165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2095</v>
      </c>
      <c r="B331" s="257">
        <v>8.5</v>
      </c>
      <c r="C331" s="3"/>
      <c r="D331" s="5" t="s">
        <v>2113</v>
      </c>
      <c r="E331" s="257">
        <v>9.5</v>
      </c>
      <c r="F331" s="3"/>
      <c r="G331" s="5" t="s">
        <v>2252</v>
      </c>
      <c r="H331" s="257">
        <v>8.5</v>
      </c>
      <c r="I331" s="3"/>
      <c r="J331" s="5" t="s">
        <v>2146</v>
      </c>
      <c r="K331" s="257">
        <v>7.5</v>
      </c>
      <c r="L331" s="3"/>
      <c r="M331" s="5" t="s">
        <v>2166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2096</v>
      </c>
      <c r="B332" s="257">
        <v>10</v>
      </c>
      <c r="C332" s="3"/>
      <c r="D332" s="5" t="s">
        <v>2114</v>
      </c>
      <c r="E332" s="257">
        <v>9</v>
      </c>
      <c r="F332" s="3"/>
      <c r="G332" s="5" t="s">
        <v>2253</v>
      </c>
      <c r="H332" s="257">
        <v>8.5</v>
      </c>
      <c r="I332" s="3"/>
      <c r="J332" s="5" t="s">
        <v>2147</v>
      </c>
      <c r="K332" s="257">
        <v>9.5</v>
      </c>
      <c r="L332" s="3"/>
      <c r="M332" s="5" t="s">
        <v>2167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2097</v>
      </c>
      <c r="B333" s="257">
        <v>8.5</v>
      </c>
      <c r="C333" s="3"/>
      <c r="D333" s="5" t="s">
        <v>2115</v>
      </c>
      <c r="E333" s="257">
        <v>8.5</v>
      </c>
      <c r="F333" s="3"/>
      <c r="G333" s="5" t="s">
        <v>2254</v>
      </c>
      <c r="H333" s="257">
        <v>8</v>
      </c>
      <c r="I333" s="3"/>
      <c r="J333" s="5" t="s">
        <v>2148</v>
      </c>
      <c r="K333" s="257">
        <v>7.5</v>
      </c>
      <c r="L333" s="3"/>
      <c r="M333" s="5" t="s">
        <v>2168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2098</v>
      </c>
      <c r="B334" s="257">
        <v>7.5</v>
      </c>
      <c r="C334" s="3"/>
      <c r="D334" s="5" t="s">
        <v>2116</v>
      </c>
      <c r="E334" s="257">
        <v>9</v>
      </c>
      <c r="F334" s="3"/>
      <c r="G334" s="5" t="s">
        <v>2255</v>
      </c>
      <c r="H334" s="257">
        <v>9</v>
      </c>
      <c r="I334" s="3"/>
      <c r="J334" s="5" t="s">
        <v>2149</v>
      </c>
      <c r="K334" s="257">
        <v>8</v>
      </c>
      <c r="L334" s="3"/>
      <c r="M334" s="5" t="s">
        <v>2169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2099</v>
      </c>
      <c r="B335" s="257">
        <v>10</v>
      </c>
      <c r="C335" s="3"/>
      <c r="D335" s="5" t="s">
        <v>2117</v>
      </c>
      <c r="E335" s="257">
        <v>8.5</v>
      </c>
      <c r="F335" s="3"/>
      <c r="G335" s="5" t="s">
        <v>2256</v>
      </c>
      <c r="H335" s="257">
        <v>8.5</v>
      </c>
      <c r="I335" s="3"/>
      <c r="J335" s="5" t="s">
        <v>2150</v>
      </c>
      <c r="K335" s="257">
        <v>10</v>
      </c>
      <c r="L335" s="3"/>
      <c r="M335" s="5" t="s">
        <v>2170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2100</v>
      </c>
      <c r="B336" s="257">
        <v>8</v>
      </c>
      <c r="C336" s="3"/>
      <c r="D336" s="5" t="s">
        <v>2118</v>
      </c>
      <c r="E336" s="257">
        <v>8.5</v>
      </c>
      <c r="F336" s="3"/>
      <c r="G336" s="5" t="s">
        <v>2257</v>
      </c>
      <c r="H336" s="257">
        <v>10</v>
      </c>
      <c r="I336" s="3"/>
      <c r="J336" s="5" t="s">
        <v>2151</v>
      </c>
      <c r="K336" s="257">
        <v>9</v>
      </c>
      <c r="L336" s="3"/>
      <c r="M336" s="8" t="s">
        <v>2171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2101</v>
      </c>
      <c r="B337" s="257">
        <v>7</v>
      </c>
      <c r="C337" s="3"/>
      <c r="D337" s="5" t="s">
        <v>2119</v>
      </c>
      <c r="E337" s="257">
        <v>10</v>
      </c>
      <c r="F337" s="3"/>
      <c r="G337" s="8" t="s">
        <v>2258</v>
      </c>
      <c r="H337" s="258">
        <v>8</v>
      </c>
      <c r="I337" s="3"/>
      <c r="J337" s="5" t="s">
        <v>2152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2102</v>
      </c>
      <c r="B338" s="257">
        <v>8</v>
      </c>
      <c r="C338" s="3"/>
      <c r="D338" s="5" t="s">
        <v>2120</v>
      </c>
      <c r="E338" s="257">
        <v>8.5</v>
      </c>
      <c r="F338" s="3"/>
      <c r="G338" s="3"/>
      <c r="H338" s="3"/>
      <c r="I338" s="3"/>
      <c r="J338" s="8" t="s">
        <v>2153</v>
      </c>
      <c r="K338" s="258">
        <v>8</v>
      </c>
      <c r="L338" s="3"/>
      <c r="M338" s="300" t="s">
        <v>2262</v>
      </c>
      <c r="N338" s="13">
        <f>ROUND(SUM(N339:N353)/COUNT(N339:N353), 2)</f>
        <v>8.6199999999999992</v>
      </c>
      <c r="O338" s="3"/>
      <c r="V338"/>
      <c r="W338"/>
      <c r="X338"/>
      <c r="Y338"/>
      <c r="Z338"/>
    </row>
    <row r="339" spans="1:26" ht="16.05" customHeight="1" thickBot="1">
      <c r="A339" s="5" t="s">
        <v>2103</v>
      </c>
      <c r="B339" s="257">
        <v>9</v>
      </c>
      <c r="C339" s="3"/>
      <c r="D339" s="5" t="s">
        <v>2121</v>
      </c>
      <c r="E339" s="257">
        <v>8.5</v>
      </c>
      <c r="F339" s="3"/>
      <c r="G339" s="301" t="s">
        <v>2282</v>
      </c>
      <c r="H339" s="13">
        <f>ROUND(SUM(H340:H351)/COUNT(H340:H351), 2)</f>
        <v>8.58</v>
      </c>
      <c r="I339" s="3"/>
      <c r="J339" s="3"/>
      <c r="K339" s="3"/>
      <c r="L339" s="3"/>
      <c r="M339" s="12" t="s">
        <v>2263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2104</v>
      </c>
      <c r="B340" s="257">
        <v>8.5</v>
      </c>
      <c r="C340" s="3"/>
      <c r="D340" s="5" t="s">
        <v>2122</v>
      </c>
      <c r="E340" s="257">
        <v>7.5</v>
      </c>
      <c r="F340" s="3"/>
      <c r="G340" s="12" t="s">
        <v>2283</v>
      </c>
      <c r="H340" s="256">
        <v>8</v>
      </c>
      <c r="I340" s="3"/>
      <c r="J340" s="302" t="s">
        <v>2316</v>
      </c>
      <c r="K340" s="13">
        <f>ROUND(SUM(K341:K354)/COUNT(K341:K354), 2)</f>
        <v>8.5399999999999991</v>
      </c>
      <c r="L340" s="3"/>
      <c r="M340" s="5" t="s">
        <v>2264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2105</v>
      </c>
      <c r="B341" s="258">
        <v>7.5</v>
      </c>
      <c r="C341" s="3"/>
      <c r="D341" s="5" t="s">
        <v>2123</v>
      </c>
      <c r="E341" s="257">
        <v>10.5</v>
      </c>
      <c r="F341" s="3"/>
      <c r="G341" s="5" t="s">
        <v>2284</v>
      </c>
      <c r="H341" s="257">
        <v>9</v>
      </c>
      <c r="I341" s="3"/>
      <c r="J341" s="12" t="s">
        <v>2302</v>
      </c>
      <c r="K341" s="256">
        <v>8.5</v>
      </c>
      <c r="L341" s="3"/>
      <c r="M341" s="5" t="s">
        <v>2265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2124</v>
      </c>
      <c r="E342" s="257">
        <v>8</v>
      </c>
      <c r="F342" s="3"/>
      <c r="G342" s="5" t="s">
        <v>2285</v>
      </c>
      <c r="H342" s="257">
        <v>9.5</v>
      </c>
      <c r="I342" s="3"/>
      <c r="J342" s="5" t="s">
        <v>2303</v>
      </c>
      <c r="K342" s="257">
        <v>9</v>
      </c>
      <c r="L342" s="3"/>
      <c r="M342" s="5" t="s">
        <v>2266</v>
      </c>
      <c r="N342" s="257">
        <v>8.5</v>
      </c>
      <c r="O342" s="3"/>
      <c r="V342"/>
      <c r="W342"/>
      <c r="X342"/>
      <c r="Y342"/>
      <c r="Z342"/>
    </row>
    <row r="343" spans="1:26" ht="16.05" customHeight="1" thickBot="1">
      <c r="A343" s="304" t="s">
        <v>2324</v>
      </c>
      <c r="B343" s="13">
        <f>ROUND(SUM(B344:B358)/COUNT(B344:B358), 2)</f>
        <v>8.57</v>
      </c>
      <c r="C343" s="3"/>
      <c r="D343" s="5" t="s">
        <v>2125</v>
      </c>
      <c r="E343" s="257">
        <v>7.5</v>
      </c>
      <c r="F343" s="3"/>
      <c r="G343" s="5" t="s">
        <v>2286</v>
      </c>
      <c r="H343" s="257">
        <v>8.5</v>
      </c>
      <c r="I343" s="3"/>
      <c r="J343" s="5" t="s">
        <v>2304</v>
      </c>
      <c r="K343" s="257">
        <v>8</v>
      </c>
      <c r="L343" s="3"/>
      <c r="M343" s="5" t="s">
        <v>2267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2325</v>
      </c>
      <c r="B344" s="256">
        <v>9</v>
      </c>
      <c r="C344" s="3"/>
      <c r="D344" s="5" t="s">
        <v>2126</v>
      </c>
      <c r="E344" s="257">
        <v>10</v>
      </c>
      <c r="F344" s="3"/>
      <c r="G344" s="5" t="s">
        <v>2287</v>
      </c>
      <c r="H344" s="257">
        <v>9</v>
      </c>
      <c r="I344" s="3"/>
      <c r="J344" s="5" t="s">
        <v>2305</v>
      </c>
      <c r="K344" s="257">
        <v>8.5</v>
      </c>
      <c r="L344" s="3"/>
      <c r="M344" s="5" t="s">
        <v>2268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2326</v>
      </c>
      <c r="B345" s="257">
        <v>8</v>
      </c>
      <c r="C345" s="3"/>
      <c r="D345" s="5" t="s">
        <v>2127</v>
      </c>
      <c r="E345" s="257">
        <v>9.5</v>
      </c>
      <c r="F345" s="3"/>
      <c r="G345" s="5" t="s">
        <v>2288</v>
      </c>
      <c r="H345" s="257">
        <v>10</v>
      </c>
      <c r="I345" s="3"/>
      <c r="J345" s="5" t="s">
        <v>2306</v>
      </c>
      <c r="K345" s="257">
        <v>9</v>
      </c>
      <c r="L345" s="3"/>
      <c r="M345" s="5" t="s">
        <v>2269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2327</v>
      </c>
      <c r="B346" s="257">
        <v>10</v>
      </c>
      <c r="C346" s="3"/>
      <c r="D346" s="5" t="s">
        <v>2128</v>
      </c>
      <c r="E346" s="257">
        <v>10</v>
      </c>
      <c r="F346" s="3"/>
      <c r="G346" s="5" t="s">
        <v>2289</v>
      </c>
      <c r="H346" s="257">
        <v>8.5</v>
      </c>
      <c r="I346" s="3"/>
      <c r="J346" s="5" t="s">
        <v>2307</v>
      </c>
      <c r="K346" s="257">
        <v>8</v>
      </c>
      <c r="L346" s="3"/>
      <c r="M346" s="5" t="s">
        <v>2270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2328</v>
      </c>
      <c r="B347" s="257">
        <v>9</v>
      </c>
      <c r="C347" s="3"/>
      <c r="D347" s="5" t="s">
        <v>2129</v>
      </c>
      <c r="E347" s="257">
        <v>8</v>
      </c>
      <c r="F347" s="3"/>
      <c r="G347" s="5" t="s">
        <v>2290</v>
      </c>
      <c r="H347" s="257">
        <v>8.5</v>
      </c>
      <c r="I347" s="3"/>
      <c r="J347" s="5" t="s">
        <v>2308</v>
      </c>
      <c r="K347" s="257">
        <v>8</v>
      </c>
      <c r="L347" s="3"/>
      <c r="M347" s="5" t="s">
        <v>2271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2329</v>
      </c>
      <c r="B348" s="257">
        <v>9</v>
      </c>
      <c r="C348" s="3"/>
      <c r="D348" s="5" t="s">
        <v>2130</v>
      </c>
      <c r="E348" s="257">
        <v>8.5</v>
      </c>
      <c r="F348" s="3"/>
      <c r="G348" s="5" t="s">
        <v>2291</v>
      </c>
      <c r="H348" s="257">
        <v>8</v>
      </c>
      <c r="I348" s="3"/>
      <c r="J348" s="5" t="s">
        <v>2309</v>
      </c>
      <c r="K348" s="257">
        <v>7.5</v>
      </c>
      <c r="L348" s="3"/>
      <c r="M348" s="5" t="s">
        <v>2272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2330</v>
      </c>
      <c r="B349" s="257">
        <v>8.5</v>
      </c>
      <c r="C349" s="3"/>
      <c r="D349" s="5" t="s">
        <v>2131</v>
      </c>
      <c r="E349" s="257">
        <v>8</v>
      </c>
      <c r="F349" s="3"/>
      <c r="G349" s="5" t="s">
        <v>2292</v>
      </c>
      <c r="H349" s="257">
        <v>8</v>
      </c>
      <c r="I349" s="3"/>
      <c r="J349" s="5" t="s">
        <v>2310</v>
      </c>
      <c r="K349" s="257">
        <v>9.5</v>
      </c>
      <c r="L349" s="3"/>
      <c r="M349" s="5" t="s">
        <v>2273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2331</v>
      </c>
      <c r="B350" s="257">
        <v>9</v>
      </c>
      <c r="C350" s="3"/>
      <c r="D350" s="5" t="s">
        <v>2132</v>
      </c>
      <c r="E350" s="257">
        <v>7.5</v>
      </c>
      <c r="F350" s="3"/>
      <c r="G350" s="5" t="s">
        <v>2293</v>
      </c>
      <c r="H350" s="257">
        <v>8.5</v>
      </c>
      <c r="I350" s="3"/>
      <c r="J350" s="5" t="s">
        <v>2311</v>
      </c>
      <c r="K350" s="257">
        <v>8</v>
      </c>
      <c r="L350" s="3"/>
      <c r="M350" s="5" t="s">
        <v>2274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2332</v>
      </c>
      <c r="B351" s="257">
        <v>8.5</v>
      </c>
      <c r="C351" s="3"/>
      <c r="D351" s="5" t="s">
        <v>2133</v>
      </c>
      <c r="E351" s="257">
        <v>9</v>
      </c>
      <c r="F351" s="3"/>
      <c r="G351" s="8" t="s">
        <v>2294</v>
      </c>
      <c r="H351" s="258">
        <v>7.5</v>
      </c>
      <c r="I351" s="3"/>
      <c r="J351" s="5" t="s">
        <v>2312</v>
      </c>
      <c r="K351" s="257">
        <v>10</v>
      </c>
      <c r="L351" s="3"/>
      <c r="M351" s="5" t="s">
        <v>2275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2333</v>
      </c>
      <c r="B352" s="257">
        <v>8</v>
      </c>
      <c r="C352" s="3"/>
      <c r="D352" s="5" t="s">
        <v>2134</v>
      </c>
      <c r="E352" s="257">
        <v>8</v>
      </c>
      <c r="F352" s="3"/>
      <c r="G352" s="3"/>
      <c r="H352" s="3"/>
      <c r="I352" s="3"/>
      <c r="J352" s="5" t="s">
        <v>2313</v>
      </c>
      <c r="K352" s="257">
        <v>8</v>
      </c>
      <c r="L352" s="3"/>
      <c r="M352" s="5" t="s">
        <v>2276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2334</v>
      </c>
      <c r="B353" s="257">
        <v>8</v>
      </c>
      <c r="C353" s="3"/>
      <c r="D353" s="5" t="s">
        <v>2135</v>
      </c>
      <c r="E353" s="257"/>
      <c r="F353" s="3"/>
      <c r="G353" s="313" t="s">
        <v>2348</v>
      </c>
      <c r="H353" s="13">
        <f>ROUND(SUM(H354:H363)/COUNT(H354:H363), 2)</f>
        <v>8.75</v>
      </c>
      <c r="I353" s="3"/>
      <c r="J353" s="5" t="s">
        <v>2314</v>
      </c>
      <c r="K353" s="257">
        <v>7.5</v>
      </c>
      <c r="L353" s="3"/>
      <c r="M353" s="8" t="s">
        <v>2277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2335</v>
      </c>
      <c r="B354" s="257">
        <v>7.5</v>
      </c>
      <c r="C354" s="3"/>
      <c r="D354" s="5" t="s">
        <v>2136</v>
      </c>
      <c r="E354" s="257">
        <v>8</v>
      </c>
      <c r="F354" s="3"/>
      <c r="G354" s="310" t="s">
        <v>2349</v>
      </c>
      <c r="H354" s="256">
        <v>9</v>
      </c>
      <c r="I354" s="3"/>
      <c r="J354" s="8" t="s">
        <v>2315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2336</v>
      </c>
      <c r="B355" s="257">
        <v>8.5</v>
      </c>
      <c r="C355" s="3"/>
      <c r="D355" s="5" t="s">
        <v>2137</v>
      </c>
      <c r="E355" s="257">
        <v>8.5</v>
      </c>
      <c r="F355" s="3"/>
      <c r="G355" s="311" t="s">
        <v>2350</v>
      </c>
      <c r="H355" s="257">
        <v>10</v>
      </c>
      <c r="I355" s="3"/>
      <c r="J355" s="3"/>
      <c r="K355" s="3"/>
      <c r="L355" s="3"/>
      <c r="M355" s="315" t="s">
        <v>2381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>
      <c r="A356" s="5" t="s">
        <v>2337</v>
      </c>
      <c r="B356" s="257">
        <v>8</v>
      </c>
      <c r="C356" s="3"/>
      <c r="D356" s="5" t="s">
        <v>2138</v>
      </c>
      <c r="E356" s="257">
        <v>8</v>
      </c>
      <c r="F356" s="3"/>
      <c r="G356" s="311" t="s">
        <v>2351</v>
      </c>
      <c r="H356" s="257">
        <v>8</v>
      </c>
      <c r="I356" s="3"/>
      <c r="L356" s="3"/>
      <c r="M356" s="310" t="s">
        <v>2371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2338</v>
      </c>
      <c r="B357" s="257">
        <v>9</v>
      </c>
      <c r="C357" s="3"/>
      <c r="D357" s="5" t="s">
        <v>2139</v>
      </c>
      <c r="E357" s="257">
        <v>8.5</v>
      </c>
      <c r="F357" s="3"/>
      <c r="G357" s="311" t="s">
        <v>2352</v>
      </c>
      <c r="H357" s="257">
        <v>9</v>
      </c>
      <c r="I357" s="3"/>
      <c r="L357" s="3"/>
      <c r="M357" s="311" t="s">
        <v>2372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2339</v>
      </c>
      <c r="B358" s="258">
        <v>8.5</v>
      </c>
      <c r="C358" s="3"/>
      <c r="D358" s="8" t="s">
        <v>1433</v>
      </c>
      <c r="E358" s="258">
        <v>9</v>
      </c>
      <c r="F358" s="3"/>
      <c r="G358" s="311" t="s">
        <v>2353</v>
      </c>
      <c r="H358" s="257">
        <v>8</v>
      </c>
      <c r="I358" s="3"/>
      <c r="L358" s="3"/>
      <c r="M358" s="311" t="s">
        <v>2373</v>
      </c>
      <c r="N358" s="257">
        <v>8</v>
      </c>
      <c r="O358" s="3"/>
      <c r="V358"/>
      <c r="W358"/>
      <c r="X358"/>
      <c r="Y358"/>
      <c r="Z358"/>
    </row>
    <row r="359" spans="1:26" ht="16.05" customHeight="1">
      <c r="A359" s="3"/>
      <c r="B359" s="3"/>
      <c r="C359" s="3"/>
      <c r="D359" s="3"/>
      <c r="E359" s="3"/>
      <c r="F359" s="3"/>
      <c r="G359" s="311" t="s">
        <v>2354</v>
      </c>
      <c r="H359" s="257">
        <v>8.5</v>
      </c>
      <c r="I359" s="3"/>
      <c r="L359" s="3"/>
      <c r="M359" s="311" t="s">
        <v>2374</v>
      </c>
      <c r="N359" s="257">
        <v>7.5</v>
      </c>
      <c r="O359" s="3"/>
      <c r="V359"/>
      <c r="W359"/>
      <c r="X359"/>
      <c r="Y359"/>
      <c r="Z359"/>
    </row>
    <row r="360" spans="1:26" ht="16.05" customHeight="1">
      <c r="F360" s="3"/>
      <c r="G360" s="311" t="s">
        <v>2355</v>
      </c>
      <c r="H360" s="257">
        <v>8</v>
      </c>
      <c r="I360" s="3"/>
      <c r="L360" s="3"/>
      <c r="M360" s="311" t="s">
        <v>2375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F361" s="3"/>
      <c r="G361" s="311" t="s">
        <v>2356</v>
      </c>
      <c r="H361" s="257">
        <v>8</v>
      </c>
      <c r="I361" s="3"/>
      <c r="L361" s="3"/>
      <c r="M361" s="311" t="s">
        <v>2376</v>
      </c>
      <c r="N361" s="257">
        <v>8</v>
      </c>
      <c r="O361" s="3"/>
      <c r="V361"/>
      <c r="W361"/>
      <c r="X361"/>
      <c r="Y361"/>
      <c r="Z361"/>
    </row>
    <row r="362" spans="1:26" ht="16.05" customHeight="1">
      <c r="F362" s="3"/>
      <c r="G362" s="311" t="s">
        <v>2357</v>
      </c>
      <c r="H362" s="257">
        <v>10.5</v>
      </c>
      <c r="I362" s="3"/>
      <c r="L362" s="3"/>
      <c r="M362" s="311" t="s">
        <v>2377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F363" s="3"/>
      <c r="G363" s="312" t="s">
        <v>2358</v>
      </c>
      <c r="H363" s="258">
        <v>8.5</v>
      </c>
      <c r="I363" s="3"/>
      <c r="L363" s="3"/>
      <c r="M363" s="311" t="s">
        <v>2378</v>
      </c>
      <c r="N363" s="257">
        <v>8</v>
      </c>
      <c r="O363" s="3"/>
      <c r="V363"/>
      <c r="W363"/>
      <c r="X363"/>
      <c r="Y363"/>
      <c r="Z363"/>
    </row>
    <row r="364" spans="1:26" ht="16.05" customHeight="1">
      <c r="F364" s="3"/>
      <c r="G364" s="3"/>
      <c r="H364" s="3"/>
      <c r="I364" s="3"/>
      <c r="L364" s="3"/>
      <c r="M364" s="311" t="s">
        <v>2379</v>
      </c>
      <c r="N364" s="257">
        <v>7.5</v>
      </c>
      <c r="O364" s="3"/>
      <c r="V364"/>
      <c r="W364"/>
      <c r="X364"/>
      <c r="Y364"/>
      <c r="Z364"/>
    </row>
    <row r="365" spans="1:26" ht="16.05" customHeight="1" thickBot="1">
      <c r="L365" s="3"/>
      <c r="M365" s="312" t="s">
        <v>2380</v>
      </c>
      <c r="N365" s="258">
        <v>8</v>
      </c>
      <c r="O365" s="3"/>
      <c r="V365"/>
      <c r="W365"/>
      <c r="X365"/>
      <c r="Y365"/>
      <c r="Z365"/>
    </row>
    <row r="366" spans="1:26" ht="16.05" customHeight="1"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V367"/>
      <c r="W367"/>
      <c r="X367"/>
      <c r="Y367"/>
      <c r="Z367"/>
    </row>
    <row r="368" spans="1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43:AE143"/>
    <mergeCell ref="R168:V168"/>
    <mergeCell ref="R1:AE1"/>
    <mergeCell ref="AH1:AI1"/>
  </mergeCells>
  <phoneticPr fontId="203" type="noConversion"/>
  <conditionalFormatting sqref="A2:B2 D2:E2 G2:H2 J2:K2 M2:N2 A16:B16 A26:B26 D14:E14 G17:H17 J14:K14 M14:N14 D30:E30 J25:K25 AK28:AK31">
    <cfRule type="colorScale" priority="1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94" priority="1248" operator="between">
      <formula>10.1</formula>
      <formula>10.6</formula>
    </cfRule>
    <cfRule type="cellIs" dxfId="993" priority="1286" operator="between">
      <formula>7</formula>
      <formula>7.9</formula>
    </cfRule>
    <cfRule type="cellIs" dxfId="992" priority="1287" stopIfTrue="1" operator="between">
      <formula>8</formula>
      <formula>8.9</formula>
    </cfRule>
    <cfRule type="cellIs" dxfId="991" priority="1288" operator="between">
      <formula>9</formula>
      <formula>9.9</formula>
    </cfRule>
    <cfRule type="cellIs" dxfId="990" priority="1289" stopIfTrue="1" operator="between">
      <formula>10</formula>
      <formula>10</formula>
    </cfRule>
    <cfRule type="containsBlanks" dxfId="989" priority="1290" stopIfTrue="1">
      <formula>LEN(TRIM(B3))=0</formula>
    </cfRule>
  </conditionalFormatting>
  <conditionalFormatting sqref="B17:B24">
    <cfRule type="cellIs" dxfId="988" priority="1224" operator="between">
      <formula>10.1</formula>
      <formula>10.6</formula>
    </cfRule>
    <cfRule type="cellIs" dxfId="987" priority="1225" operator="between">
      <formula>7</formula>
      <formula>7.9</formula>
    </cfRule>
    <cfRule type="cellIs" dxfId="986" priority="1226" stopIfTrue="1" operator="between">
      <formula>8</formula>
      <formula>8.9</formula>
    </cfRule>
    <cfRule type="cellIs" dxfId="985" priority="1227" operator="between">
      <formula>9</formula>
      <formula>9.9</formula>
    </cfRule>
    <cfRule type="cellIs" dxfId="984" priority="1228" stopIfTrue="1" operator="between">
      <formula>10</formula>
      <formula>10</formula>
    </cfRule>
    <cfRule type="containsBlanks" dxfId="983" priority="1229" stopIfTrue="1">
      <formula>LEN(TRIM(B17))=0</formula>
    </cfRule>
  </conditionalFormatting>
  <conditionalFormatting sqref="B27:B31">
    <cfRule type="cellIs" dxfId="982" priority="1218" operator="between">
      <formula>10.1</formula>
      <formula>10.6</formula>
    </cfRule>
    <cfRule type="cellIs" dxfId="981" priority="1219" operator="between">
      <formula>7</formula>
      <formula>7.9</formula>
    </cfRule>
    <cfRule type="cellIs" dxfId="980" priority="1220" stopIfTrue="1" operator="between">
      <formula>8</formula>
      <formula>8.9</formula>
    </cfRule>
    <cfRule type="cellIs" dxfId="979" priority="1221" operator="between">
      <formula>9</formula>
      <formula>9.9</formula>
    </cfRule>
    <cfRule type="cellIs" dxfId="978" priority="1222" stopIfTrue="1" operator="between">
      <formula>10</formula>
      <formula>10</formula>
    </cfRule>
    <cfRule type="containsBlanks" dxfId="977" priority="1223" stopIfTrue="1">
      <formula>LEN(TRIM(B27))=0</formula>
    </cfRule>
  </conditionalFormatting>
  <conditionalFormatting sqref="B33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976" priority="1212" operator="between">
      <formula>10.1</formula>
      <formula>10.6</formula>
    </cfRule>
    <cfRule type="cellIs" dxfId="975" priority="1213" operator="between">
      <formula>7</formula>
      <formula>7.9</formula>
    </cfRule>
    <cfRule type="cellIs" dxfId="974" priority="1214" stopIfTrue="1" operator="between">
      <formula>8</formula>
      <formula>8.9</formula>
    </cfRule>
    <cfRule type="cellIs" dxfId="973" priority="1215" operator="between">
      <formula>9</formula>
      <formula>9.9</formula>
    </cfRule>
    <cfRule type="cellIs" dxfId="972" priority="1216" stopIfTrue="1" operator="between">
      <formula>10</formula>
      <formula>10</formula>
    </cfRule>
    <cfRule type="containsBlanks" dxfId="971" priority="1217" stopIfTrue="1">
      <formula>LEN(TRIM(B34))=0</formula>
    </cfRule>
  </conditionalFormatting>
  <conditionalFormatting sqref="B47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70" priority="1182" operator="between">
      <formula>10.1</formula>
      <formula>10.6</formula>
    </cfRule>
    <cfRule type="cellIs" dxfId="969" priority="1183" operator="between">
      <formula>7</formula>
      <formula>7.9</formula>
    </cfRule>
    <cfRule type="cellIs" dxfId="968" priority="1184" stopIfTrue="1" operator="between">
      <formula>8</formula>
      <formula>8.9</formula>
    </cfRule>
    <cfRule type="cellIs" dxfId="967" priority="1185" operator="between">
      <formula>9</formula>
      <formula>9.9</formula>
    </cfRule>
    <cfRule type="cellIs" dxfId="966" priority="1186" stopIfTrue="1" operator="between">
      <formula>10</formula>
      <formula>10</formula>
    </cfRule>
    <cfRule type="containsBlanks" dxfId="965" priority="1187" stopIfTrue="1">
      <formula>LEN(TRIM(B48))=0</formula>
    </cfRule>
  </conditionalFormatting>
  <conditionalFormatting sqref="B59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64" priority="1160" operator="between">
      <formula>10.1</formula>
      <formula>10.6</formula>
    </cfRule>
    <cfRule type="cellIs" dxfId="963" priority="1161" operator="between">
      <formula>7</formula>
      <formula>7.9</formula>
    </cfRule>
    <cfRule type="cellIs" dxfId="962" priority="1162" stopIfTrue="1" operator="between">
      <formula>8</formula>
      <formula>8.9</formula>
    </cfRule>
    <cfRule type="cellIs" dxfId="961" priority="1163" operator="between">
      <formula>9</formula>
      <formula>9.9</formula>
    </cfRule>
    <cfRule type="cellIs" dxfId="960" priority="1164" stopIfTrue="1" operator="between">
      <formula>10</formula>
      <formula>10</formula>
    </cfRule>
    <cfRule type="containsBlanks" dxfId="959" priority="1165" stopIfTrue="1">
      <formula>LEN(TRIM(B60))=0</formula>
    </cfRule>
  </conditionalFormatting>
  <conditionalFormatting sqref="B70"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958" priority="1074" operator="between">
      <formula>10.1</formula>
      <formula>10.6</formula>
    </cfRule>
    <cfRule type="cellIs" dxfId="957" priority="1075" operator="between">
      <formula>7</formula>
      <formula>7.9</formula>
    </cfRule>
    <cfRule type="cellIs" dxfId="956" priority="1076" stopIfTrue="1" operator="between">
      <formula>8</formula>
      <formula>8.9</formula>
    </cfRule>
    <cfRule type="cellIs" dxfId="955" priority="1077" operator="between">
      <formula>9</formula>
      <formula>9.9</formula>
    </cfRule>
    <cfRule type="cellIs" dxfId="954" priority="1078" stopIfTrue="1" operator="between">
      <formula>10</formula>
      <formula>10</formula>
    </cfRule>
    <cfRule type="containsBlanks" dxfId="953" priority="1079" stopIfTrue="1">
      <formula>LEN(TRIM(B71))=0</formula>
    </cfRule>
  </conditionalFormatting>
  <conditionalFormatting sqref="B73">
    <cfRule type="cellIs" dxfId="952" priority="1073" operator="between">
      <formula>6</formula>
      <formula>6.9</formula>
    </cfRule>
  </conditionalFormatting>
  <conditionalFormatting sqref="B79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51" priority="1050" operator="between">
      <formula>10.1</formula>
      <formula>10.6</formula>
    </cfRule>
    <cfRule type="cellIs" dxfId="950" priority="1051" operator="between">
      <formula>7</formula>
      <formula>7.9</formula>
    </cfRule>
    <cfRule type="cellIs" dxfId="949" priority="1052" stopIfTrue="1" operator="between">
      <formula>8</formula>
      <formula>8.9</formula>
    </cfRule>
    <cfRule type="cellIs" dxfId="948" priority="1053" operator="between">
      <formula>9</formula>
      <formula>9.9</formula>
    </cfRule>
    <cfRule type="cellIs" dxfId="947" priority="1054" stopIfTrue="1" operator="between">
      <formula>10</formula>
      <formula>10</formula>
    </cfRule>
    <cfRule type="containsBlanks" dxfId="946" priority="1055" stopIfTrue="1">
      <formula>LEN(TRIM(B80))=0</formula>
    </cfRule>
  </conditionalFormatting>
  <conditionalFormatting sqref="B93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945" priority="1003" operator="between">
      <formula>10.1</formula>
      <formula>10.6</formula>
    </cfRule>
    <cfRule type="cellIs" dxfId="944" priority="1004" operator="between">
      <formula>7</formula>
      <formula>7.9</formula>
    </cfRule>
    <cfRule type="cellIs" dxfId="943" priority="1005" stopIfTrue="1" operator="between">
      <formula>8</formula>
      <formula>8.9</formula>
    </cfRule>
    <cfRule type="cellIs" dxfId="942" priority="1006" operator="between">
      <formula>9</formula>
      <formula>9.9</formula>
    </cfRule>
    <cfRule type="cellIs" dxfId="941" priority="1007" stopIfTrue="1" operator="between">
      <formula>10</formula>
      <formula>10</formula>
    </cfRule>
    <cfRule type="containsBlanks" dxfId="940" priority="1008" stopIfTrue="1">
      <formula>LEN(TRIM(B94))=0</formula>
    </cfRule>
  </conditionalFormatting>
  <conditionalFormatting sqref="B103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939" priority="954" operator="between">
      <formula>10.1</formula>
      <formula>10.6</formula>
    </cfRule>
    <cfRule type="cellIs" dxfId="938" priority="955" operator="between">
      <formula>7</formula>
      <formula>7.9</formula>
    </cfRule>
    <cfRule type="cellIs" dxfId="937" priority="956" stopIfTrue="1" operator="between">
      <formula>8</formula>
      <formula>8.9</formula>
    </cfRule>
    <cfRule type="cellIs" dxfId="936" priority="957" operator="between">
      <formula>9</formula>
      <formula>9.9</formula>
    </cfRule>
    <cfRule type="cellIs" dxfId="935" priority="958" stopIfTrue="1" operator="between">
      <formula>10</formula>
      <formula>10</formula>
    </cfRule>
    <cfRule type="containsBlanks" dxfId="934" priority="959" stopIfTrue="1">
      <formula>LEN(TRIM(B104))=0</formula>
    </cfRule>
  </conditionalFormatting>
  <conditionalFormatting sqref="B114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933" priority="908" operator="between">
      <formula>6</formula>
      <formula>6.9</formula>
    </cfRule>
    <cfRule type="cellIs" dxfId="932" priority="909" operator="between">
      <formula>10.1</formula>
      <formula>10.6</formula>
    </cfRule>
    <cfRule type="cellIs" dxfId="931" priority="910" operator="between">
      <formula>7</formula>
      <formula>7.9</formula>
    </cfRule>
    <cfRule type="cellIs" dxfId="930" priority="911" stopIfTrue="1" operator="between">
      <formula>8</formula>
      <formula>8.9</formula>
    </cfRule>
    <cfRule type="cellIs" dxfId="929" priority="912" operator="between">
      <formula>9</formula>
      <formula>9.9</formula>
    </cfRule>
    <cfRule type="cellIs" dxfId="928" priority="913" stopIfTrue="1" operator="between">
      <formula>10</formula>
      <formula>10</formula>
    </cfRule>
    <cfRule type="containsBlanks" dxfId="927" priority="914" stopIfTrue="1">
      <formula>LEN(TRIM(B115))=0</formula>
    </cfRule>
  </conditionalFormatting>
  <conditionalFormatting sqref="B134"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926" priority="831" operator="between">
      <formula>6</formula>
      <formula>6.9</formula>
    </cfRule>
    <cfRule type="cellIs" dxfId="925" priority="832" operator="between">
      <formula>10.1</formula>
      <formula>10.6</formula>
    </cfRule>
    <cfRule type="cellIs" dxfId="924" priority="833" operator="between">
      <formula>7</formula>
      <formula>7.9</formula>
    </cfRule>
    <cfRule type="cellIs" dxfId="923" priority="834" stopIfTrue="1" operator="between">
      <formula>8</formula>
      <formula>8.9</formula>
    </cfRule>
    <cfRule type="cellIs" dxfId="922" priority="835" operator="between">
      <formula>9</formula>
      <formula>9.9</formula>
    </cfRule>
    <cfRule type="cellIs" dxfId="921" priority="836" stopIfTrue="1" operator="between">
      <formula>10</formula>
      <formula>10</formula>
    </cfRule>
    <cfRule type="containsBlanks" dxfId="920" priority="837" stopIfTrue="1">
      <formula>LEN(TRIM(B135))=0</formula>
    </cfRule>
  </conditionalFormatting>
  <conditionalFormatting sqref="B145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919" priority="786" operator="between">
      <formula>6</formula>
      <formula>6.9</formula>
    </cfRule>
    <cfRule type="cellIs" dxfId="918" priority="787" operator="between">
      <formula>10.1</formula>
      <formula>10.6</formula>
    </cfRule>
    <cfRule type="cellIs" dxfId="917" priority="788" operator="between">
      <formula>7</formula>
      <formula>7.9</formula>
    </cfRule>
    <cfRule type="cellIs" dxfId="916" priority="789" stopIfTrue="1" operator="between">
      <formula>8</formula>
      <formula>8.9</formula>
    </cfRule>
    <cfRule type="cellIs" dxfId="915" priority="790" operator="between">
      <formula>9</formula>
      <formula>9.9</formula>
    </cfRule>
    <cfRule type="cellIs" dxfId="914" priority="791" stopIfTrue="1" operator="between">
      <formula>10</formula>
      <formula>10</formula>
    </cfRule>
    <cfRule type="containsBlanks" dxfId="913" priority="792" stopIfTrue="1">
      <formula>LEN(TRIM(B146))=0</formula>
    </cfRule>
  </conditionalFormatting>
  <conditionalFormatting sqref="B162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12" priority="725" operator="between">
      <formula>6</formula>
      <formula>6.9</formula>
    </cfRule>
    <cfRule type="cellIs" dxfId="911" priority="726" operator="between">
      <formula>10.1</formula>
      <formula>10.6</formula>
    </cfRule>
    <cfRule type="cellIs" dxfId="910" priority="727" operator="between">
      <formula>7</formula>
      <formula>7.9</formula>
    </cfRule>
    <cfRule type="cellIs" dxfId="909" priority="728" stopIfTrue="1" operator="between">
      <formula>8</formula>
      <formula>8.9</formula>
    </cfRule>
    <cfRule type="cellIs" dxfId="908" priority="729" operator="between">
      <formula>9</formula>
      <formula>9.9</formula>
    </cfRule>
    <cfRule type="cellIs" dxfId="907" priority="730" stopIfTrue="1" operator="between">
      <formula>10</formula>
      <formula>10</formula>
    </cfRule>
    <cfRule type="containsBlanks" dxfId="906" priority="731" stopIfTrue="1">
      <formula>LEN(TRIM(B163))=0</formula>
    </cfRule>
  </conditionalFormatting>
  <conditionalFormatting sqref="B172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905" priority="687" operator="between">
      <formula>6</formula>
      <formula>6.9</formula>
    </cfRule>
    <cfRule type="cellIs" dxfId="904" priority="688" operator="between">
      <formula>10.1</formula>
      <formula>10.6</formula>
    </cfRule>
    <cfRule type="cellIs" dxfId="903" priority="689" operator="between">
      <formula>7</formula>
      <formula>7.9</formula>
    </cfRule>
    <cfRule type="cellIs" dxfId="902" priority="690" stopIfTrue="1" operator="between">
      <formula>8</formula>
      <formula>8.9</formula>
    </cfRule>
    <cfRule type="cellIs" dxfId="901" priority="691" operator="between">
      <formula>9</formula>
      <formula>9.9</formula>
    </cfRule>
    <cfRule type="cellIs" dxfId="900" priority="692" stopIfTrue="1" operator="between">
      <formula>10</formula>
      <formula>10</formula>
    </cfRule>
    <cfRule type="containsBlanks" dxfId="899" priority="693" stopIfTrue="1">
      <formula>LEN(TRIM(B173))=0</formula>
    </cfRule>
  </conditionalFormatting>
  <conditionalFormatting sqref="B185">
    <cfRule type="colorScale" priority="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898" priority="649" operator="between">
      <formula>6</formula>
      <formula>6.9</formula>
    </cfRule>
    <cfRule type="cellIs" dxfId="897" priority="650" operator="between">
      <formula>10.1</formula>
      <formula>10.6</formula>
    </cfRule>
    <cfRule type="cellIs" dxfId="896" priority="651" operator="between">
      <formula>7</formula>
      <formula>7.9</formula>
    </cfRule>
    <cfRule type="cellIs" dxfId="895" priority="652" stopIfTrue="1" operator="between">
      <formula>8</formula>
      <formula>8.9</formula>
    </cfRule>
    <cfRule type="cellIs" dxfId="894" priority="653" operator="between">
      <formula>9</formula>
      <formula>9.9</formula>
    </cfRule>
    <cfRule type="cellIs" dxfId="893" priority="654" stopIfTrue="1" operator="between">
      <formula>10</formula>
      <formula>10</formula>
    </cfRule>
    <cfRule type="containsBlanks" dxfId="892" priority="655" stopIfTrue="1">
      <formula>LEN(TRIM(B186))=0</formula>
    </cfRule>
  </conditionalFormatting>
  <conditionalFormatting sqref="B196"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891" priority="600" operator="between">
      <formula>6</formula>
      <formula>6.9</formula>
    </cfRule>
    <cfRule type="cellIs" dxfId="890" priority="601" operator="between">
      <formula>10.1</formula>
      <formula>10.6</formula>
    </cfRule>
    <cfRule type="cellIs" dxfId="889" priority="602" operator="between">
      <formula>7</formula>
      <formula>7.9</formula>
    </cfRule>
    <cfRule type="cellIs" dxfId="888" priority="603" stopIfTrue="1" operator="between">
      <formula>8</formula>
      <formula>8.9</formula>
    </cfRule>
    <cfRule type="cellIs" dxfId="887" priority="604" operator="between">
      <formula>9</formula>
      <formula>9.9</formula>
    </cfRule>
    <cfRule type="cellIs" dxfId="886" priority="605" stopIfTrue="1" operator="between">
      <formula>10</formula>
      <formula>10</formula>
    </cfRule>
    <cfRule type="containsBlanks" dxfId="885" priority="606" stopIfTrue="1">
      <formula>LEN(TRIM(B197))=0</formula>
    </cfRule>
  </conditionalFormatting>
  <conditionalFormatting sqref="B213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84" priority="524" operator="between">
      <formula>6</formula>
      <formula>6.9</formula>
    </cfRule>
    <cfRule type="cellIs" dxfId="883" priority="525" operator="between">
      <formula>10.1</formula>
      <formula>10.6</formula>
    </cfRule>
    <cfRule type="cellIs" dxfId="882" priority="526" operator="between">
      <formula>7</formula>
      <formula>7.9</formula>
    </cfRule>
    <cfRule type="cellIs" dxfId="881" priority="527" stopIfTrue="1" operator="between">
      <formula>8</formula>
      <formula>8.9</formula>
    </cfRule>
    <cfRule type="cellIs" dxfId="880" priority="528" operator="between">
      <formula>9</formula>
      <formula>9.9</formula>
    </cfRule>
    <cfRule type="cellIs" dxfId="879" priority="529" stopIfTrue="1" operator="between">
      <formula>10</formula>
      <formula>10</formula>
    </cfRule>
    <cfRule type="containsBlanks" dxfId="878" priority="530" stopIfTrue="1">
      <formula>LEN(TRIM(B214))=0</formula>
    </cfRule>
  </conditionalFormatting>
  <conditionalFormatting sqref="B226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77" priority="461" operator="between">
      <formula>6</formula>
      <formula>6.9</formula>
    </cfRule>
    <cfRule type="cellIs" dxfId="876" priority="462" operator="between">
      <formula>10.1</formula>
      <formula>10.6</formula>
    </cfRule>
    <cfRule type="cellIs" dxfId="875" priority="463" operator="between">
      <formula>7</formula>
      <formula>7.9</formula>
    </cfRule>
    <cfRule type="cellIs" dxfId="874" priority="464" stopIfTrue="1" operator="between">
      <formula>8</formula>
      <formula>8.9</formula>
    </cfRule>
    <cfRule type="cellIs" dxfId="873" priority="465" operator="between">
      <formula>9</formula>
      <formula>9.9</formula>
    </cfRule>
    <cfRule type="cellIs" dxfId="872" priority="466" stopIfTrue="1" operator="between">
      <formula>10</formula>
      <formula>10</formula>
    </cfRule>
    <cfRule type="containsBlanks" dxfId="871" priority="467" stopIfTrue="1">
      <formula>LEN(TRIM(B236))=0</formula>
    </cfRule>
  </conditionalFormatting>
  <conditionalFormatting sqref="B246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870" priority="416" operator="between">
      <formula>6</formula>
      <formula>6.9</formula>
    </cfRule>
    <cfRule type="cellIs" dxfId="869" priority="417" operator="between">
      <formula>10.1</formula>
      <formula>10.6</formula>
    </cfRule>
    <cfRule type="cellIs" dxfId="868" priority="418" operator="between">
      <formula>7</formula>
      <formula>7.9</formula>
    </cfRule>
    <cfRule type="cellIs" dxfId="867" priority="419" stopIfTrue="1" operator="between">
      <formula>8</formula>
      <formula>8.9</formula>
    </cfRule>
    <cfRule type="cellIs" dxfId="866" priority="420" operator="between">
      <formula>9</formula>
      <formula>9.9</formula>
    </cfRule>
    <cfRule type="cellIs" dxfId="865" priority="421" stopIfTrue="1" operator="between">
      <formula>10</formula>
      <formula>10</formula>
    </cfRule>
    <cfRule type="containsBlanks" dxfId="864" priority="422" stopIfTrue="1">
      <formula>LEN(TRIM(B247))=0</formula>
    </cfRule>
  </conditionalFormatting>
  <conditionalFormatting sqref="B260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863" priority="378" operator="between">
      <formula>6</formula>
      <formula>6.9</formula>
    </cfRule>
    <cfRule type="cellIs" dxfId="862" priority="379" operator="between">
      <formula>10.1</formula>
      <formula>10.6</formula>
    </cfRule>
    <cfRule type="cellIs" dxfId="861" priority="380" operator="between">
      <formula>7</formula>
      <formula>7.9</formula>
    </cfRule>
    <cfRule type="cellIs" dxfId="860" priority="381" stopIfTrue="1" operator="between">
      <formula>8</formula>
      <formula>8.9</formula>
    </cfRule>
    <cfRule type="cellIs" dxfId="859" priority="382" operator="between">
      <formula>9</formula>
      <formula>9.9</formula>
    </cfRule>
    <cfRule type="cellIs" dxfId="858" priority="383" stopIfTrue="1" operator="between">
      <formula>10</formula>
      <formula>10</formula>
    </cfRule>
    <cfRule type="containsBlanks" dxfId="857" priority="384" stopIfTrue="1">
      <formula>LEN(TRIM(B261))=0</formula>
    </cfRule>
  </conditionalFormatting>
  <conditionalFormatting sqref="B272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856" priority="336" operator="between">
      <formula>6</formula>
      <formula>6.9</formula>
    </cfRule>
    <cfRule type="cellIs" dxfId="855" priority="337" operator="between">
      <formula>10.1</formula>
      <formula>10.6</formula>
    </cfRule>
    <cfRule type="cellIs" dxfId="854" priority="338" operator="between">
      <formula>7</formula>
      <formula>7.9</formula>
    </cfRule>
    <cfRule type="cellIs" dxfId="853" priority="339" stopIfTrue="1" operator="between">
      <formula>8</formula>
      <formula>8.9</formula>
    </cfRule>
    <cfRule type="cellIs" dxfId="852" priority="340" operator="between">
      <formula>9</formula>
      <formula>9.9</formula>
    </cfRule>
    <cfRule type="cellIs" dxfId="851" priority="341" stopIfTrue="1" operator="between">
      <formula>10</formula>
      <formula>10</formula>
    </cfRule>
    <cfRule type="containsBlanks" dxfId="850" priority="342" stopIfTrue="1">
      <formula>LEN(TRIM(B273))=0</formula>
    </cfRule>
  </conditionalFormatting>
  <conditionalFormatting sqref="B279"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849" priority="288" operator="between">
      <formula>6</formula>
      <formula>6.9</formula>
    </cfRule>
    <cfRule type="cellIs" dxfId="848" priority="289" operator="between">
      <formula>10.1</formula>
      <formula>10.6</formula>
    </cfRule>
    <cfRule type="cellIs" dxfId="847" priority="290" operator="between">
      <formula>7</formula>
      <formula>7.9</formula>
    </cfRule>
    <cfRule type="cellIs" dxfId="846" priority="291" stopIfTrue="1" operator="between">
      <formula>8</formula>
      <formula>8.9</formula>
    </cfRule>
    <cfRule type="cellIs" dxfId="845" priority="292" operator="between">
      <formula>9</formula>
      <formula>9.9</formula>
    </cfRule>
    <cfRule type="cellIs" dxfId="844" priority="293" stopIfTrue="1" operator="between">
      <formula>10</formula>
      <formula>10</formula>
    </cfRule>
    <cfRule type="containsBlanks" dxfId="843" priority="294" stopIfTrue="1">
      <formula>LEN(TRIM(B280))=0</formula>
    </cfRule>
  </conditionalFormatting>
  <conditionalFormatting sqref="B309">
    <cfRule type="colorScale" priority="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42" priority="177" operator="between">
      <formula>6</formula>
      <formula>6.9</formula>
    </cfRule>
    <cfRule type="cellIs" dxfId="841" priority="178" operator="between">
      <formula>10.1</formula>
      <formula>10.6</formula>
    </cfRule>
    <cfRule type="cellIs" dxfId="840" priority="179" operator="between">
      <formula>7</formula>
      <formula>7.9</formula>
    </cfRule>
    <cfRule type="cellIs" dxfId="839" priority="180" stopIfTrue="1" operator="between">
      <formula>8</formula>
      <formula>8.9</formula>
    </cfRule>
    <cfRule type="cellIs" dxfId="838" priority="181" operator="between">
      <formula>9</formula>
      <formula>9.9</formula>
    </cfRule>
    <cfRule type="cellIs" dxfId="837" priority="182" stopIfTrue="1" operator="between">
      <formula>10</formula>
      <formula>10</formula>
    </cfRule>
    <cfRule type="containsBlanks" dxfId="836" priority="183" stopIfTrue="1">
      <formula>LEN(TRIM(B310))=0</formula>
    </cfRule>
  </conditionalFormatting>
  <conditionalFormatting sqref="B322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835" priority="111" stopIfTrue="1">
      <formula>LEN(TRIM(B323))=0</formula>
    </cfRule>
    <cfRule type="cellIs" dxfId="834" priority="112" operator="lessThan">
      <formula>2</formula>
    </cfRule>
    <cfRule type="cellIs" dxfId="833" priority="113" operator="between">
      <formula>2</formula>
      <formula>4.9</formula>
    </cfRule>
    <cfRule type="cellIs" dxfId="832" priority="114" operator="between">
      <formula>5</formula>
      <formula>6.9</formula>
    </cfRule>
    <cfRule type="cellIs" dxfId="831" priority="115" operator="between">
      <formula>10.1</formula>
      <formula>10.6</formula>
    </cfRule>
    <cfRule type="cellIs" dxfId="830" priority="116" operator="between">
      <formula>7</formula>
      <formula>7.9</formula>
    </cfRule>
    <cfRule type="cellIs" dxfId="829" priority="117" stopIfTrue="1" operator="between">
      <formula>8</formula>
      <formula>8.9</formula>
    </cfRule>
    <cfRule type="cellIs" dxfId="828" priority="118" operator="between">
      <formula>9</formula>
      <formula>9.9</formula>
    </cfRule>
    <cfRule type="cellIs" dxfId="827" priority="119" stopIfTrue="1" operator="between">
      <formula>10</formula>
      <formula>10</formula>
    </cfRule>
  </conditionalFormatting>
  <conditionalFormatting sqref="B343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344:B358">
    <cfRule type="containsBlanks" dxfId="826" priority="25" stopIfTrue="1">
      <formula>LEN(TRIM(B344))=0</formula>
    </cfRule>
    <cfRule type="cellIs" dxfId="825" priority="26" operator="lessThan">
      <formula>2</formula>
    </cfRule>
    <cfRule type="cellIs" dxfId="824" priority="27" operator="between">
      <formula>2</formula>
      <formula>4.9</formula>
    </cfRule>
    <cfRule type="cellIs" dxfId="823" priority="28" operator="between">
      <formula>5</formula>
      <formula>6.9</formula>
    </cfRule>
    <cfRule type="cellIs" dxfId="822" priority="29" operator="between">
      <formula>10.1</formula>
      <formula>10.6</formula>
    </cfRule>
    <cfRule type="cellIs" dxfId="821" priority="30" operator="between">
      <formula>7</formula>
      <formula>7.9</formula>
    </cfRule>
    <cfRule type="cellIs" dxfId="820" priority="31" stopIfTrue="1" operator="between">
      <formula>8</formula>
      <formula>8.9</formula>
    </cfRule>
    <cfRule type="cellIs" dxfId="819" priority="32" operator="between">
      <formula>9</formula>
      <formula>9.9</formula>
    </cfRule>
    <cfRule type="cellIs" dxfId="818" priority="33" stopIfTrue="1" operator="between">
      <formula>10</formula>
      <formula>10</formula>
    </cfRule>
  </conditionalFormatting>
  <conditionalFormatting sqref="E3:E12">
    <cfRule type="cellIs" dxfId="817" priority="1242" operator="between">
      <formula>10.1</formula>
      <formula>10.6</formula>
    </cfRule>
    <cfRule type="cellIs" dxfId="816" priority="1243" operator="between">
      <formula>7</formula>
      <formula>7.9</formula>
    </cfRule>
    <cfRule type="cellIs" dxfId="815" priority="1244" stopIfTrue="1" operator="between">
      <formula>8</formula>
      <formula>8.9</formula>
    </cfRule>
    <cfRule type="cellIs" dxfId="814" priority="1245" operator="between">
      <formula>9</formula>
      <formula>9.9</formula>
    </cfRule>
    <cfRule type="cellIs" dxfId="813" priority="1246" stopIfTrue="1" operator="between">
      <formula>10</formula>
      <formula>10</formula>
    </cfRule>
    <cfRule type="containsBlanks" dxfId="812" priority="1247" stopIfTrue="1">
      <formula>LEN(TRIM(E3))=0</formula>
    </cfRule>
  </conditionalFormatting>
  <conditionalFormatting sqref="E15:E28">
    <cfRule type="cellIs" dxfId="811" priority="552" operator="between">
      <formula>7</formula>
      <formula>7.9</formula>
    </cfRule>
    <cfRule type="cellIs" dxfId="810" priority="553" stopIfTrue="1" operator="between">
      <formula>8</formula>
      <formula>8.9</formula>
    </cfRule>
    <cfRule type="cellIs" dxfId="809" priority="554" operator="between">
      <formula>9</formula>
      <formula>9.9</formula>
    </cfRule>
    <cfRule type="cellIs" dxfId="808" priority="555" stopIfTrue="1" operator="between">
      <formula>10</formula>
      <formula>10</formula>
    </cfRule>
    <cfRule type="containsBlanks" dxfId="807" priority="556" stopIfTrue="1">
      <formula>LEN(TRIM(E15))=0</formula>
    </cfRule>
  </conditionalFormatting>
  <conditionalFormatting sqref="E16">
    <cfRule type="cellIs" dxfId="806" priority="551" operator="between">
      <formula>10.1</formula>
      <formula>10.6</formula>
    </cfRule>
  </conditionalFormatting>
  <conditionalFormatting sqref="E31:E37">
    <cfRule type="cellIs" dxfId="805" priority="1206" operator="between">
      <formula>10.1</formula>
      <formula>10.6</formula>
    </cfRule>
    <cfRule type="cellIs" dxfId="804" priority="1207" operator="between">
      <formula>7</formula>
      <formula>7.9</formula>
    </cfRule>
    <cfRule type="cellIs" dxfId="803" priority="1208" stopIfTrue="1" operator="between">
      <formula>8</formula>
      <formula>8.9</formula>
    </cfRule>
    <cfRule type="cellIs" dxfId="802" priority="1209" operator="between">
      <formula>9</formula>
      <formula>9.9</formula>
    </cfRule>
    <cfRule type="cellIs" dxfId="801" priority="1210" stopIfTrue="1" operator="between">
      <formula>10</formula>
      <formula>10</formula>
    </cfRule>
    <cfRule type="containsBlanks" dxfId="800" priority="1211" stopIfTrue="1">
      <formula>LEN(TRIM(E31))=0</formula>
    </cfRule>
  </conditionalFormatting>
  <conditionalFormatting sqref="E39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99" priority="1318" operator="between">
      <formula>7</formula>
      <formula>7.9</formula>
    </cfRule>
    <cfRule type="cellIs" dxfId="798" priority="1319" stopIfTrue="1" operator="between">
      <formula>8</formula>
      <formula>8.9</formula>
    </cfRule>
    <cfRule type="cellIs" dxfId="797" priority="1320" operator="between">
      <formula>9</formula>
      <formula>9.9</formula>
    </cfRule>
    <cfRule type="cellIs" dxfId="796" priority="1321" stopIfTrue="1" operator="between">
      <formula>10</formula>
      <formula>10</formula>
    </cfRule>
  </conditionalFormatting>
  <conditionalFormatting sqref="E54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95" priority="1188" operator="between">
      <formula>10.1</formula>
      <formula>10.6</formula>
    </cfRule>
    <cfRule type="cellIs" dxfId="794" priority="1189" operator="between">
      <formula>7</formula>
      <formula>7.9</formula>
    </cfRule>
    <cfRule type="cellIs" dxfId="793" priority="1190" stopIfTrue="1" operator="between">
      <formula>8</formula>
      <formula>8.9</formula>
    </cfRule>
    <cfRule type="cellIs" dxfId="792" priority="1191" operator="between">
      <formula>9</formula>
      <formula>9.9</formula>
    </cfRule>
    <cfRule type="cellIs" dxfId="791" priority="1192" stopIfTrue="1" operator="between">
      <formula>10</formula>
      <formula>10</formula>
    </cfRule>
    <cfRule type="containsBlanks" dxfId="790" priority="1193" stopIfTrue="1">
      <formula>LEN(TRIM(E55))=0</formula>
    </cfRule>
  </conditionalFormatting>
  <conditionalFormatting sqref="E65"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89" priority="1121" operator="between">
      <formula>10.1</formula>
      <formula>10.6</formula>
    </cfRule>
    <cfRule type="cellIs" dxfId="788" priority="1122" operator="between">
      <formula>7</formula>
      <formula>7.9</formula>
    </cfRule>
    <cfRule type="cellIs" dxfId="787" priority="1123" stopIfTrue="1" operator="between">
      <formula>8</formula>
      <formula>8.9</formula>
    </cfRule>
    <cfRule type="cellIs" dxfId="786" priority="1124" operator="between">
      <formula>9</formula>
      <formula>9.9</formula>
    </cfRule>
    <cfRule type="cellIs" dxfId="785" priority="1125" stopIfTrue="1" operator="between">
      <formula>10</formula>
      <formula>10</formula>
    </cfRule>
    <cfRule type="containsBlanks" dxfId="784" priority="1126" stopIfTrue="1">
      <formula>LEN(TRIM(E66))=0</formula>
    </cfRule>
  </conditionalFormatting>
  <conditionalFormatting sqref="E80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783" priority="1042" operator="between">
      <formula>10.1</formula>
      <formula>10.6</formula>
    </cfRule>
    <cfRule type="cellIs" dxfId="782" priority="1043" operator="between">
      <formula>7</formula>
      <formula>7.9</formula>
    </cfRule>
    <cfRule type="cellIs" dxfId="781" priority="1044" stopIfTrue="1" operator="between">
      <formula>8</formula>
      <formula>8.9</formula>
    </cfRule>
    <cfRule type="cellIs" dxfId="780" priority="1045" operator="between">
      <formula>9</formula>
      <formula>9.9</formula>
    </cfRule>
    <cfRule type="cellIs" dxfId="779" priority="1046" stopIfTrue="1" operator="between">
      <formula>10</formula>
      <formula>10</formula>
    </cfRule>
    <cfRule type="containsBlanks" dxfId="778" priority="1047" stopIfTrue="1">
      <formula>LEN(TRIM(E81))=0</formula>
    </cfRule>
  </conditionalFormatting>
  <conditionalFormatting sqref="E101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77" priority="964" operator="between">
      <formula>10.1</formula>
      <formula>10.6</formula>
    </cfRule>
    <cfRule type="cellIs" dxfId="776" priority="965" operator="between">
      <formula>7</formula>
      <formula>7.9</formula>
    </cfRule>
    <cfRule type="cellIs" dxfId="775" priority="966" stopIfTrue="1" operator="between">
      <formula>8</formula>
      <formula>8.9</formula>
    </cfRule>
    <cfRule type="cellIs" dxfId="774" priority="967" operator="between">
      <formula>9</formula>
      <formula>9.9</formula>
    </cfRule>
    <cfRule type="cellIs" dxfId="773" priority="968" stopIfTrue="1" operator="between">
      <formula>10</formula>
      <formula>10</formula>
    </cfRule>
    <cfRule type="containsBlanks" dxfId="772" priority="969" stopIfTrue="1">
      <formula>LEN(TRIM(E102))=0</formula>
    </cfRule>
  </conditionalFormatting>
  <conditionalFormatting sqref="E117"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71" priority="897" operator="between">
      <formula>6</formula>
      <formula>6.9</formula>
    </cfRule>
    <cfRule type="cellIs" dxfId="770" priority="898" operator="between">
      <formula>10.1</formula>
      <formula>10.6</formula>
    </cfRule>
    <cfRule type="cellIs" dxfId="769" priority="899" operator="between">
      <formula>7</formula>
      <formula>7.9</formula>
    </cfRule>
    <cfRule type="cellIs" dxfId="768" priority="900" stopIfTrue="1" operator="between">
      <formula>8</formula>
      <formula>8.9</formula>
    </cfRule>
    <cfRule type="cellIs" dxfId="767" priority="901" operator="between">
      <formula>9</formula>
      <formula>9.9</formula>
    </cfRule>
    <cfRule type="cellIs" dxfId="766" priority="902" stopIfTrue="1" operator="between">
      <formula>10</formula>
      <formula>10</formula>
    </cfRule>
    <cfRule type="containsBlanks" dxfId="765" priority="903" stopIfTrue="1">
      <formula>LEN(TRIM(E118))=0</formula>
    </cfRule>
  </conditionalFormatting>
  <conditionalFormatting sqref="E128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764" priority="864" operator="between">
      <formula>6</formula>
      <formula>6.9</formula>
    </cfRule>
    <cfRule type="cellIs" dxfId="763" priority="865" operator="between">
      <formula>10.1</formula>
      <formula>10.6</formula>
    </cfRule>
    <cfRule type="cellIs" dxfId="762" priority="866" operator="between">
      <formula>7</formula>
      <formula>7.9</formula>
    </cfRule>
    <cfRule type="cellIs" dxfId="761" priority="867" stopIfTrue="1" operator="between">
      <formula>8</formula>
      <formula>8.9</formula>
    </cfRule>
    <cfRule type="cellIs" dxfId="760" priority="868" operator="between">
      <formula>9</formula>
      <formula>9.9</formula>
    </cfRule>
    <cfRule type="cellIs" dxfId="759" priority="869" stopIfTrue="1" operator="between">
      <formula>10</formula>
      <formula>10</formula>
    </cfRule>
    <cfRule type="containsBlanks" dxfId="758" priority="870" stopIfTrue="1">
      <formula>LEN(TRIM(E129))=0</formula>
    </cfRule>
  </conditionalFormatting>
  <conditionalFormatting sqref="E146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57" priority="777" operator="between">
      <formula>6</formula>
      <formula>6.9</formula>
    </cfRule>
    <cfRule type="cellIs" dxfId="756" priority="778" operator="between">
      <formula>10.1</formula>
      <formula>10.6</formula>
    </cfRule>
    <cfRule type="cellIs" dxfId="755" priority="779" operator="between">
      <formula>7</formula>
      <formula>7.9</formula>
    </cfRule>
    <cfRule type="cellIs" dxfId="754" priority="780" stopIfTrue="1" operator="between">
      <formula>8</formula>
      <formula>8.9</formula>
    </cfRule>
    <cfRule type="cellIs" dxfId="753" priority="781" operator="between">
      <formula>9</formula>
      <formula>9.9</formula>
    </cfRule>
    <cfRule type="cellIs" dxfId="752" priority="782" stopIfTrue="1" operator="between">
      <formula>10</formula>
      <formula>10</formula>
    </cfRule>
    <cfRule type="containsBlanks" dxfId="751" priority="783" stopIfTrue="1">
      <formula>LEN(TRIM(E147))=0</formula>
    </cfRule>
  </conditionalFormatting>
  <conditionalFormatting sqref="E161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750" priority="741" operator="between">
      <formula>6</formula>
      <formula>6.9</formula>
    </cfRule>
    <cfRule type="cellIs" dxfId="749" priority="742" operator="between">
      <formula>10.1</formula>
      <formula>10.6</formula>
    </cfRule>
    <cfRule type="cellIs" dxfId="748" priority="743" operator="between">
      <formula>7</formula>
      <formula>7.9</formula>
    </cfRule>
    <cfRule type="cellIs" dxfId="747" priority="744" stopIfTrue="1" operator="between">
      <formula>8</formula>
      <formula>8.9</formula>
    </cfRule>
    <cfRule type="cellIs" dxfId="746" priority="745" operator="between">
      <formula>9</formula>
      <formula>9.9</formula>
    </cfRule>
    <cfRule type="cellIs" dxfId="745" priority="746" stopIfTrue="1" operator="between">
      <formula>10</formula>
      <formula>10</formula>
    </cfRule>
    <cfRule type="containsBlanks" dxfId="744" priority="747" stopIfTrue="1">
      <formula>LEN(TRIM(E162))=0</formula>
    </cfRule>
  </conditionalFormatting>
  <conditionalFormatting sqref="E172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43" priority="696" operator="between">
      <formula>6</formula>
      <formula>6.9</formula>
    </cfRule>
    <cfRule type="cellIs" dxfId="742" priority="697" operator="between">
      <formula>10.1</formula>
      <formula>10.6</formula>
    </cfRule>
    <cfRule type="cellIs" dxfId="741" priority="698" operator="between">
      <formula>7</formula>
      <formula>7.9</formula>
    </cfRule>
    <cfRule type="cellIs" dxfId="740" priority="699" stopIfTrue="1" operator="between">
      <formula>8</formula>
      <formula>8.9</formula>
    </cfRule>
    <cfRule type="cellIs" dxfId="739" priority="700" operator="between">
      <formula>9</formula>
      <formula>9.9</formula>
    </cfRule>
    <cfRule type="cellIs" dxfId="738" priority="701" stopIfTrue="1" operator="between">
      <formula>10</formula>
      <formula>10</formula>
    </cfRule>
    <cfRule type="containsBlanks" dxfId="737" priority="702" stopIfTrue="1">
      <formula>LEN(TRIM(E173))=0</formula>
    </cfRule>
  </conditionalFormatting>
  <conditionalFormatting sqref="E186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736" priority="634" operator="between">
      <formula>6</formula>
      <formula>6.9</formula>
    </cfRule>
    <cfRule type="cellIs" dxfId="735" priority="635" operator="between">
      <formula>10.1</formula>
      <formula>10.6</formula>
    </cfRule>
    <cfRule type="cellIs" dxfId="734" priority="636" operator="between">
      <formula>7</formula>
      <formula>7.9</formula>
    </cfRule>
    <cfRule type="cellIs" dxfId="733" priority="637" stopIfTrue="1" operator="between">
      <formula>8</formula>
      <formula>8.9</formula>
    </cfRule>
    <cfRule type="cellIs" dxfId="732" priority="638" operator="between">
      <formula>9</formula>
      <formula>9.9</formula>
    </cfRule>
    <cfRule type="cellIs" dxfId="731" priority="639" stopIfTrue="1" operator="between">
      <formula>10</formula>
      <formula>10</formula>
    </cfRule>
    <cfRule type="containsBlanks" dxfId="730" priority="640" stopIfTrue="1">
      <formula>LEN(TRIM(E187))=0</formula>
    </cfRule>
  </conditionalFormatting>
  <conditionalFormatting sqref="E201"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729" priority="580" operator="between">
      <formula>6</formula>
      <formula>6.9</formula>
    </cfRule>
    <cfRule type="cellIs" dxfId="728" priority="581" operator="between">
      <formula>10.1</formula>
      <formula>11</formula>
    </cfRule>
    <cfRule type="cellIs" dxfId="727" priority="582" operator="between">
      <formula>7</formula>
      <formula>7.9</formula>
    </cfRule>
    <cfRule type="cellIs" dxfId="726" priority="583" stopIfTrue="1" operator="between">
      <formula>8</formula>
      <formula>8.9</formula>
    </cfRule>
    <cfRule type="cellIs" dxfId="725" priority="584" operator="between">
      <formula>9</formula>
      <formula>9.9</formula>
    </cfRule>
    <cfRule type="cellIs" dxfId="724" priority="585" stopIfTrue="1" operator="between">
      <formula>10</formula>
      <formula>10</formula>
    </cfRule>
    <cfRule type="containsBlanks" dxfId="723" priority="586" stopIfTrue="1">
      <formula>LEN(TRIM(E202))=0</formula>
    </cfRule>
  </conditionalFormatting>
  <conditionalFormatting sqref="E213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722" priority="535" operator="between">
      <formula>6</formula>
      <formula>6.9</formula>
    </cfRule>
    <cfRule type="cellIs" dxfId="721" priority="536" operator="between">
      <formula>10.1</formula>
      <formula>10.6</formula>
    </cfRule>
    <cfRule type="cellIs" dxfId="720" priority="537" operator="between">
      <formula>7</formula>
      <formula>7.9</formula>
    </cfRule>
    <cfRule type="cellIs" dxfId="719" priority="538" stopIfTrue="1" operator="between">
      <formula>8</formula>
      <formula>8.9</formula>
    </cfRule>
    <cfRule type="cellIs" dxfId="718" priority="539" operator="between">
      <formula>9</formula>
      <formula>9.9</formula>
    </cfRule>
    <cfRule type="cellIs" dxfId="717" priority="540" stopIfTrue="1" operator="between">
      <formula>10</formula>
      <formula>10</formula>
    </cfRule>
    <cfRule type="containsBlanks" dxfId="716" priority="541" stopIfTrue="1">
      <formula>LEN(TRIM(E214))=0</formula>
    </cfRule>
  </conditionalFormatting>
  <conditionalFormatting sqref="E229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15" priority="495" operator="between">
      <formula>6</formula>
      <formula>6.9</formula>
    </cfRule>
    <cfRule type="cellIs" dxfId="714" priority="496" operator="between">
      <formula>10.1</formula>
      <formula>10.6</formula>
    </cfRule>
    <cfRule type="cellIs" dxfId="713" priority="497" operator="between">
      <formula>7</formula>
      <formula>7.9</formula>
    </cfRule>
    <cfRule type="cellIs" dxfId="712" priority="498" stopIfTrue="1" operator="between">
      <formula>8</formula>
      <formula>8.9</formula>
    </cfRule>
    <cfRule type="cellIs" dxfId="711" priority="499" operator="between">
      <formula>9</formula>
      <formula>9.9</formula>
    </cfRule>
    <cfRule type="cellIs" dxfId="710" priority="500" stopIfTrue="1" operator="between">
      <formula>10</formula>
      <formula>10</formula>
    </cfRule>
    <cfRule type="containsBlanks" dxfId="709" priority="501" stopIfTrue="1">
      <formula>LEN(TRIM(E230))=0</formula>
    </cfRule>
  </conditionalFormatting>
  <conditionalFormatting sqref="E237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708" priority="454" operator="between">
      <formula>6</formula>
      <formula>6.9</formula>
    </cfRule>
    <cfRule type="cellIs" dxfId="707" priority="455" operator="between">
      <formula>10.1</formula>
      <formula>10.6</formula>
    </cfRule>
    <cfRule type="cellIs" dxfId="706" priority="456" operator="between">
      <formula>7</formula>
      <formula>7.9</formula>
    </cfRule>
    <cfRule type="cellIs" dxfId="705" priority="457" stopIfTrue="1" operator="between">
      <formula>8</formula>
      <formula>8.9</formula>
    </cfRule>
    <cfRule type="cellIs" dxfId="704" priority="458" operator="between">
      <formula>9</formula>
      <formula>9.9</formula>
    </cfRule>
    <cfRule type="cellIs" dxfId="703" priority="459" stopIfTrue="1" operator="between">
      <formula>10</formula>
      <formula>10</formula>
    </cfRule>
    <cfRule type="containsBlanks" dxfId="702" priority="460" stopIfTrue="1">
      <formula>LEN(TRIM(E238))=0</formula>
    </cfRule>
  </conditionalFormatting>
  <conditionalFormatting sqref="E254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01" priority="360" operator="between">
      <formula>6</formula>
      <formula>6.9</formula>
    </cfRule>
    <cfRule type="cellIs" dxfId="700" priority="361" operator="between">
      <formula>10.1</formula>
      <formula>10.6</formula>
    </cfRule>
    <cfRule type="cellIs" dxfId="699" priority="362" operator="between">
      <formula>7</formula>
      <formula>7.9</formula>
    </cfRule>
    <cfRule type="cellIs" dxfId="698" priority="363" stopIfTrue="1" operator="between">
      <formula>8</formula>
      <formula>8.9</formula>
    </cfRule>
    <cfRule type="cellIs" dxfId="697" priority="364" operator="between">
      <formula>9</formula>
      <formula>9.9</formula>
    </cfRule>
    <cfRule type="cellIs" dxfId="696" priority="365" stopIfTrue="1" operator="between">
      <formula>10</formula>
      <formula>10</formula>
    </cfRule>
    <cfRule type="containsBlanks" dxfId="695" priority="366" stopIfTrue="1">
      <formula>LEN(TRIM(E267))=0</formula>
    </cfRule>
  </conditionalFormatting>
  <conditionalFormatting sqref="E278">
    <cfRule type="colorScale" priority="3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94" priority="307" operator="between">
      <formula>6</formula>
      <formula>6.9</formula>
    </cfRule>
    <cfRule type="cellIs" dxfId="693" priority="308" operator="between">
      <formula>10.1</formula>
      <formula>10.6</formula>
    </cfRule>
    <cfRule type="cellIs" dxfId="692" priority="309" operator="between">
      <formula>7</formula>
      <formula>7.9</formula>
    </cfRule>
    <cfRule type="cellIs" dxfId="691" priority="310" stopIfTrue="1" operator="between">
      <formula>8</formula>
      <formula>8.9</formula>
    </cfRule>
    <cfRule type="cellIs" dxfId="690" priority="311" operator="between">
      <formula>9</formula>
      <formula>9.9</formula>
    </cfRule>
    <cfRule type="cellIs" dxfId="689" priority="312" stopIfTrue="1" operator="between">
      <formula>10</formula>
      <formula>10</formula>
    </cfRule>
    <cfRule type="containsBlanks" dxfId="688" priority="313" stopIfTrue="1">
      <formula>LEN(TRIM(E279))=0</formula>
    </cfRule>
  </conditionalFormatting>
  <conditionalFormatting sqref="E288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87" priority="259" operator="between">
      <formula>6</formula>
      <formula>6.9</formula>
    </cfRule>
    <cfRule type="cellIs" dxfId="686" priority="260" operator="between">
      <formula>10.1</formula>
      <formula>10.6</formula>
    </cfRule>
    <cfRule type="cellIs" dxfId="685" priority="261" operator="between">
      <formula>7</formula>
      <formula>7.9</formula>
    </cfRule>
    <cfRule type="cellIs" dxfId="684" priority="262" stopIfTrue="1" operator="between">
      <formula>8</formula>
      <formula>8.9</formula>
    </cfRule>
    <cfRule type="cellIs" dxfId="683" priority="263" operator="between">
      <formula>9</formula>
      <formula>9.9</formula>
    </cfRule>
    <cfRule type="cellIs" dxfId="682" priority="264" stopIfTrue="1" operator="between">
      <formula>10</formula>
      <formula>10</formula>
    </cfRule>
    <cfRule type="containsBlanks" dxfId="681" priority="265" stopIfTrue="1">
      <formula>LEN(TRIM(E289))=0</formula>
    </cfRule>
  </conditionalFormatting>
  <conditionalFormatting sqref="E299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80" priority="208" operator="between">
      <formula>6</formula>
      <formula>6.9</formula>
    </cfRule>
    <cfRule type="cellIs" dxfId="679" priority="209" operator="between">
      <formula>10.1</formula>
      <formula>10.6</formula>
    </cfRule>
    <cfRule type="cellIs" dxfId="678" priority="210" operator="between">
      <formula>7</formula>
      <formula>7.9</formula>
    </cfRule>
    <cfRule type="cellIs" dxfId="677" priority="211" stopIfTrue="1" operator="between">
      <formula>8</formula>
      <formula>8.9</formula>
    </cfRule>
    <cfRule type="cellIs" dxfId="676" priority="212" operator="between">
      <formula>9</formula>
      <formula>9.9</formula>
    </cfRule>
    <cfRule type="cellIs" dxfId="675" priority="213" stopIfTrue="1" operator="between">
      <formula>10</formula>
      <formula>10</formula>
    </cfRule>
    <cfRule type="containsBlanks" dxfId="674" priority="214" stopIfTrue="1">
      <formula>LEN(TRIM(E300))=0</formula>
    </cfRule>
  </conditionalFormatting>
  <conditionalFormatting sqref="E310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673" priority="155" stopIfTrue="1">
      <formula>LEN(TRIM(E311))=0</formula>
    </cfRule>
    <cfRule type="cellIs" dxfId="672" priority="156" operator="lessThan">
      <formula>2</formula>
    </cfRule>
    <cfRule type="cellIs" dxfId="671" priority="157" operator="between">
      <formula>2</formula>
      <formula>4.9</formula>
    </cfRule>
    <cfRule type="cellIs" dxfId="670" priority="158" operator="between">
      <formula>5</formula>
      <formula>6.9</formula>
    </cfRule>
    <cfRule type="cellIs" dxfId="669" priority="159" operator="between">
      <formula>10.1</formula>
      <formula>10.6</formula>
    </cfRule>
    <cfRule type="cellIs" dxfId="668" priority="160" operator="between">
      <formula>7</formula>
      <formula>7.9</formula>
    </cfRule>
    <cfRule type="cellIs" dxfId="667" priority="161" stopIfTrue="1" operator="between">
      <formula>8</formula>
      <formula>8.9</formula>
    </cfRule>
    <cfRule type="cellIs" dxfId="666" priority="162" operator="between">
      <formula>9</formula>
      <formula>9.9</formula>
    </cfRule>
    <cfRule type="cellIs" dxfId="665" priority="163" stopIfTrue="1" operator="between">
      <formula>10</formula>
      <formula>10</formula>
    </cfRule>
  </conditionalFormatting>
  <conditionalFormatting sqref="E320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664" priority="146" stopIfTrue="1">
      <formula>LEN(TRIM(E321))=0</formula>
    </cfRule>
    <cfRule type="cellIs" dxfId="663" priority="147" operator="lessThan">
      <formula>2</formula>
    </cfRule>
    <cfRule type="cellIs" dxfId="662" priority="148" operator="between">
      <formula>2</formula>
      <formula>4.9</formula>
    </cfRule>
    <cfRule type="cellIs" dxfId="661" priority="149" operator="between">
      <formula>5</formula>
      <formula>6.9</formula>
    </cfRule>
    <cfRule type="cellIs" dxfId="660" priority="150" operator="between">
      <formula>10.1</formula>
      <formula>10.6</formula>
    </cfRule>
    <cfRule type="cellIs" dxfId="659" priority="151" operator="between">
      <formula>7</formula>
      <formula>7.9</formula>
    </cfRule>
    <cfRule type="cellIs" dxfId="658" priority="152" stopIfTrue="1" operator="between">
      <formula>8</formula>
      <formula>8.9</formula>
    </cfRule>
    <cfRule type="cellIs" dxfId="657" priority="153" operator="between">
      <formula>9</formula>
      <formula>9.9</formula>
    </cfRule>
    <cfRule type="cellIs" dxfId="656" priority="154" stopIfTrue="1" operator="between">
      <formula>10</formula>
      <formula>10</formula>
    </cfRule>
  </conditionalFormatting>
  <conditionalFormatting sqref="E32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655" priority="102" stopIfTrue="1">
      <formula>LEN(TRIM(E329))=0</formula>
    </cfRule>
    <cfRule type="cellIs" dxfId="654" priority="103" operator="lessThan">
      <formula>2</formula>
    </cfRule>
    <cfRule type="cellIs" dxfId="653" priority="104" operator="between">
      <formula>2</formula>
      <formula>4.9</formula>
    </cfRule>
    <cfRule type="cellIs" dxfId="652" priority="105" operator="between">
      <formula>5</formula>
      <formula>6.9</formula>
    </cfRule>
    <cfRule type="cellIs" dxfId="651" priority="106" operator="between">
      <formula>10.1</formula>
      <formula>10.6</formula>
    </cfRule>
    <cfRule type="cellIs" dxfId="650" priority="107" operator="between">
      <formula>7</formula>
      <formula>7.9</formula>
    </cfRule>
    <cfRule type="cellIs" dxfId="649" priority="108" stopIfTrue="1" operator="between">
      <formula>8</formula>
      <formula>8.9</formula>
    </cfRule>
    <cfRule type="cellIs" dxfId="648" priority="109" operator="between">
      <formula>9</formula>
      <formula>9.9</formula>
    </cfRule>
    <cfRule type="cellIs" dxfId="647" priority="110" stopIfTrue="1" operator="between">
      <formula>10</formula>
      <formula>10</formula>
    </cfRule>
  </conditionalFormatting>
  <conditionalFormatting sqref="H3:H15">
    <cfRule type="cellIs" dxfId="646" priority="344" operator="between">
      <formula>7</formula>
      <formula>7.9</formula>
    </cfRule>
    <cfRule type="cellIs" dxfId="645" priority="345" stopIfTrue="1" operator="between">
      <formula>8</formula>
      <formula>8.9</formula>
    </cfRule>
    <cfRule type="cellIs" dxfId="644" priority="346" operator="between">
      <formula>9</formula>
      <formula>9.9</formula>
    </cfRule>
    <cfRule type="cellIs" dxfId="643" priority="347" stopIfTrue="1" operator="between">
      <formula>10</formula>
      <formula>10</formula>
    </cfRule>
  </conditionalFormatting>
  <conditionalFormatting sqref="H7">
    <cfRule type="cellIs" dxfId="642" priority="343" operator="between">
      <formula>10.1</formula>
      <formula>10.6</formula>
    </cfRule>
    <cfRule type="containsBlanks" dxfId="641" priority="348" stopIfTrue="1">
      <formula>LEN(TRIM(H7))=0</formula>
    </cfRule>
  </conditionalFormatting>
  <conditionalFormatting sqref="H18:H28">
    <cfRule type="cellIs" dxfId="640" priority="1338" operator="between">
      <formula>7</formula>
      <formula>7.9</formula>
    </cfRule>
    <cfRule type="cellIs" dxfId="639" priority="1339" stopIfTrue="1" operator="between">
      <formula>8</formula>
      <formula>8.9</formula>
    </cfRule>
    <cfRule type="cellIs" dxfId="638" priority="1340" operator="between">
      <formula>9</formula>
      <formula>9.9</formula>
    </cfRule>
    <cfRule type="cellIs" dxfId="637" priority="1341" stopIfTrue="1" operator="between">
      <formula>10</formula>
      <formula>10</formula>
    </cfRule>
  </conditionalFormatting>
  <conditionalFormatting sqref="H30"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636" priority="1200" operator="between">
      <formula>10.1</formula>
      <formula>10.6</formula>
    </cfRule>
    <cfRule type="cellIs" dxfId="635" priority="1201" operator="between">
      <formula>7</formula>
      <formula>7.9</formula>
    </cfRule>
    <cfRule type="cellIs" dxfId="634" priority="1202" stopIfTrue="1" operator="between">
      <formula>8</formula>
      <formula>8.9</formula>
    </cfRule>
    <cfRule type="cellIs" dxfId="633" priority="1203" operator="between">
      <formula>9</formula>
      <formula>9.9</formula>
    </cfRule>
    <cfRule type="cellIs" dxfId="632" priority="1204" stopIfTrue="1" operator="between">
      <formula>10</formula>
      <formula>10</formula>
    </cfRule>
    <cfRule type="containsBlanks" dxfId="631" priority="1205" stopIfTrue="1">
      <formula>LEN(TRIM(H31))=0</formula>
    </cfRule>
  </conditionalFormatting>
  <conditionalFormatting sqref="H47">
    <cfRule type="colorScale" priority="1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30" priority="1194" operator="between">
      <formula>10.1</formula>
      <formula>10.6</formula>
    </cfRule>
    <cfRule type="cellIs" dxfId="629" priority="1195" operator="between">
      <formula>7</formula>
      <formula>7.9</formula>
    </cfRule>
    <cfRule type="cellIs" dxfId="628" priority="1196" stopIfTrue="1" operator="between">
      <formula>8</formula>
      <formula>8.9</formula>
    </cfRule>
    <cfRule type="cellIs" dxfId="627" priority="1197" operator="between">
      <formula>9</formula>
      <formula>9.9</formula>
    </cfRule>
    <cfRule type="cellIs" dxfId="626" priority="1198" stopIfTrue="1" operator="between">
      <formula>10</formula>
      <formula>10</formula>
    </cfRule>
    <cfRule type="containsBlanks" dxfId="625" priority="1199" stopIfTrue="1">
      <formula>LEN(TRIM(H48))=0</formula>
    </cfRule>
  </conditionalFormatting>
  <conditionalFormatting sqref="H57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24" priority="1066" operator="between">
      <formula>6</formula>
      <formula>6.9</formula>
    </cfRule>
    <cfRule type="cellIs" dxfId="623" priority="1067" operator="between">
      <formula>10.1</formula>
      <formula>10.6</formula>
    </cfRule>
    <cfRule type="cellIs" dxfId="622" priority="1068" operator="between">
      <formula>7</formula>
      <formula>7.9</formula>
    </cfRule>
    <cfRule type="cellIs" dxfId="621" priority="1069" stopIfTrue="1" operator="between">
      <formula>8</formula>
      <formula>8.9</formula>
    </cfRule>
    <cfRule type="cellIs" dxfId="620" priority="1070" operator="between">
      <formula>9</formula>
      <formula>9.9</formula>
    </cfRule>
    <cfRule type="cellIs" dxfId="619" priority="1071" stopIfTrue="1" operator="between">
      <formula>10</formula>
      <formula>10</formula>
    </cfRule>
    <cfRule type="containsBlanks" dxfId="618" priority="1072" stopIfTrue="1">
      <formula>LEN(TRIM(H58))=0</formula>
    </cfRule>
  </conditionalFormatting>
  <conditionalFormatting sqref="H69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17" priority="1095" operator="between">
      <formula>10.1</formula>
      <formula>10.6</formula>
    </cfRule>
    <cfRule type="cellIs" dxfId="616" priority="1096" operator="between">
      <formula>7</formula>
      <formula>7.9</formula>
    </cfRule>
    <cfRule type="cellIs" dxfId="615" priority="1097" stopIfTrue="1" operator="between">
      <formula>8</formula>
      <formula>8.9</formula>
    </cfRule>
    <cfRule type="cellIs" dxfId="614" priority="1098" operator="between">
      <formula>9</formula>
      <formula>9.9</formula>
    </cfRule>
    <cfRule type="cellIs" dxfId="613" priority="1099" stopIfTrue="1" operator="between">
      <formula>10</formula>
      <formula>10</formula>
    </cfRule>
    <cfRule type="containsBlanks" dxfId="612" priority="1100" stopIfTrue="1">
      <formula>LEN(TRIM(H70))=0</formula>
    </cfRule>
  </conditionalFormatting>
  <conditionalFormatting sqref="H83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611" priority="1019" operator="between">
      <formula>6</formula>
      <formula>6.9</formula>
    </cfRule>
    <cfRule type="cellIs" dxfId="610" priority="1020" operator="between">
      <formula>10.1</formula>
      <formula>10.6</formula>
    </cfRule>
    <cfRule type="cellIs" dxfId="609" priority="1021" operator="between">
      <formula>7</formula>
      <formula>7.9</formula>
    </cfRule>
    <cfRule type="cellIs" dxfId="608" priority="1022" stopIfTrue="1" operator="between">
      <formula>8</formula>
      <formula>8.9</formula>
    </cfRule>
    <cfRule type="cellIs" dxfId="607" priority="1023" operator="between">
      <formula>9</formula>
      <formula>9.9</formula>
    </cfRule>
    <cfRule type="cellIs" dxfId="606" priority="1024" stopIfTrue="1" operator="between">
      <formula>10</formula>
      <formula>10</formula>
    </cfRule>
    <cfRule type="containsBlanks" dxfId="605" priority="1025" stopIfTrue="1">
      <formula>LEN(TRIM(H84))=0</formula>
    </cfRule>
  </conditionalFormatting>
  <conditionalFormatting sqref="H97"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04" priority="970" operator="between">
      <formula>6</formula>
      <formula>6.9</formula>
    </cfRule>
    <cfRule type="cellIs" dxfId="603" priority="971" operator="between">
      <formula>10.1</formula>
      <formula>10.6</formula>
    </cfRule>
    <cfRule type="cellIs" dxfId="602" priority="972" operator="between">
      <formula>7</formula>
      <formula>7.9</formula>
    </cfRule>
    <cfRule type="cellIs" dxfId="601" priority="973" stopIfTrue="1" operator="between">
      <formula>8</formula>
      <formula>8.9</formula>
    </cfRule>
    <cfRule type="cellIs" dxfId="600" priority="974" operator="between">
      <formula>9</formula>
      <formula>9.9</formula>
    </cfRule>
    <cfRule type="cellIs" dxfId="599" priority="975" stopIfTrue="1" operator="between">
      <formula>10</formula>
      <formula>10</formula>
    </cfRule>
    <cfRule type="containsBlanks" dxfId="598" priority="976" stopIfTrue="1">
      <formula>LEN(TRIM(H98))=0</formula>
    </cfRule>
  </conditionalFormatting>
  <conditionalFormatting sqref="H110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97" priority="946" operator="between">
      <formula>10.1</formula>
      <formula>10.6</formula>
    </cfRule>
    <cfRule type="cellIs" dxfId="596" priority="947" operator="between">
      <formula>7</formula>
      <formula>7.9</formula>
    </cfRule>
    <cfRule type="cellIs" dxfId="595" priority="948" stopIfTrue="1" operator="between">
      <formula>8</formula>
      <formula>8.9</formula>
    </cfRule>
    <cfRule type="cellIs" dxfId="594" priority="949" operator="between">
      <formula>9</formula>
      <formula>9.9</formula>
    </cfRule>
    <cfRule type="cellIs" dxfId="593" priority="950" stopIfTrue="1" operator="between">
      <formula>10</formula>
      <formula>10</formula>
    </cfRule>
    <cfRule type="containsBlanks" dxfId="592" priority="951" stopIfTrue="1">
      <formula>LEN(TRIM(H111))=0</formula>
    </cfRule>
  </conditionalFormatting>
  <conditionalFormatting sqref="H125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91" priority="873" operator="between">
      <formula>6</formula>
      <formula>6.9</formula>
    </cfRule>
    <cfRule type="cellIs" dxfId="590" priority="874" operator="between">
      <formula>10.1</formula>
      <formula>10.6</formula>
    </cfRule>
    <cfRule type="cellIs" dxfId="589" priority="875" operator="between">
      <formula>7</formula>
      <formula>7.9</formula>
    </cfRule>
    <cfRule type="cellIs" dxfId="588" priority="876" stopIfTrue="1" operator="between">
      <formula>8</formula>
      <formula>8.9</formula>
    </cfRule>
    <cfRule type="cellIs" dxfId="587" priority="877" operator="between">
      <formula>9</formula>
      <formula>9.9</formula>
    </cfRule>
    <cfRule type="cellIs" dxfId="586" priority="878" stopIfTrue="1" operator="between">
      <formula>10</formula>
      <formula>10</formula>
    </cfRule>
    <cfRule type="containsBlanks" dxfId="585" priority="879" stopIfTrue="1">
      <formula>LEN(TRIM(H126))=0</formula>
    </cfRule>
  </conditionalFormatting>
  <conditionalFormatting sqref="H131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84" priority="840" operator="between">
      <formula>6</formula>
      <formula>6.9</formula>
    </cfRule>
    <cfRule type="cellIs" dxfId="583" priority="841" operator="between">
      <formula>10.1</formula>
      <formula>10.6</formula>
    </cfRule>
    <cfRule type="cellIs" dxfId="582" priority="842" operator="between">
      <formula>7</formula>
      <formula>7.9</formula>
    </cfRule>
    <cfRule type="cellIs" dxfId="581" priority="843" stopIfTrue="1" operator="between">
      <formula>8</formula>
      <formula>8.9</formula>
    </cfRule>
    <cfRule type="cellIs" dxfId="580" priority="844" operator="between">
      <formula>9</formula>
      <formula>9.9</formula>
    </cfRule>
    <cfRule type="cellIs" dxfId="579" priority="845" stopIfTrue="1" operator="between">
      <formula>10</formula>
      <formula>10</formula>
    </cfRule>
    <cfRule type="containsBlanks" dxfId="578" priority="846" stopIfTrue="1">
      <formula>LEN(TRIM(H132))=0</formula>
    </cfRule>
  </conditionalFormatting>
  <conditionalFormatting sqref="H149"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77" priority="768" operator="between">
      <formula>6</formula>
      <formula>6.9</formula>
    </cfRule>
    <cfRule type="cellIs" dxfId="576" priority="769" operator="between">
      <formula>10.1</formula>
      <formula>10.6</formula>
    </cfRule>
    <cfRule type="cellIs" dxfId="575" priority="770" operator="between">
      <formula>7</formula>
      <formula>7.9</formula>
    </cfRule>
    <cfRule type="cellIs" dxfId="574" priority="771" stopIfTrue="1" operator="between">
      <formula>8</formula>
      <formula>8.9</formula>
    </cfRule>
    <cfRule type="cellIs" dxfId="573" priority="772" operator="between">
      <formula>9</formula>
      <formula>9.9</formula>
    </cfRule>
    <cfRule type="cellIs" dxfId="572" priority="773" stopIfTrue="1" operator="between">
      <formula>10</formula>
      <formula>10</formula>
    </cfRule>
    <cfRule type="containsBlanks" dxfId="571" priority="774" stopIfTrue="1">
      <formula>LEN(TRIM(H150))=0</formula>
    </cfRule>
  </conditionalFormatting>
  <conditionalFormatting sqref="H165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70" priority="716" operator="between">
      <formula>6</formula>
      <formula>6.9</formula>
    </cfRule>
    <cfRule type="cellIs" dxfId="569" priority="717" operator="between">
      <formula>10.1</formula>
      <formula>10.6</formula>
    </cfRule>
    <cfRule type="cellIs" dxfId="568" priority="718" operator="between">
      <formula>7</formula>
      <formula>7.9</formula>
    </cfRule>
    <cfRule type="cellIs" dxfId="567" priority="719" stopIfTrue="1" operator="between">
      <formula>8</formula>
      <formula>8.9</formula>
    </cfRule>
    <cfRule type="cellIs" dxfId="566" priority="720" operator="between">
      <formula>9</formula>
      <formula>9.9</formula>
    </cfRule>
    <cfRule type="cellIs" dxfId="565" priority="721" stopIfTrue="1" operator="between">
      <formula>10</formula>
      <formula>10</formula>
    </cfRule>
    <cfRule type="containsBlanks" dxfId="564" priority="722" stopIfTrue="1">
      <formula>LEN(TRIM(H166))=0</formula>
    </cfRule>
  </conditionalFormatting>
  <conditionalFormatting sqref="H177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63" priority="667" operator="between">
      <formula>6</formula>
      <formula>6.9</formula>
    </cfRule>
    <cfRule type="cellIs" dxfId="562" priority="668" operator="between">
      <formula>10.1</formula>
      <formula>10.6</formula>
    </cfRule>
    <cfRule type="cellIs" dxfId="561" priority="669" operator="between">
      <formula>7</formula>
      <formula>7.9</formula>
    </cfRule>
    <cfRule type="cellIs" dxfId="560" priority="670" stopIfTrue="1" operator="between">
      <formula>8</formula>
      <formula>8.9</formula>
    </cfRule>
    <cfRule type="cellIs" dxfId="559" priority="671" operator="between">
      <formula>9</formula>
      <formula>9.9</formula>
    </cfRule>
    <cfRule type="cellIs" dxfId="558" priority="672" stopIfTrue="1" operator="between">
      <formula>10</formula>
      <formula>10</formula>
    </cfRule>
    <cfRule type="containsBlanks" dxfId="557" priority="673" stopIfTrue="1">
      <formula>LEN(TRIM(H178))=0</formula>
    </cfRule>
  </conditionalFormatting>
  <conditionalFormatting sqref="H191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56" priority="607" operator="between">
      <formula>6</formula>
      <formula>6.9</formula>
    </cfRule>
    <cfRule type="cellIs" dxfId="555" priority="608" operator="between">
      <formula>10.1</formula>
      <formula>10.6</formula>
    </cfRule>
    <cfRule type="cellIs" dxfId="554" priority="609" operator="between">
      <formula>7</formula>
      <formula>7.9</formula>
    </cfRule>
    <cfRule type="cellIs" dxfId="553" priority="610" stopIfTrue="1" operator="between">
      <formula>8</formula>
      <formula>8.9</formula>
    </cfRule>
    <cfRule type="cellIs" dxfId="552" priority="611" operator="between">
      <formula>9</formula>
      <formula>9.9</formula>
    </cfRule>
    <cfRule type="cellIs" dxfId="551" priority="612" stopIfTrue="1" operator="between">
      <formula>10</formula>
      <formula>10</formula>
    </cfRule>
    <cfRule type="containsBlanks" dxfId="550" priority="613" stopIfTrue="1">
      <formula>LEN(TRIM(H192))=0</formula>
    </cfRule>
  </conditionalFormatting>
  <conditionalFormatting sqref="H202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49" priority="568" operator="between">
      <formula>6</formula>
      <formula>6.9</formula>
    </cfRule>
    <cfRule type="cellIs" dxfId="548" priority="569" operator="between">
      <formula>10.1</formula>
      <formula>11</formula>
    </cfRule>
    <cfRule type="cellIs" dxfId="547" priority="570" operator="between">
      <formula>7</formula>
      <formula>7.9</formula>
    </cfRule>
    <cfRule type="cellIs" dxfId="546" priority="571" stopIfTrue="1" operator="between">
      <formula>8</formula>
      <formula>8.9</formula>
    </cfRule>
    <cfRule type="cellIs" dxfId="545" priority="572" operator="between">
      <formula>9</formula>
      <formula>9.9</formula>
    </cfRule>
    <cfRule type="cellIs" dxfId="544" priority="573" stopIfTrue="1" operator="between">
      <formula>10</formula>
      <formula>10</formula>
    </cfRule>
    <cfRule type="containsBlanks" dxfId="543" priority="574" stopIfTrue="1">
      <formula>LEN(TRIM(H203))=0</formula>
    </cfRule>
  </conditionalFormatting>
  <conditionalFormatting sqref="H215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542" priority="517" operator="between">
      <formula>6</formula>
      <formula>6.9</formula>
    </cfRule>
    <cfRule type="cellIs" dxfId="541" priority="518" operator="between">
      <formula>10.1</formula>
      <formula>10.6</formula>
    </cfRule>
    <cfRule type="cellIs" dxfId="540" priority="519" operator="between">
      <formula>7</formula>
      <formula>7.9</formula>
    </cfRule>
    <cfRule type="cellIs" dxfId="539" priority="520" stopIfTrue="1" operator="between">
      <formula>8</formula>
      <formula>8.9</formula>
    </cfRule>
    <cfRule type="cellIs" dxfId="538" priority="521" operator="between">
      <formula>9</formula>
      <formula>9.9</formula>
    </cfRule>
    <cfRule type="cellIs" dxfId="537" priority="522" stopIfTrue="1" operator="between">
      <formula>10</formula>
      <formula>10</formula>
    </cfRule>
    <cfRule type="containsBlanks" dxfId="536" priority="523" stopIfTrue="1">
      <formula>LEN(TRIM(H216))=0</formula>
    </cfRule>
  </conditionalFormatting>
  <conditionalFormatting sqref="H22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535" priority="477" operator="between">
      <formula>6</formula>
      <formula>6.9</formula>
    </cfRule>
    <cfRule type="cellIs" dxfId="534" priority="478" operator="between">
      <formula>10.1</formula>
      <formula>10.6</formula>
    </cfRule>
    <cfRule type="cellIs" dxfId="533" priority="479" operator="between">
      <formula>7</formula>
      <formula>7.9</formula>
    </cfRule>
    <cfRule type="cellIs" dxfId="532" priority="480" stopIfTrue="1" operator="between">
      <formula>8</formula>
      <formula>8.9</formula>
    </cfRule>
    <cfRule type="cellIs" dxfId="531" priority="481" operator="between">
      <formula>9</formula>
      <formula>9.9</formula>
    </cfRule>
    <cfRule type="cellIs" dxfId="530" priority="482" stopIfTrue="1" operator="between">
      <formula>10</formula>
      <formula>10</formula>
    </cfRule>
    <cfRule type="containsBlanks" dxfId="529" priority="483" stopIfTrue="1">
      <formula>LEN(TRIM(H230))=0</formula>
    </cfRule>
  </conditionalFormatting>
  <conditionalFormatting sqref="H246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528" priority="427" operator="between">
      <formula>6</formula>
      <formula>6.9</formula>
    </cfRule>
    <cfRule type="cellIs" dxfId="527" priority="428" operator="between">
      <formula>10.1</formula>
      <formula>10.6</formula>
    </cfRule>
    <cfRule type="cellIs" dxfId="526" priority="429" operator="between">
      <formula>7</formula>
      <formula>7.9</formula>
    </cfRule>
    <cfRule type="cellIs" dxfId="525" priority="430" stopIfTrue="1" operator="between">
      <formula>8</formula>
      <formula>8.9</formula>
    </cfRule>
    <cfRule type="cellIs" dxfId="524" priority="431" operator="between">
      <formula>9</formula>
      <formula>9.9</formula>
    </cfRule>
    <cfRule type="cellIs" dxfId="523" priority="432" stopIfTrue="1" operator="between">
      <formula>10</formula>
      <formula>10</formula>
    </cfRule>
    <cfRule type="containsBlanks" dxfId="522" priority="433" stopIfTrue="1">
      <formula>LEN(TRIM(H247))=0</formula>
    </cfRule>
  </conditionalFormatting>
  <conditionalFormatting sqref="H258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21" priority="387" operator="between">
      <formula>6</formula>
      <formula>6.9</formula>
    </cfRule>
    <cfRule type="cellIs" dxfId="520" priority="388" operator="between">
      <formula>10.1</formula>
      <formula>10.6</formula>
    </cfRule>
    <cfRule type="cellIs" dxfId="519" priority="389" operator="between">
      <formula>7</formula>
      <formula>7.9</formula>
    </cfRule>
    <cfRule type="cellIs" dxfId="518" priority="390" stopIfTrue="1" operator="between">
      <formula>8</formula>
      <formula>8.9</formula>
    </cfRule>
    <cfRule type="cellIs" dxfId="517" priority="391" operator="between">
      <formula>9</formula>
      <formula>9.9</formula>
    </cfRule>
    <cfRule type="cellIs" dxfId="516" priority="392" stopIfTrue="1" operator="between">
      <formula>10</formula>
      <formula>10</formula>
    </cfRule>
    <cfRule type="containsBlanks" dxfId="515" priority="393" stopIfTrue="1">
      <formula>LEN(TRIM(H259))=0</formula>
    </cfRule>
  </conditionalFormatting>
  <conditionalFormatting sqref="H265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14" priority="349" operator="between">
      <formula>6</formula>
      <formula>6.9</formula>
    </cfRule>
    <cfRule type="cellIs" dxfId="513" priority="350" operator="between">
      <formula>10.1</formula>
      <formula>10.6</formula>
    </cfRule>
    <cfRule type="cellIs" dxfId="512" priority="351" operator="between">
      <formula>7</formula>
      <formula>7.9</formula>
    </cfRule>
    <cfRule type="cellIs" dxfId="511" priority="352" stopIfTrue="1" operator="between">
      <formula>8</formula>
      <formula>8.9</formula>
    </cfRule>
    <cfRule type="cellIs" dxfId="510" priority="353" operator="between">
      <formula>9</formula>
      <formula>9.9</formula>
    </cfRule>
    <cfRule type="cellIs" dxfId="509" priority="354" stopIfTrue="1" operator="between">
      <formula>10</formula>
      <formula>10</formula>
    </cfRule>
    <cfRule type="containsBlanks" dxfId="508" priority="355" stopIfTrue="1">
      <formula>LEN(TRIM(H266))=0</formula>
    </cfRule>
  </conditionalFormatting>
  <conditionalFormatting sqref="H276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07" priority="325" operator="between">
      <formula>6</formula>
      <formula>6.9</formula>
    </cfRule>
    <cfRule type="cellIs" dxfId="506" priority="326" operator="between">
      <formula>10.1</formula>
      <formula>10.6</formula>
    </cfRule>
    <cfRule type="cellIs" dxfId="505" priority="327" operator="between">
      <formula>7</formula>
      <formula>7.9</formula>
    </cfRule>
    <cfRule type="cellIs" dxfId="504" priority="328" stopIfTrue="1" operator="between">
      <formula>8</formula>
      <formula>8.9</formula>
    </cfRule>
    <cfRule type="cellIs" dxfId="503" priority="329" operator="between">
      <formula>9</formula>
      <formula>9.9</formula>
    </cfRule>
    <cfRule type="cellIs" dxfId="502" priority="330" stopIfTrue="1" operator="between">
      <formula>10</formula>
      <formula>10</formula>
    </cfRule>
    <cfRule type="containsBlanks" dxfId="501" priority="331" stopIfTrue="1">
      <formula>LEN(TRIM(H277))=0</formula>
    </cfRule>
  </conditionalFormatting>
  <conditionalFormatting sqref="H288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00" priority="250" operator="between">
      <formula>6</formula>
      <formula>6.9</formula>
    </cfRule>
    <cfRule type="cellIs" dxfId="499" priority="251" operator="between">
      <formula>10.1</formula>
      <formula>10.6</formula>
    </cfRule>
    <cfRule type="cellIs" dxfId="498" priority="252" operator="between">
      <formula>7</formula>
      <formula>7.9</formula>
    </cfRule>
    <cfRule type="cellIs" dxfId="497" priority="253" stopIfTrue="1" operator="between">
      <formula>8</formula>
      <formula>8.9</formula>
    </cfRule>
    <cfRule type="cellIs" dxfId="496" priority="254" operator="between">
      <formula>9</formula>
      <formula>9.9</formula>
    </cfRule>
    <cfRule type="cellIs" dxfId="495" priority="255" stopIfTrue="1" operator="between">
      <formula>10</formula>
      <formula>10</formula>
    </cfRule>
    <cfRule type="containsBlanks" dxfId="494" priority="256" stopIfTrue="1">
      <formula>LEN(TRIM(H289))=0</formula>
    </cfRule>
  </conditionalFormatting>
  <conditionalFormatting sqref="H296"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93" priority="239" stopIfTrue="1">
      <formula>LEN(TRIM(H297))=0</formula>
    </cfRule>
    <cfRule type="cellIs" dxfId="492" priority="240" operator="lessThan">
      <formula>2</formula>
    </cfRule>
    <cfRule type="cellIs" dxfId="491" priority="241" operator="between">
      <formula>2</formula>
      <formula>4.9</formula>
    </cfRule>
    <cfRule type="cellIs" dxfId="490" priority="242" operator="between">
      <formula>5</formula>
      <formula>6.9</formula>
    </cfRule>
    <cfRule type="cellIs" dxfId="489" priority="243" operator="between">
      <formula>10.1</formula>
      <formula>10.6</formula>
    </cfRule>
    <cfRule type="cellIs" dxfId="488" priority="244" operator="between">
      <formula>7</formula>
      <formula>7.9</formula>
    </cfRule>
    <cfRule type="cellIs" dxfId="487" priority="245" stopIfTrue="1" operator="between">
      <formula>8</formula>
      <formula>8.9</formula>
    </cfRule>
    <cfRule type="cellIs" dxfId="486" priority="246" operator="between">
      <formula>9</formula>
      <formula>9.9</formula>
    </cfRule>
    <cfRule type="cellIs" dxfId="485" priority="247" stopIfTrue="1" operator="between">
      <formula>10</formula>
      <formula>10</formula>
    </cfRule>
  </conditionalFormatting>
  <conditionalFormatting sqref="H309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84" priority="166" stopIfTrue="1">
      <formula>LEN(TRIM(H310))=0</formula>
    </cfRule>
    <cfRule type="cellIs" dxfId="483" priority="167" operator="lessThan">
      <formula>2</formula>
    </cfRule>
    <cfRule type="cellIs" dxfId="482" priority="168" operator="between">
      <formula>2</formula>
      <formula>4.9</formula>
    </cfRule>
    <cfRule type="cellIs" dxfId="481" priority="169" operator="between">
      <formula>5</formula>
      <formula>6.9</formula>
    </cfRule>
    <cfRule type="cellIs" dxfId="480" priority="170" operator="between">
      <formula>10.1</formula>
      <formula>10.6</formula>
    </cfRule>
    <cfRule type="cellIs" dxfId="479" priority="171" operator="between">
      <formula>7</formula>
      <formula>7.9</formula>
    </cfRule>
    <cfRule type="cellIs" dxfId="478" priority="172" stopIfTrue="1" operator="between">
      <formula>8</formula>
      <formula>8.9</formula>
    </cfRule>
    <cfRule type="cellIs" dxfId="477" priority="173" operator="between">
      <formula>9</formula>
      <formula>9.9</formula>
    </cfRule>
    <cfRule type="cellIs" dxfId="476" priority="174" stopIfTrue="1" operator="between">
      <formula>10</formula>
      <formula>10</formula>
    </cfRule>
  </conditionalFormatting>
  <conditionalFormatting sqref="H329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475" priority="67" stopIfTrue="1">
      <formula>LEN(TRIM(H330))=0</formula>
    </cfRule>
    <cfRule type="cellIs" dxfId="474" priority="68" operator="lessThan">
      <formula>2</formula>
    </cfRule>
    <cfRule type="cellIs" dxfId="473" priority="69" operator="between">
      <formula>2</formula>
      <formula>4.9</formula>
    </cfRule>
    <cfRule type="cellIs" dxfId="472" priority="70" operator="between">
      <formula>5</formula>
      <formula>6.9</formula>
    </cfRule>
    <cfRule type="cellIs" dxfId="471" priority="71" operator="between">
      <formula>10.1</formula>
      <formula>10.6</formula>
    </cfRule>
    <cfRule type="cellIs" dxfId="470" priority="72" operator="between">
      <formula>7</formula>
      <formula>7.9</formula>
    </cfRule>
    <cfRule type="cellIs" dxfId="469" priority="73" stopIfTrue="1" operator="between">
      <formula>8</formula>
      <formula>8.9</formula>
    </cfRule>
    <cfRule type="cellIs" dxfId="468" priority="74" operator="between">
      <formula>9</formula>
      <formula>9.9</formula>
    </cfRule>
    <cfRule type="cellIs" dxfId="467" priority="75" stopIfTrue="1" operator="between">
      <formula>10</formula>
      <formula>10</formula>
    </cfRule>
  </conditionalFormatting>
  <conditionalFormatting sqref="H33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466" priority="47" stopIfTrue="1">
      <formula>LEN(TRIM(H340))=0</formula>
    </cfRule>
    <cfRule type="cellIs" dxfId="465" priority="48" operator="lessThan">
      <formula>2</formula>
    </cfRule>
    <cfRule type="cellIs" dxfId="464" priority="49" operator="between">
      <formula>2</formula>
      <formula>4.9</formula>
    </cfRule>
    <cfRule type="cellIs" dxfId="463" priority="50" operator="between">
      <formula>5</formula>
      <formula>6.9</formula>
    </cfRule>
    <cfRule type="cellIs" dxfId="462" priority="51" operator="between">
      <formula>10.1</formula>
      <formula>10.6</formula>
    </cfRule>
    <cfRule type="cellIs" dxfId="461" priority="52" operator="between">
      <formula>7</formula>
      <formula>7.9</formula>
    </cfRule>
    <cfRule type="cellIs" dxfId="460" priority="53" stopIfTrue="1" operator="between">
      <formula>8</formula>
      <formula>8.9</formula>
    </cfRule>
    <cfRule type="cellIs" dxfId="459" priority="54" operator="between">
      <formula>9</formula>
      <formula>9.9</formula>
    </cfRule>
    <cfRule type="cellIs" dxfId="458" priority="55" stopIfTrue="1" operator="between">
      <formula>10</formula>
      <formula>10</formula>
    </cfRule>
  </conditionalFormatting>
  <conditionalFormatting sqref="K3:K12">
    <cfRule type="cellIs" dxfId="457" priority="1236" operator="between">
      <formula>10.1</formula>
      <formula>10.6</formula>
    </cfRule>
    <cfRule type="cellIs" dxfId="456" priority="1237" operator="between">
      <formula>7</formula>
      <formula>7.9</formula>
    </cfRule>
    <cfRule type="cellIs" dxfId="455" priority="1238" stopIfTrue="1" operator="between">
      <formula>8</formula>
      <formula>8.9</formula>
    </cfRule>
    <cfRule type="cellIs" dxfId="454" priority="1239" operator="between">
      <formula>9</formula>
      <formula>9.9</formula>
    </cfRule>
    <cfRule type="cellIs" dxfId="453" priority="1240" stopIfTrue="1" operator="between">
      <formula>10</formula>
      <formula>10</formula>
    </cfRule>
    <cfRule type="containsBlanks" dxfId="452" priority="1241" stopIfTrue="1">
      <formula>LEN(TRIM(K3))=0</formula>
    </cfRule>
  </conditionalFormatting>
  <conditionalFormatting sqref="K15:K23">
    <cfRule type="cellIs" dxfId="451" priority="644" operator="between">
      <formula>7</formula>
      <formula>7.9</formula>
    </cfRule>
    <cfRule type="cellIs" dxfId="450" priority="645" stopIfTrue="1" operator="between">
      <formula>8</formula>
      <formula>8.9</formula>
    </cfRule>
    <cfRule type="cellIs" dxfId="449" priority="646" operator="between">
      <formula>9</formula>
      <formula>9.9</formula>
    </cfRule>
    <cfRule type="cellIs" dxfId="448" priority="647" stopIfTrue="1" operator="between">
      <formula>10</formula>
      <formula>10</formula>
    </cfRule>
  </conditionalFormatting>
  <conditionalFormatting sqref="K23">
    <cfRule type="cellIs" dxfId="447" priority="643" operator="between">
      <formula>10.1</formula>
      <formula>10.6</formula>
    </cfRule>
    <cfRule type="containsBlanks" dxfId="446" priority="648" stopIfTrue="1">
      <formula>LEN(TRIM(K23))=0</formula>
    </cfRule>
  </conditionalFormatting>
  <conditionalFormatting sqref="K26:K38">
    <cfRule type="cellIs" dxfId="445" priority="1271" operator="between">
      <formula>7</formula>
      <formula>7.9</formula>
    </cfRule>
    <cfRule type="cellIs" dxfId="444" priority="1272" stopIfTrue="1" operator="between">
      <formula>8</formula>
      <formula>8.9</formula>
    </cfRule>
    <cfRule type="cellIs" dxfId="443" priority="1273" operator="between">
      <formula>9</formula>
      <formula>9.9</formula>
    </cfRule>
    <cfRule type="cellIs" dxfId="442" priority="1274" stopIfTrue="1" operator="between">
      <formula>10</formula>
      <formula>10</formula>
    </cfRule>
    <cfRule type="containsBlanks" dxfId="441" priority="1275" stopIfTrue="1">
      <formula>LEN(TRIM(K26))=0</formula>
    </cfRule>
  </conditionalFormatting>
  <conditionalFormatting sqref="K40"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40" priority="1176" operator="between">
      <formula>10.1</formula>
      <formula>10.6</formula>
    </cfRule>
    <cfRule type="cellIs" dxfId="439" priority="1177" operator="between">
      <formula>7</formula>
      <formula>7.9</formula>
    </cfRule>
    <cfRule type="cellIs" dxfId="438" priority="1178" stopIfTrue="1" operator="between">
      <formula>8</formula>
      <formula>8.9</formula>
    </cfRule>
    <cfRule type="cellIs" dxfId="437" priority="1179" operator="between">
      <formula>9</formula>
      <formula>9.9</formula>
    </cfRule>
    <cfRule type="cellIs" dxfId="436" priority="1180" stopIfTrue="1" operator="between">
      <formula>10</formula>
      <formula>10</formula>
    </cfRule>
    <cfRule type="containsBlanks" dxfId="435" priority="1181" stopIfTrue="1">
      <formula>LEN(TRIM(K41))=0</formula>
    </cfRule>
  </conditionalFormatting>
  <conditionalFormatting sqref="K54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34" priority="1138" operator="between">
      <formula>10.1</formula>
      <formula>10.6</formula>
    </cfRule>
    <cfRule type="cellIs" dxfId="433" priority="1139" operator="between">
      <formula>7</formula>
      <formula>7.9</formula>
    </cfRule>
    <cfRule type="cellIs" dxfId="432" priority="1140" stopIfTrue="1" operator="between">
      <formula>8</formula>
      <formula>8.9</formula>
    </cfRule>
    <cfRule type="cellIs" dxfId="431" priority="1141" operator="between">
      <formula>9</formula>
      <formula>9.9</formula>
    </cfRule>
    <cfRule type="cellIs" dxfId="430" priority="1142" stopIfTrue="1" operator="between">
      <formula>10</formula>
      <formula>10</formula>
    </cfRule>
    <cfRule type="containsBlanks" dxfId="429" priority="1143" stopIfTrue="1">
      <formula>LEN(TRIM(K55))=0</formula>
    </cfRule>
  </conditionalFormatting>
  <conditionalFormatting sqref="K66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28" priority="1111" operator="between">
      <formula>10.1</formula>
      <formula>10.6</formula>
    </cfRule>
    <cfRule type="cellIs" dxfId="427" priority="1112" operator="between">
      <formula>7</formula>
      <formula>7.9</formula>
    </cfRule>
    <cfRule type="cellIs" dxfId="426" priority="1113" stopIfTrue="1" operator="between">
      <formula>8</formula>
      <formula>8.9</formula>
    </cfRule>
    <cfRule type="cellIs" dxfId="425" priority="1114" operator="between">
      <formula>9</formula>
      <formula>9.9</formula>
    </cfRule>
    <cfRule type="cellIs" dxfId="424" priority="1115" stopIfTrue="1" operator="between">
      <formula>10</formula>
      <formula>10</formula>
    </cfRule>
    <cfRule type="containsBlanks" dxfId="423" priority="1116" stopIfTrue="1">
      <formula>LEN(TRIM(K67))=0</formula>
    </cfRule>
  </conditionalFormatting>
  <conditionalFormatting sqref="K77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22" priority="1058" operator="between">
      <formula>10.1</formula>
      <formula>10.6</formula>
    </cfRule>
    <cfRule type="cellIs" dxfId="421" priority="1059" operator="between">
      <formula>7</formula>
      <formula>7.9</formula>
    </cfRule>
    <cfRule type="cellIs" dxfId="420" priority="1060" stopIfTrue="1" operator="between">
      <formula>8</formula>
      <formula>8.9</formula>
    </cfRule>
    <cfRule type="cellIs" dxfId="419" priority="1061" operator="between">
      <formula>9</formula>
      <formula>9.9</formula>
    </cfRule>
    <cfRule type="cellIs" dxfId="418" priority="1062" stopIfTrue="1" operator="between">
      <formula>10</formula>
      <formula>10</formula>
    </cfRule>
    <cfRule type="containsBlanks" dxfId="417" priority="1063" stopIfTrue="1">
      <formula>LEN(TRIM(K78))=0</formula>
    </cfRule>
  </conditionalFormatting>
  <conditionalFormatting sqref="K90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16" priority="1013" operator="between">
      <formula>10.1</formula>
      <formula>10.6</formula>
    </cfRule>
    <cfRule type="cellIs" dxfId="415" priority="1014" operator="between">
      <formula>7</formula>
      <formula>7.9</formula>
    </cfRule>
    <cfRule type="cellIs" dxfId="414" priority="1015" stopIfTrue="1" operator="between">
      <formula>8</formula>
      <formula>8.9</formula>
    </cfRule>
    <cfRule type="cellIs" dxfId="413" priority="1016" operator="between">
      <formula>9</formula>
      <formula>9.9</formula>
    </cfRule>
    <cfRule type="cellIs" dxfId="412" priority="1017" stopIfTrue="1" operator="between">
      <formula>10</formula>
      <formula>10</formula>
    </cfRule>
    <cfRule type="containsBlanks" dxfId="411" priority="1018" stopIfTrue="1">
      <formula>LEN(TRIM(K91))=0</formula>
    </cfRule>
  </conditionalFormatting>
  <conditionalFormatting sqref="K98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10" priority="979" operator="between">
      <formula>6</formula>
      <formula>6.9</formula>
    </cfRule>
    <cfRule type="cellIs" dxfId="409" priority="980" operator="between">
      <formula>10.1</formula>
      <formula>10.6</formula>
    </cfRule>
    <cfRule type="cellIs" dxfId="408" priority="981" operator="between">
      <formula>7</formula>
      <formula>7.9</formula>
    </cfRule>
    <cfRule type="cellIs" dxfId="407" priority="982" stopIfTrue="1" operator="between">
      <formula>8</formula>
      <formula>8.9</formula>
    </cfRule>
    <cfRule type="cellIs" dxfId="406" priority="983" operator="between">
      <formula>9</formula>
      <formula>9.9</formula>
    </cfRule>
    <cfRule type="cellIs" dxfId="405" priority="984" stopIfTrue="1" operator="between">
      <formula>10</formula>
      <formula>10</formula>
    </cfRule>
    <cfRule type="containsBlanks" dxfId="404" priority="985" stopIfTrue="1">
      <formula>LEN(TRIM(K99))=0</formula>
    </cfRule>
  </conditionalFormatting>
  <conditionalFormatting sqref="K111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03" priority="932" operator="between">
      <formula>10.1</formula>
      <formula>10.6</formula>
    </cfRule>
    <cfRule type="cellIs" dxfId="402" priority="933" operator="between">
      <formula>7</formula>
      <formula>7.9</formula>
    </cfRule>
    <cfRule type="cellIs" dxfId="401" priority="934" stopIfTrue="1" operator="between">
      <formula>8</formula>
      <formula>8.9</formula>
    </cfRule>
    <cfRule type="cellIs" dxfId="400" priority="935" operator="between">
      <formula>9</formula>
      <formula>9.9</formula>
    </cfRule>
    <cfRule type="cellIs" dxfId="399" priority="936" stopIfTrue="1" operator="between">
      <formula>10</formula>
      <formula>10</formula>
    </cfRule>
    <cfRule type="containsBlanks" dxfId="398" priority="937" stopIfTrue="1">
      <formula>LEN(TRIM(K112))=0</formula>
    </cfRule>
  </conditionalFormatting>
  <conditionalFormatting sqref="K114">
    <cfRule type="cellIs" dxfId="397" priority="931" operator="between">
      <formula>6</formula>
      <formula>6.9</formula>
    </cfRule>
  </conditionalFormatting>
  <conditionalFormatting sqref="K124"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96" priority="889" operator="between">
      <formula>10.1</formula>
      <formula>10.6</formula>
    </cfRule>
    <cfRule type="cellIs" dxfId="395" priority="890" operator="between">
      <formula>7</formula>
      <formula>7.9</formula>
    </cfRule>
    <cfRule type="cellIs" dxfId="394" priority="891" stopIfTrue="1" operator="between">
      <formula>8</formula>
      <formula>8.9</formula>
    </cfRule>
    <cfRule type="cellIs" dxfId="393" priority="892" operator="between">
      <formula>9</formula>
      <formula>9.9</formula>
    </cfRule>
    <cfRule type="cellIs" dxfId="392" priority="893" stopIfTrue="1" operator="between">
      <formula>10</formula>
      <formula>10</formula>
    </cfRule>
    <cfRule type="containsBlanks" dxfId="391" priority="894" stopIfTrue="1">
      <formula>LEN(TRIM(K125))=0</formula>
    </cfRule>
  </conditionalFormatting>
  <conditionalFormatting sqref="K125:K134">
    <cfRule type="cellIs" dxfId="390" priority="882" operator="between">
      <formula>6</formula>
      <formula>6.9</formula>
    </cfRule>
    <cfRule type="cellIs" dxfId="389" priority="883" operator="between">
      <formula>10.1</formula>
      <formula>10.6</formula>
    </cfRule>
    <cfRule type="cellIs" dxfId="388" priority="884" operator="between">
      <formula>7</formula>
      <formula>7.9</formula>
    </cfRule>
    <cfRule type="cellIs" dxfId="387" priority="885" stopIfTrue="1" operator="between">
      <formula>8</formula>
      <formula>8.9</formula>
    </cfRule>
    <cfRule type="cellIs" dxfId="386" priority="886" operator="between">
      <formula>9</formula>
      <formula>9.9</formula>
    </cfRule>
    <cfRule type="cellIs" dxfId="385" priority="887" stopIfTrue="1" operator="between">
      <formula>10</formula>
      <formula>10</formula>
    </cfRule>
    <cfRule type="containsBlanks" dxfId="384" priority="888" stopIfTrue="1">
      <formula>LEN(TRIM(K125))=0</formula>
    </cfRule>
  </conditionalFormatting>
  <conditionalFormatting sqref="K136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83" priority="824" operator="between">
      <formula>6</formula>
      <formula>6.9</formula>
    </cfRule>
    <cfRule type="cellIs" dxfId="382" priority="825" operator="between">
      <formula>10.1</formula>
      <formula>10.6</formula>
    </cfRule>
    <cfRule type="cellIs" dxfId="381" priority="826" operator="between">
      <formula>7</formula>
      <formula>7.9</formula>
    </cfRule>
    <cfRule type="cellIs" dxfId="380" priority="827" stopIfTrue="1" operator="between">
      <formula>8</formula>
      <formula>8.9</formula>
    </cfRule>
    <cfRule type="cellIs" dxfId="379" priority="828" operator="between">
      <formula>9</formula>
      <formula>9.9</formula>
    </cfRule>
    <cfRule type="cellIs" dxfId="378" priority="829" stopIfTrue="1" operator="between">
      <formula>10</formula>
      <formula>10</formula>
    </cfRule>
    <cfRule type="containsBlanks" dxfId="377" priority="830" stopIfTrue="1">
      <formula>LEN(TRIM(K137))=0</formula>
    </cfRule>
  </conditionalFormatting>
  <conditionalFormatting sqref="K149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76" priority="761" operator="between">
      <formula>6</formula>
      <formula>6.9</formula>
    </cfRule>
    <cfRule type="cellIs" dxfId="375" priority="762" operator="between">
      <formula>10.1</formula>
      <formula>10.6</formula>
    </cfRule>
    <cfRule type="cellIs" dxfId="374" priority="763" operator="between">
      <formula>7</formula>
      <formula>7.9</formula>
    </cfRule>
    <cfRule type="cellIs" dxfId="373" priority="764" stopIfTrue="1" operator="between">
      <formula>8</formula>
      <formula>8.9</formula>
    </cfRule>
    <cfRule type="cellIs" dxfId="372" priority="765" operator="between">
      <formula>9</formula>
      <formula>9.9</formula>
    </cfRule>
    <cfRule type="cellIs" dxfId="371" priority="766" stopIfTrue="1" operator="between">
      <formula>10</formula>
      <formula>10</formula>
    </cfRule>
    <cfRule type="containsBlanks" dxfId="370" priority="767" stopIfTrue="1">
      <formula>LEN(TRIM(K150))=0</formula>
    </cfRule>
  </conditionalFormatting>
  <conditionalFormatting sqref="K165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69" priority="705" operator="between">
      <formula>6</formula>
      <formula>6.9</formula>
    </cfRule>
    <cfRule type="cellIs" dxfId="368" priority="706" operator="between">
      <formula>10.1</formula>
      <formula>10.6</formula>
    </cfRule>
    <cfRule type="cellIs" dxfId="367" priority="707" operator="between">
      <formula>7</formula>
      <formula>7.9</formula>
    </cfRule>
    <cfRule type="cellIs" dxfId="366" priority="708" stopIfTrue="1" operator="between">
      <formula>8</formula>
      <formula>8.9</formula>
    </cfRule>
    <cfRule type="cellIs" dxfId="365" priority="709" operator="between">
      <formula>9</formula>
      <formula>9.9</formula>
    </cfRule>
    <cfRule type="cellIs" dxfId="364" priority="710" stopIfTrue="1" operator="between">
      <formula>10</formula>
      <formula>10</formula>
    </cfRule>
    <cfRule type="containsBlanks" dxfId="363" priority="711" stopIfTrue="1">
      <formula>LEN(TRIM(K166))=0</formula>
    </cfRule>
  </conditionalFormatting>
  <conditionalFormatting sqref="K175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62" priority="678" operator="between">
      <formula>6</formula>
      <formula>6.9</formula>
    </cfRule>
    <cfRule type="cellIs" dxfId="361" priority="679" operator="between">
      <formula>10.1</formula>
      <formula>10.6</formula>
    </cfRule>
    <cfRule type="cellIs" dxfId="360" priority="680" operator="between">
      <formula>7</formula>
      <formula>7.9</formula>
    </cfRule>
    <cfRule type="cellIs" dxfId="359" priority="681" stopIfTrue="1" operator="between">
      <formula>8</formula>
      <formula>8.9</formula>
    </cfRule>
    <cfRule type="cellIs" dxfId="358" priority="682" operator="between">
      <formula>9</formula>
      <formula>9.9</formula>
    </cfRule>
    <cfRule type="cellIs" dxfId="357" priority="683" stopIfTrue="1" operator="between">
      <formula>10</formula>
      <formula>10</formula>
    </cfRule>
    <cfRule type="containsBlanks" dxfId="356" priority="684" stopIfTrue="1">
      <formula>LEN(TRIM(K176))=0</formula>
    </cfRule>
  </conditionalFormatting>
  <conditionalFormatting sqref="K182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55" priority="658" operator="between">
      <formula>6</formula>
      <formula>6.9</formula>
    </cfRule>
    <cfRule type="cellIs" dxfId="354" priority="659" operator="between">
      <formula>10.1</formula>
      <formula>10.6</formula>
    </cfRule>
    <cfRule type="cellIs" dxfId="353" priority="660" operator="between">
      <formula>7</formula>
      <formula>7.9</formula>
    </cfRule>
    <cfRule type="cellIs" dxfId="352" priority="661" stopIfTrue="1" operator="between">
      <formula>8</formula>
      <formula>8.9</formula>
    </cfRule>
    <cfRule type="cellIs" dxfId="351" priority="662" operator="between">
      <formula>9</formula>
      <formula>9.9</formula>
    </cfRule>
    <cfRule type="cellIs" dxfId="350" priority="663" stopIfTrue="1" operator="between">
      <formula>10</formula>
      <formula>10</formula>
    </cfRule>
    <cfRule type="containsBlanks" dxfId="349" priority="664" stopIfTrue="1">
      <formula>LEN(TRIM(K183))=0</formula>
    </cfRule>
  </conditionalFormatting>
  <conditionalFormatting sqref="K189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48" priority="618" operator="between">
      <formula>6</formula>
      <formula>6.9</formula>
    </cfRule>
    <cfRule type="cellIs" dxfId="347" priority="619" operator="between">
      <formula>10.1</formula>
      <formula>10.6</formula>
    </cfRule>
    <cfRule type="cellIs" dxfId="346" priority="620" operator="between">
      <formula>7</formula>
      <formula>7.9</formula>
    </cfRule>
    <cfRule type="cellIs" dxfId="345" priority="621" stopIfTrue="1" operator="between">
      <formula>8</formula>
      <formula>8.9</formula>
    </cfRule>
    <cfRule type="cellIs" dxfId="344" priority="622" operator="between">
      <formula>9</formula>
      <formula>9.9</formula>
    </cfRule>
    <cfRule type="cellIs" dxfId="343" priority="623" stopIfTrue="1" operator="between">
      <formula>10</formula>
      <formula>10</formula>
    </cfRule>
    <cfRule type="containsBlanks" dxfId="342" priority="624" stopIfTrue="1">
      <formula>LEN(TRIM(K190))=0</formula>
    </cfRule>
  </conditionalFormatting>
  <conditionalFormatting sqref="K199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41" priority="589" operator="between">
      <formula>6</formula>
      <formula>6.9</formula>
    </cfRule>
    <cfRule type="cellIs" dxfId="340" priority="590" operator="between">
      <formula>10.1</formula>
      <formula>10.6</formula>
    </cfRule>
    <cfRule type="cellIs" dxfId="339" priority="591" operator="between">
      <formula>7</formula>
      <formula>7.9</formula>
    </cfRule>
    <cfRule type="cellIs" dxfId="338" priority="592" stopIfTrue="1" operator="between">
      <formula>8</formula>
      <formula>8.9</formula>
    </cfRule>
    <cfRule type="cellIs" dxfId="337" priority="593" operator="between">
      <formula>9</formula>
      <formula>9.9</formula>
    </cfRule>
    <cfRule type="cellIs" dxfId="336" priority="594" stopIfTrue="1" operator="between">
      <formula>10</formula>
      <formula>10</formula>
    </cfRule>
    <cfRule type="containsBlanks" dxfId="335" priority="595" stopIfTrue="1">
      <formula>LEN(TRIM(K200))=0</formula>
    </cfRule>
  </conditionalFormatting>
  <conditionalFormatting sqref="K208"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34" priority="559" operator="between">
      <formula>6</formula>
      <formula>6.9</formula>
    </cfRule>
    <cfRule type="cellIs" dxfId="333" priority="560" operator="between">
      <formula>10.1</formula>
      <formula>11</formula>
    </cfRule>
    <cfRule type="cellIs" dxfId="332" priority="561" operator="between">
      <formula>7</formula>
      <formula>7.9</formula>
    </cfRule>
    <cfRule type="cellIs" dxfId="331" priority="562" stopIfTrue="1" operator="between">
      <formula>8</formula>
      <formula>8.9</formula>
    </cfRule>
    <cfRule type="cellIs" dxfId="330" priority="563" operator="between">
      <formula>9</formula>
      <formula>9.9</formula>
    </cfRule>
    <cfRule type="cellIs" dxfId="329" priority="564" stopIfTrue="1" operator="between">
      <formula>10</formula>
      <formula>10</formula>
    </cfRule>
    <cfRule type="containsBlanks" dxfId="328" priority="565" stopIfTrue="1">
      <formula>LEN(TRIM(K209))=0</formula>
    </cfRule>
  </conditionalFormatting>
  <conditionalFormatting sqref="K219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27" priority="506" operator="between">
      <formula>6</formula>
      <formula>6.9</formula>
    </cfRule>
    <cfRule type="cellIs" dxfId="326" priority="507" operator="between">
      <formula>10.1</formula>
      <formula>10.6</formula>
    </cfRule>
    <cfRule type="cellIs" dxfId="325" priority="508" operator="between">
      <formula>7</formula>
      <formula>7.9</formula>
    </cfRule>
    <cfRule type="cellIs" dxfId="324" priority="509" stopIfTrue="1" operator="between">
      <formula>8</formula>
      <formula>8.9</formula>
    </cfRule>
    <cfRule type="cellIs" dxfId="323" priority="510" operator="between">
      <formula>9</formula>
      <formula>9.9</formula>
    </cfRule>
    <cfRule type="cellIs" dxfId="322" priority="511" stopIfTrue="1" operator="between">
      <formula>10</formula>
      <formula>10</formula>
    </cfRule>
    <cfRule type="containsBlanks" dxfId="321" priority="512" stopIfTrue="1">
      <formula>LEN(TRIM(K220))=0</formula>
    </cfRule>
  </conditionalFormatting>
  <conditionalFormatting sqref="K237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20" priority="443" operator="between">
      <formula>6</formula>
      <formula>6.9</formula>
    </cfRule>
    <cfRule type="cellIs" dxfId="319" priority="444" operator="between">
      <formula>10.1</formula>
      <formula>10.6</formula>
    </cfRule>
    <cfRule type="cellIs" dxfId="318" priority="445" operator="between">
      <formula>7</formula>
      <formula>7.9</formula>
    </cfRule>
    <cfRule type="cellIs" dxfId="317" priority="446" stopIfTrue="1" operator="between">
      <formula>8</formula>
      <formula>8.9</formula>
    </cfRule>
    <cfRule type="cellIs" dxfId="316" priority="447" operator="between">
      <formula>9</formula>
      <formula>9.9</formula>
    </cfRule>
    <cfRule type="cellIs" dxfId="315" priority="448" stopIfTrue="1" operator="between">
      <formula>10</formula>
      <formula>10</formula>
    </cfRule>
    <cfRule type="containsBlanks" dxfId="314" priority="449" stopIfTrue="1">
      <formula>LEN(TRIM(K238))=0</formula>
    </cfRule>
  </conditionalFormatting>
  <conditionalFormatting sqref="K252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13" priority="398" operator="between">
      <formula>6</formula>
      <formula>6.9</formula>
    </cfRule>
    <cfRule type="cellIs" dxfId="312" priority="399" operator="between">
      <formula>10.1</formula>
      <formula>10.6</formula>
    </cfRule>
    <cfRule type="cellIs" dxfId="311" priority="400" operator="between">
      <formula>7</formula>
      <formula>7.9</formula>
    </cfRule>
    <cfRule type="cellIs" dxfId="310" priority="401" stopIfTrue="1" operator="between">
      <formula>8</formula>
      <formula>8.9</formula>
    </cfRule>
    <cfRule type="cellIs" dxfId="309" priority="402" operator="between">
      <formula>9</formula>
      <formula>9.9</formula>
    </cfRule>
    <cfRule type="cellIs" dxfId="308" priority="403" stopIfTrue="1" operator="between">
      <formula>10</formula>
      <formula>10</formula>
    </cfRule>
    <cfRule type="containsBlanks" dxfId="307" priority="404" stopIfTrue="1">
      <formula>LEN(TRIM(K253))=0</formula>
    </cfRule>
  </conditionalFormatting>
  <conditionalFormatting sqref="K264">
    <cfRule type="colorScale" priority="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06" priority="369" operator="between">
      <formula>6</formula>
      <formula>6.9</formula>
    </cfRule>
    <cfRule type="cellIs" dxfId="305" priority="370" operator="between">
      <formula>10.1</formula>
      <formula>10.6</formula>
    </cfRule>
    <cfRule type="cellIs" dxfId="304" priority="371" operator="between">
      <formula>7</formula>
      <formula>7.9</formula>
    </cfRule>
    <cfRule type="cellIs" dxfId="303" priority="372" stopIfTrue="1" operator="between">
      <formula>8</formula>
      <formula>8.9</formula>
    </cfRule>
    <cfRule type="cellIs" dxfId="302" priority="373" operator="between">
      <formula>9</formula>
      <formula>9.9</formula>
    </cfRule>
    <cfRule type="cellIs" dxfId="301" priority="374" stopIfTrue="1" operator="between">
      <formula>10</formula>
      <formula>10</formula>
    </cfRule>
    <cfRule type="containsBlanks" dxfId="300" priority="375" stopIfTrue="1">
      <formula>LEN(TRIM(K265))=0</formula>
    </cfRule>
  </conditionalFormatting>
  <conditionalFormatting sqref="K276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99" priority="316" operator="between">
      <formula>6</formula>
      <formula>6.9</formula>
    </cfRule>
    <cfRule type="cellIs" dxfId="298" priority="317" operator="between">
      <formula>10.1</formula>
      <formula>10.6</formula>
    </cfRule>
    <cfRule type="cellIs" dxfId="297" priority="318" operator="between">
      <formula>7</formula>
      <formula>7.9</formula>
    </cfRule>
    <cfRule type="cellIs" dxfId="296" priority="319" stopIfTrue="1" operator="between">
      <formula>8</formula>
      <formula>8.9</formula>
    </cfRule>
    <cfRule type="cellIs" dxfId="295" priority="320" operator="between">
      <formula>9</formula>
      <formula>9.9</formula>
    </cfRule>
    <cfRule type="cellIs" dxfId="294" priority="321" stopIfTrue="1" operator="between">
      <formula>10</formula>
      <formula>10</formula>
    </cfRule>
    <cfRule type="containsBlanks" dxfId="293" priority="322" stopIfTrue="1">
      <formula>LEN(TRIM(K277))=0</formula>
    </cfRule>
  </conditionalFormatting>
  <conditionalFormatting sqref="K286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92" priority="268" operator="between">
      <formula>6</formula>
      <formula>6.9</formula>
    </cfRule>
    <cfRule type="cellIs" dxfId="291" priority="269" operator="between">
      <formula>10.1</formula>
      <formula>10.6</formula>
    </cfRule>
    <cfRule type="cellIs" dxfId="290" priority="270" operator="between">
      <formula>7</formula>
      <formula>7.9</formula>
    </cfRule>
    <cfRule type="cellIs" dxfId="289" priority="271" stopIfTrue="1" operator="between">
      <formula>8</formula>
      <formula>8.9</formula>
    </cfRule>
    <cfRule type="cellIs" dxfId="288" priority="272" operator="between">
      <formula>9</formula>
      <formula>9.9</formula>
    </cfRule>
    <cfRule type="cellIs" dxfId="287" priority="273" stopIfTrue="1" operator="between">
      <formula>10</formula>
      <formula>10</formula>
    </cfRule>
    <cfRule type="containsBlanks" dxfId="286" priority="274" stopIfTrue="1">
      <formula>LEN(TRIM(K287))=0</formula>
    </cfRule>
  </conditionalFormatting>
  <conditionalFormatting sqref="K296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85" priority="228" stopIfTrue="1">
      <formula>LEN(TRIM(K297))=0</formula>
    </cfRule>
    <cfRule type="cellIs" dxfId="284" priority="229" operator="lessThan">
      <formula>2</formula>
    </cfRule>
    <cfRule type="cellIs" dxfId="283" priority="230" operator="between">
      <formula>2</formula>
      <formula>4.9</formula>
    </cfRule>
    <cfRule type="cellIs" dxfId="282" priority="231" operator="between">
      <formula>5</formula>
      <formula>6.9</formula>
    </cfRule>
    <cfRule type="cellIs" dxfId="281" priority="232" operator="between">
      <formula>10.1</formula>
      <formula>10.6</formula>
    </cfRule>
    <cfRule type="cellIs" dxfId="280" priority="233" operator="between">
      <formula>7</formula>
      <formula>7.9</formula>
    </cfRule>
    <cfRule type="cellIs" dxfId="279" priority="234" stopIfTrue="1" operator="between">
      <formula>8</formula>
      <formula>8.9</formula>
    </cfRule>
    <cfRule type="cellIs" dxfId="278" priority="235" operator="between">
      <formula>9</formula>
      <formula>9.9</formula>
    </cfRule>
    <cfRule type="cellIs" dxfId="277" priority="236" stopIfTrue="1" operator="between">
      <formula>10</formula>
      <formula>10</formula>
    </cfRule>
  </conditionalFormatting>
  <conditionalFormatting sqref="K304">
    <cfRule type="colorScale" priority="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76" priority="197" stopIfTrue="1">
      <formula>LEN(TRIM(K305))=0</formula>
    </cfRule>
    <cfRule type="cellIs" dxfId="275" priority="198" operator="lessThan">
      <formula>2</formula>
    </cfRule>
    <cfRule type="cellIs" dxfId="274" priority="199" operator="between">
      <formula>2</formula>
      <formula>4.9</formula>
    </cfRule>
    <cfRule type="cellIs" dxfId="273" priority="200" operator="between">
      <formula>5</formula>
      <formula>6.9</formula>
    </cfRule>
    <cfRule type="cellIs" dxfId="272" priority="201" operator="between">
      <formula>10.1</formula>
      <formula>10.6</formula>
    </cfRule>
    <cfRule type="cellIs" dxfId="271" priority="202" operator="between">
      <formula>7</formula>
      <formula>7.9</formula>
    </cfRule>
    <cfRule type="cellIs" dxfId="270" priority="203" stopIfTrue="1" operator="between">
      <formula>8</formula>
      <formula>8.9</formula>
    </cfRule>
    <cfRule type="cellIs" dxfId="269" priority="204" operator="between">
      <formula>9</formula>
      <formula>9.9</formula>
    </cfRule>
    <cfRule type="cellIs" dxfId="268" priority="205" stopIfTrue="1" operator="between">
      <formula>10</formula>
      <formula>10</formula>
    </cfRule>
  </conditionalFormatting>
  <conditionalFormatting sqref="K31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267" priority="135" stopIfTrue="1">
      <formula>LEN(TRIM(K319))=0</formula>
    </cfRule>
    <cfRule type="cellIs" dxfId="266" priority="136" operator="lessThan">
      <formula>2</formula>
    </cfRule>
    <cfRule type="cellIs" dxfId="265" priority="137" operator="between">
      <formula>2</formula>
      <formula>4.9</formula>
    </cfRule>
    <cfRule type="cellIs" dxfId="264" priority="138" operator="between">
      <formula>5</formula>
      <formula>6.9</formula>
    </cfRule>
    <cfRule type="cellIs" dxfId="263" priority="139" operator="between">
      <formula>10.1</formula>
      <formula>10.6</formula>
    </cfRule>
    <cfRule type="cellIs" dxfId="262" priority="140" operator="between">
      <formula>7</formula>
      <formula>7.9</formula>
    </cfRule>
    <cfRule type="cellIs" dxfId="261" priority="141" stopIfTrue="1" operator="between">
      <formula>8</formula>
      <formula>8.9</formula>
    </cfRule>
    <cfRule type="cellIs" dxfId="260" priority="142" operator="between">
      <formula>9</formula>
      <formula>9.9</formula>
    </cfRule>
    <cfRule type="cellIs" dxfId="259" priority="143" stopIfTrue="1" operator="between">
      <formula>10</formula>
      <formula>10</formula>
    </cfRule>
  </conditionalFormatting>
  <conditionalFormatting sqref="K32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258" priority="91" stopIfTrue="1">
      <formula>LEN(TRIM(K329))=0</formula>
    </cfRule>
    <cfRule type="cellIs" dxfId="257" priority="92" operator="lessThan">
      <formula>2</formula>
    </cfRule>
    <cfRule type="cellIs" dxfId="256" priority="93" operator="between">
      <formula>2</formula>
      <formula>4.9</formula>
    </cfRule>
    <cfRule type="cellIs" dxfId="255" priority="94" operator="between">
      <formula>5</formula>
      <formula>6.9</formula>
    </cfRule>
    <cfRule type="cellIs" dxfId="254" priority="95" operator="between">
      <formula>10.1</formula>
      <formula>10.6</formula>
    </cfRule>
    <cfRule type="cellIs" dxfId="253" priority="96" operator="between">
      <formula>7</formula>
      <formula>7.9</formula>
    </cfRule>
    <cfRule type="cellIs" dxfId="252" priority="97" stopIfTrue="1" operator="between">
      <formula>8</formula>
      <formula>8.9</formula>
    </cfRule>
    <cfRule type="cellIs" dxfId="251" priority="98" operator="between">
      <formula>9</formula>
      <formula>9.9</formula>
    </cfRule>
    <cfRule type="cellIs" dxfId="250" priority="99" stopIfTrue="1" operator="between">
      <formula>10</formula>
      <formula>10</formula>
    </cfRule>
  </conditionalFormatting>
  <conditionalFormatting sqref="K34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249" priority="36" stopIfTrue="1">
      <formula>LEN(TRIM(K341))=0</formula>
    </cfRule>
    <cfRule type="cellIs" dxfId="248" priority="37" operator="lessThan">
      <formula>2</formula>
    </cfRule>
    <cfRule type="cellIs" dxfId="247" priority="38" operator="between">
      <formula>2</formula>
      <formula>4.9</formula>
    </cfRule>
    <cfRule type="cellIs" dxfId="246" priority="39" operator="between">
      <formula>5</formula>
      <formula>6.9</formula>
    </cfRule>
    <cfRule type="cellIs" dxfId="245" priority="40" operator="between">
      <formula>10.1</formula>
      <formula>10.6</formula>
    </cfRule>
    <cfRule type="cellIs" dxfId="244" priority="41" operator="between">
      <formula>7</formula>
      <formula>7.9</formula>
    </cfRule>
    <cfRule type="cellIs" dxfId="243" priority="42" stopIfTrue="1" operator="between">
      <formula>8</formula>
      <formula>8.9</formula>
    </cfRule>
    <cfRule type="cellIs" dxfId="242" priority="43" operator="between">
      <formula>9</formula>
      <formula>9.9</formula>
    </cfRule>
    <cfRule type="cellIs" dxfId="241" priority="44" stopIfTrue="1" operator="between">
      <formula>10</formula>
      <formula>10</formula>
    </cfRule>
  </conditionalFormatting>
  <conditionalFormatting sqref="M28"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40" priority="1230" operator="between">
      <formula>10.1</formula>
      <formula>10.6</formula>
    </cfRule>
    <cfRule type="cellIs" dxfId="239" priority="1231" operator="between">
      <formula>7</formula>
      <formula>7.9</formula>
    </cfRule>
    <cfRule type="cellIs" dxfId="238" priority="1232" stopIfTrue="1" operator="between">
      <formula>8</formula>
      <formula>8.9</formula>
    </cfRule>
    <cfRule type="cellIs" dxfId="237" priority="1233" operator="between">
      <formula>9</formula>
      <formula>9.9</formula>
    </cfRule>
    <cfRule type="cellIs" dxfId="236" priority="1234" stopIfTrue="1" operator="between">
      <formula>10</formula>
      <formula>10</formula>
    </cfRule>
    <cfRule type="containsBlanks" dxfId="235" priority="1235" stopIfTrue="1">
      <formula>LEN(TRIM(N3))=0</formula>
    </cfRule>
  </conditionalFormatting>
  <conditionalFormatting sqref="N15:N26">
    <cfRule type="cellIs" dxfId="234" priority="1362" operator="between">
      <formula>7</formula>
      <formula>7.9</formula>
    </cfRule>
    <cfRule type="cellIs" dxfId="233" priority="1363" stopIfTrue="1" operator="between">
      <formula>8</formula>
      <formula>8.9</formula>
    </cfRule>
    <cfRule type="cellIs" dxfId="232" priority="1364" operator="between">
      <formula>9</formula>
      <formula>9.9</formula>
    </cfRule>
    <cfRule type="cellIs" dxfId="231" priority="1365" stopIfTrue="1" operator="between">
      <formula>10</formula>
      <formula>10</formula>
    </cfRule>
  </conditionalFormatting>
  <conditionalFormatting sqref="N28"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30" priority="1366" operator="between">
      <formula>7</formula>
      <formula>7.9</formula>
    </cfRule>
    <cfRule type="cellIs" dxfId="229" priority="1367" stopIfTrue="1" operator="between">
      <formula>8</formula>
      <formula>8.9</formula>
    </cfRule>
    <cfRule type="cellIs" dxfId="228" priority="1368" operator="between">
      <formula>9</formula>
      <formula>9.9</formula>
    </cfRule>
    <cfRule type="cellIs" dxfId="227" priority="1369" stopIfTrue="1" operator="between">
      <formula>10</formula>
      <formula>10</formula>
    </cfRule>
  </conditionalFormatting>
  <conditionalFormatting sqref="N39"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26" priority="1170" operator="between">
      <formula>10.1</formula>
      <formula>10.6</formula>
    </cfRule>
    <cfRule type="cellIs" dxfId="225" priority="1171" operator="between">
      <formula>7</formula>
      <formula>7.9</formula>
    </cfRule>
    <cfRule type="cellIs" dxfId="224" priority="1172" stopIfTrue="1" operator="between">
      <formula>8</formula>
      <formula>8.9</formula>
    </cfRule>
    <cfRule type="cellIs" dxfId="223" priority="1173" operator="between">
      <formula>9</formula>
      <formula>9.9</formula>
    </cfRule>
    <cfRule type="cellIs" dxfId="222" priority="1174" stopIfTrue="1" operator="between">
      <formula>10</formula>
      <formula>10</formula>
    </cfRule>
    <cfRule type="containsBlanks" dxfId="221" priority="1175" stopIfTrue="1">
      <formula>LEN(TRIM(N40))=0</formula>
    </cfRule>
  </conditionalFormatting>
  <conditionalFormatting sqref="N54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20" priority="1152" operator="between">
      <formula>10.1</formula>
      <formula>10.6</formula>
    </cfRule>
    <cfRule type="cellIs" dxfId="219" priority="1153" operator="between">
      <formula>7</formula>
      <formula>7.9</formula>
    </cfRule>
    <cfRule type="cellIs" dxfId="218" priority="1154" stopIfTrue="1" operator="between">
      <formula>8</formula>
      <formula>8.9</formula>
    </cfRule>
    <cfRule type="cellIs" dxfId="217" priority="1155" operator="between">
      <formula>9</formula>
      <formula>9.9</formula>
    </cfRule>
    <cfRule type="cellIs" dxfId="216" priority="1156" stopIfTrue="1" operator="between">
      <formula>10</formula>
      <formula>10</formula>
    </cfRule>
    <cfRule type="containsBlanks" dxfId="215" priority="1157" stopIfTrue="1">
      <formula>LEN(TRIM(N55))=0</formula>
    </cfRule>
  </conditionalFormatting>
  <conditionalFormatting sqref="N67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14" priority="1103" operator="between">
      <formula>10.1</formula>
      <formula>10.6</formula>
    </cfRule>
    <cfRule type="cellIs" dxfId="213" priority="1104" operator="between">
      <formula>7</formula>
      <formula>7.9</formula>
    </cfRule>
    <cfRule type="cellIs" dxfId="212" priority="1105" stopIfTrue="1" operator="between">
      <formula>8</formula>
      <formula>8.9</formula>
    </cfRule>
    <cfRule type="cellIs" dxfId="211" priority="1106" operator="between">
      <formula>9</formula>
      <formula>9.9</formula>
    </cfRule>
    <cfRule type="cellIs" dxfId="210" priority="1107" stopIfTrue="1" operator="between">
      <formula>10</formula>
      <formula>10</formula>
    </cfRule>
    <cfRule type="containsBlanks" dxfId="209" priority="1108" stopIfTrue="1">
      <formula>LEN(TRIM(N68))=0</formula>
    </cfRule>
  </conditionalFormatting>
  <conditionalFormatting sqref="N79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08" priority="1034" operator="between">
      <formula>10.1</formula>
      <formula>10.6</formula>
    </cfRule>
    <cfRule type="cellIs" dxfId="207" priority="1035" operator="between">
      <formula>7</formula>
      <formula>7.9</formula>
    </cfRule>
    <cfRule type="cellIs" dxfId="206" priority="1036" stopIfTrue="1" operator="between">
      <formula>8</formula>
      <formula>8.9</formula>
    </cfRule>
    <cfRule type="cellIs" dxfId="205" priority="1037" operator="between">
      <formula>9</formula>
      <formula>9.9</formula>
    </cfRule>
    <cfRule type="cellIs" dxfId="204" priority="1038" stopIfTrue="1" operator="between">
      <formula>10</formula>
      <formula>10</formula>
    </cfRule>
    <cfRule type="containsBlanks" dxfId="203" priority="1039" stopIfTrue="1">
      <formula>LEN(TRIM(N80))=0</formula>
    </cfRule>
  </conditionalFormatting>
  <conditionalFormatting sqref="N93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02" priority="997" operator="between">
      <formula>10.1</formula>
      <formula>10.6</formula>
    </cfRule>
    <cfRule type="cellIs" dxfId="201" priority="998" operator="between">
      <formula>7</formula>
      <formula>7.9</formula>
    </cfRule>
    <cfRule type="cellIs" dxfId="200" priority="999" stopIfTrue="1" operator="between">
      <formula>8</formula>
      <formula>8.9</formula>
    </cfRule>
    <cfRule type="cellIs" dxfId="199" priority="1000" operator="between">
      <formula>9</formula>
      <formula>9.9</formula>
    </cfRule>
    <cfRule type="cellIs" dxfId="198" priority="1001" stopIfTrue="1" operator="between">
      <formula>10</formula>
      <formula>10</formula>
    </cfRule>
    <cfRule type="containsBlanks" dxfId="197" priority="1002" stopIfTrue="1">
      <formula>LEN(TRIM(N94))=0</formula>
    </cfRule>
  </conditionalFormatting>
  <conditionalFormatting sqref="N112">
    <cfRule type="colorScale" priority="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96" priority="923" operator="between">
      <formula>10.1</formula>
      <formula>10.6</formula>
    </cfRule>
    <cfRule type="cellIs" dxfId="195" priority="924" operator="between">
      <formula>7</formula>
      <formula>7.9</formula>
    </cfRule>
    <cfRule type="cellIs" dxfId="194" priority="925" stopIfTrue="1" operator="between">
      <formula>8</formula>
      <formula>8.9</formula>
    </cfRule>
    <cfRule type="cellIs" dxfId="193" priority="926" operator="between">
      <formula>9</formula>
      <formula>9.9</formula>
    </cfRule>
    <cfRule type="cellIs" dxfId="192" priority="927" stopIfTrue="1" operator="between">
      <formula>10</formula>
      <formula>10</formula>
    </cfRule>
    <cfRule type="containsBlanks" dxfId="191" priority="928" stopIfTrue="1">
      <formula>LEN(TRIM(N113))=0</formula>
    </cfRule>
  </conditionalFormatting>
  <conditionalFormatting sqref="N127"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90" priority="849" operator="between">
      <formula>6</formula>
      <formula>6.9</formula>
    </cfRule>
    <cfRule type="cellIs" dxfId="189" priority="850" operator="between">
      <formula>10.1</formula>
      <formula>10.6</formula>
    </cfRule>
    <cfRule type="cellIs" dxfId="188" priority="851" operator="between">
      <formula>7</formula>
      <formula>7.9</formula>
    </cfRule>
    <cfRule type="cellIs" dxfId="187" priority="852" stopIfTrue="1" operator="between">
      <formula>8</formula>
      <formula>8.9</formula>
    </cfRule>
    <cfRule type="cellIs" dxfId="186" priority="853" operator="between">
      <formula>9</formula>
      <formula>9.9</formula>
    </cfRule>
    <cfRule type="cellIs" dxfId="185" priority="854" stopIfTrue="1" operator="between">
      <formula>10</formula>
      <formula>10</formula>
    </cfRule>
    <cfRule type="containsBlanks" dxfId="184" priority="855" stopIfTrue="1">
      <formula>LEN(TRIM(N128))=0</formula>
    </cfRule>
    <cfRule type="cellIs" dxfId="183" priority="856" operator="between">
      <formula>10.1</formula>
      <formula>10.6</formula>
    </cfRule>
    <cfRule type="cellIs" dxfId="182" priority="857" operator="between">
      <formula>7</formula>
      <formula>7.9</formula>
    </cfRule>
    <cfRule type="cellIs" dxfId="181" priority="858" stopIfTrue="1" operator="between">
      <formula>8</formula>
      <formula>8.9</formula>
    </cfRule>
    <cfRule type="cellIs" dxfId="180" priority="859" operator="between">
      <formula>9</formula>
      <formula>9.9</formula>
    </cfRule>
    <cfRule type="cellIs" dxfId="179" priority="860" stopIfTrue="1" operator="between">
      <formula>10</formula>
      <formula>10</formula>
    </cfRule>
    <cfRule type="containsBlanks" dxfId="178" priority="861" stopIfTrue="1">
      <formula>LEN(TRIM(N128))=0</formula>
    </cfRule>
  </conditionalFormatting>
  <conditionalFormatting sqref="N137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77" priority="813" operator="between">
      <formula>6</formula>
      <formula>6.9</formula>
    </cfRule>
    <cfRule type="cellIs" dxfId="176" priority="814" operator="between">
      <formula>10.1</formula>
      <formula>10.6</formula>
    </cfRule>
    <cfRule type="cellIs" dxfId="175" priority="815" operator="between">
      <formula>7</formula>
      <formula>7.9</formula>
    </cfRule>
    <cfRule type="cellIs" dxfId="174" priority="816" stopIfTrue="1" operator="between">
      <formula>8</formula>
      <formula>8.9</formula>
    </cfRule>
    <cfRule type="cellIs" dxfId="173" priority="817" operator="between">
      <formula>9</formula>
      <formula>9.9</formula>
    </cfRule>
    <cfRule type="cellIs" dxfId="172" priority="818" stopIfTrue="1" operator="between">
      <formula>10</formula>
      <formula>10</formula>
    </cfRule>
    <cfRule type="containsBlanks" dxfId="171" priority="819" stopIfTrue="1">
      <formula>LEN(TRIM(N138))=0</formula>
    </cfRule>
  </conditionalFormatting>
  <conditionalFormatting sqref="N144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70" priority="804" operator="between">
      <formula>6</formula>
      <formula>6.9</formula>
    </cfRule>
    <cfRule type="cellIs" dxfId="169" priority="805" operator="between">
      <formula>10.1</formula>
      <formula>10.6</formula>
    </cfRule>
    <cfRule type="cellIs" dxfId="168" priority="806" operator="between">
      <formula>7</formula>
      <formula>7.9</formula>
    </cfRule>
    <cfRule type="cellIs" dxfId="167" priority="807" stopIfTrue="1" operator="between">
      <formula>8</formula>
      <formula>8.9</formula>
    </cfRule>
    <cfRule type="cellIs" dxfId="166" priority="808" operator="between">
      <formula>9</formula>
      <formula>9.9</formula>
    </cfRule>
    <cfRule type="cellIs" dxfId="165" priority="809" stopIfTrue="1" operator="between">
      <formula>10</formula>
      <formula>10</formula>
    </cfRule>
    <cfRule type="containsBlanks" dxfId="164" priority="810" stopIfTrue="1">
      <formula>LEN(TRIM(N145))=0</formula>
    </cfRule>
  </conditionalFormatting>
  <conditionalFormatting sqref="N152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63" priority="750" operator="between">
      <formula>6</formula>
      <formula>6.9</formula>
    </cfRule>
    <cfRule type="cellIs" dxfId="162" priority="751" operator="between">
      <formula>10.1</formula>
      <formula>10.6</formula>
    </cfRule>
    <cfRule type="cellIs" dxfId="161" priority="752" operator="between">
      <formula>7</formula>
      <formula>7.9</formula>
    </cfRule>
    <cfRule type="cellIs" dxfId="160" priority="753" stopIfTrue="1" operator="between">
      <formula>8</formula>
      <formula>8.9</formula>
    </cfRule>
    <cfRule type="cellIs" dxfId="159" priority="754" operator="between">
      <formula>9</formula>
      <formula>9.9</formula>
    </cfRule>
    <cfRule type="cellIs" dxfId="158" priority="755" stopIfTrue="1" operator="between">
      <formula>10</formula>
      <formula>10</formula>
    </cfRule>
    <cfRule type="containsBlanks" dxfId="157" priority="756" stopIfTrue="1">
      <formula>LEN(TRIM(N153))=0</formula>
    </cfRule>
  </conditionalFormatting>
  <conditionalFormatting sqref="N161"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56" priority="734" operator="between">
      <formula>6</formula>
      <formula>6.9</formula>
    </cfRule>
    <cfRule type="cellIs" dxfId="155" priority="735" operator="between">
      <formula>10.1</formula>
      <formula>10.6</formula>
    </cfRule>
    <cfRule type="cellIs" dxfId="154" priority="736" operator="between">
      <formula>7</formula>
      <formula>7.9</formula>
    </cfRule>
    <cfRule type="cellIs" dxfId="153" priority="737" stopIfTrue="1" operator="between">
      <formula>8</formula>
      <formula>8.9</formula>
    </cfRule>
    <cfRule type="cellIs" dxfId="152" priority="738" operator="between">
      <formula>9</formula>
      <formula>9.9</formula>
    </cfRule>
    <cfRule type="cellIs" dxfId="151" priority="739" stopIfTrue="1" operator="between">
      <formula>10</formula>
      <formula>10</formula>
    </cfRule>
    <cfRule type="containsBlanks" dxfId="150" priority="740" stopIfTrue="1">
      <formula>LEN(TRIM(N162))=0</formula>
    </cfRule>
  </conditionalFormatting>
  <conditionalFormatting sqref="N182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49" priority="625" operator="between">
      <formula>6</formula>
      <formula>6.9</formula>
    </cfRule>
    <cfRule type="cellIs" dxfId="148" priority="626" operator="between">
      <formula>10.1</formula>
      <formula>10.6</formula>
    </cfRule>
    <cfRule type="cellIs" dxfId="147" priority="627" operator="between">
      <formula>7</formula>
      <formula>7.9</formula>
    </cfRule>
    <cfRule type="cellIs" dxfId="146" priority="628" stopIfTrue="1" operator="between">
      <formula>8</formula>
      <formula>8.9</formula>
    </cfRule>
    <cfRule type="cellIs" dxfId="145" priority="629" operator="between">
      <formula>9</formula>
      <formula>9.9</formula>
    </cfRule>
    <cfRule type="cellIs" dxfId="144" priority="630" stopIfTrue="1" operator="between">
      <formula>10</formula>
      <formula>10</formula>
    </cfRule>
    <cfRule type="containsBlanks" dxfId="143" priority="631" stopIfTrue="1">
      <formula>LEN(TRIM(N186))=0</formula>
    </cfRule>
  </conditionalFormatting>
  <conditionalFormatting sqref="N211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42" priority="542" operator="between">
      <formula>6</formula>
      <formula>6.9</formula>
    </cfRule>
    <cfRule type="cellIs" dxfId="141" priority="543" operator="between">
      <formula>10.1</formula>
      <formula>11</formula>
    </cfRule>
    <cfRule type="cellIs" dxfId="140" priority="544" operator="between">
      <formula>7</formula>
      <formula>7.9</formula>
    </cfRule>
    <cfRule type="cellIs" dxfId="139" priority="545" stopIfTrue="1" operator="between">
      <formula>8</formula>
      <formula>8.9</formula>
    </cfRule>
    <cfRule type="cellIs" dxfId="138" priority="546" operator="between">
      <formula>9</formula>
      <formula>9.9</formula>
    </cfRule>
    <cfRule type="cellIs" dxfId="137" priority="547" stopIfTrue="1" operator="between">
      <formula>10</formula>
      <formula>10</formula>
    </cfRule>
    <cfRule type="containsBlanks" dxfId="136" priority="548" stopIfTrue="1">
      <formula>LEN(TRIM(N212))=0</formula>
    </cfRule>
  </conditionalFormatting>
  <conditionalFormatting sqref="N228"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35" priority="488" operator="between">
      <formula>6</formula>
      <formula>6.9</formula>
    </cfRule>
    <cfRule type="cellIs" dxfId="134" priority="489" operator="between">
      <formula>10.1</formula>
      <formula>11</formula>
    </cfRule>
    <cfRule type="cellIs" dxfId="133" priority="490" operator="between">
      <formula>7</formula>
      <formula>7.9</formula>
    </cfRule>
    <cfRule type="cellIs" dxfId="132" priority="491" stopIfTrue="1" operator="between">
      <formula>8</formula>
      <formula>8.9</formula>
    </cfRule>
    <cfRule type="cellIs" dxfId="131" priority="492" operator="between">
      <formula>9</formula>
      <formula>9.9</formula>
    </cfRule>
    <cfRule type="cellIs" dxfId="130" priority="493" stopIfTrue="1" operator="between">
      <formula>10</formula>
      <formula>10</formula>
    </cfRule>
    <cfRule type="containsBlanks" dxfId="129" priority="494" stopIfTrue="1">
      <formula>LEN(TRIM(N229))=0</formula>
    </cfRule>
  </conditionalFormatting>
  <conditionalFormatting sqref="N240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28" priority="434" operator="between">
      <formula>6</formula>
      <formula>6.9</formula>
    </cfRule>
    <cfRule type="cellIs" dxfId="127" priority="435" operator="between">
      <formula>10.1</formula>
      <formula>10.6</formula>
    </cfRule>
    <cfRule type="cellIs" dxfId="126" priority="436" operator="between">
      <formula>7</formula>
      <formula>7.9</formula>
    </cfRule>
    <cfRule type="cellIs" dxfId="125" priority="437" stopIfTrue="1" operator="between">
      <formula>8</formula>
      <formula>8.9</formula>
    </cfRule>
    <cfRule type="cellIs" dxfId="124" priority="438" operator="between">
      <formula>9</formula>
      <formula>9.9</formula>
    </cfRule>
    <cfRule type="cellIs" dxfId="123" priority="439" stopIfTrue="1" operator="between">
      <formula>10</formula>
      <formula>10</formula>
    </cfRule>
    <cfRule type="containsBlanks" dxfId="122" priority="440" stopIfTrue="1">
      <formula>LEN(TRIM(N241))=0</formula>
    </cfRule>
  </conditionalFormatting>
  <conditionalFormatting sqref="N249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21" priority="407" operator="between">
      <formula>6</formula>
      <formula>6.9</formula>
    </cfRule>
    <cfRule type="cellIs" dxfId="120" priority="408" operator="between">
      <formula>10.1</formula>
      <formula>10.6</formula>
    </cfRule>
    <cfRule type="cellIs" dxfId="119" priority="409" operator="between">
      <formula>7</formula>
      <formula>7.9</formula>
    </cfRule>
    <cfRule type="cellIs" dxfId="118" priority="410" stopIfTrue="1" operator="between">
      <formula>8</formula>
      <formula>8.9</formula>
    </cfRule>
    <cfRule type="cellIs" dxfId="117" priority="411" operator="between">
      <formula>9</formula>
      <formula>9.9</formula>
    </cfRule>
    <cfRule type="cellIs" dxfId="116" priority="412" stopIfTrue="1" operator="between">
      <formula>10</formula>
      <formula>10</formula>
    </cfRule>
    <cfRule type="containsBlanks" dxfId="115" priority="413" stopIfTrue="1">
      <formula>LEN(TRIM(N250))=0</formula>
    </cfRule>
  </conditionalFormatting>
  <conditionalFormatting sqref="N277">
    <cfRule type="colorScale" priority="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14" priority="297" operator="between">
      <formula>6</formula>
      <formula>6.9</formula>
    </cfRule>
    <cfRule type="cellIs" dxfId="113" priority="298" operator="between">
      <formula>10.1</formula>
      <formula>10.6</formula>
    </cfRule>
    <cfRule type="cellIs" dxfId="112" priority="299" operator="between">
      <formula>7</formula>
      <formula>7.9</formula>
    </cfRule>
    <cfRule type="cellIs" dxfId="111" priority="300" stopIfTrue="1" operator="between">
      <formula>8</formula>
      <formula>8.9</formula>
    </cfRule>
    <cfRule type="cellIs" dxfId="110" priority="301" operator="between">
      <formula>9</formula>
      <formula>9.9</formula>
    </cfRule>
    <cfRule type="cellIs" dxfId="109" priority="302" stopIfTrue="1" operator="between">
      <formula>10</formula>
      <formula>10</formula>
    </cfRule>
    <cfRule type="containsBlanks" dxfId="108" priority="303" stopIfTrue="1">
      <formula>LEN(TRIM(N278))=0</formula>
    </cfRule>
  </conditionalFormatting>
  <conditionalFormatting sqref="N284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07" priority="279" operator="between">
      <formula>6</formula>
      <formula>6.9</formula>
    </cfRule>
    <cfRule type="cellIs" dxfId="106" priority="280" operator="between">
      <formula>10.1</formula>
      <formula>10.6</formula>
    </cfRule>
    <cfRule type="cellIs" dxfId="105" priority="281" operator="between">
      <formula>7</formula>
      <formula>7.9</formula>
    </cfRule>
    <cfRule type="cellIs" dxfId="104" priority="282" stopIfTrue="1" operator="between">
      <formula>8</formula>
      <formula>8.9</formula>
    </cfRule>
    <cfRule type="cellIs" dxfId="103" priority="283" operator="between">
      <formula>9</formula>
      <formula>9.9</formula>
    </cfRule>
    <cfRule type="cellIs" dxfId="102" priority="284" stopIfTrue="1" operator="between">
      <formula>10</formula>
      <formula>10</formula>
    </cfRule>
    <cfRule type="containsBlanks" dxfId="101" priority="285" stopIfTrue="1">
      <formula>LEN(TRIM(N285))=0</formula>
    </cfRule>
  </conditionalFormatting>
  <conditionalFormatting sqref="N297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00" priority="217" stopIfTrue="1">
      <formula>LEN(TRIM(N298))=0</formula>
    </cfRule>
    <cfRule type="cellIs" dxfId="99" priority="218" operator="lessThan">
      <formula>2</formula>
    </cfRule>
    <cfRule type="cellIs" dxfId="98" priority="219" operator="between">
      <formula>2</formula>
      <formula>4.9</formula>
    </cfRule>
    <cfRule type="cellIs" dxfId="97" priority="220" operator="between">
      <formula>5</formula>
      <formula>6.9</formula>
    </cfRule>
    <cfRule type="cellIs" dxfId="96" priority="221" operator="between">
      <formula>10.1</formula>
      <formula>10.6</formula>
    </cfRule>
    <cfRule type="cellIs" dxfId="95" priority="222" operator="between">
      <formula>7</formula>
      <formula>7.9</formula>
    </cfRule>
    <cfRule type="cellIs" dxfId="94" priority="223" stopIfTrue="1" operator="between">
      <formula>8</formula>
      <formula>8.9</formula>
    </cfRule>
    <cfRule type="cellIs" dxfId="93" priority="224" operator="between">
      <formula>9</formula>
      <formula>9.9</formula>
    </cfRule>
    <cfRule type="cellIs" dxfId="92" priority="225" stopIfTrue="1" operator="between">
      <formula>10</formula>
      <formula>10</formula>
    </cfRule>
  </conditionalFormatting>
  <conditionalFormatting sqref="N306">
    <cfRule type="colorScale" priority="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91" priority="186" stopIfTrue="1">
      <formula>LEN(TRIM(N307))=0</formula>
    </cfRule>
    <cfRule type="cellIs" dxfId="90" priority="187" operator="lessThan">
      <formula>2</formula>
    </cfRule>
    <cfRule type="cellIs" dxfId="89" priority="188" operator="between">
      <formula>2</formula>
      <formula>4.9</formula>
    </cfRule>
    <cfRule type="cellIs" dxfId="88" priority="189" operator="between">
      <formula>5</formula>
      <formula>6.9</formula>
    </cfRule>
    <cfRule type="cellIs" dxfId="87" priority="190" operator="between">
      <formula>10.1</formula>
      <formula>10.6</formula>
    </cfRule>
    <cfRule type="cellIs" dxfId="86" priority="191" operator="between">
      <formula>7</formula>
      <formula>7.9</formula>
    </cfRule>
    <cfRule type="cellIs" dxfId="85" priority="192" stopIfTrue="1" operator="between">
      <formula>8</formula>
      <formula>8.9</formula>
    </cfRule>
    <cfRule type="cellIs" dxfId="84" priority="193" operator="between">
      <formula>9</formula>
      <formula>9.9</formula>
    </cfRule>
    <cfRule type="cellIs" dxfId="83" priority="194" stopIfTrue="1" operator="between">
      <formula>10</formula>
      <formula>10</formula>
    </cfRule>
  </conditionalFormatting>
  <conditionalFormatting sqref="N318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82" priority="122" stopIfTrue="1">
      <formula>LEN(TRIM(N319))=0</formula>
    </cfRule>
    <cfRule type="cellIs" dxfId="81" priority="123" operator="lessThan">
      <formula>2</formula>
    </cfRule>
    <cfRule type="cellIs" dxfId="80" priority="124" operator="between">
      <formula>2</formula>
      <formula>4.9</formula>
    </cfRule>
    <cfRule type="cellIs" dxfId="79" priority="125" operator="between">
      <formula>5</formula>
      <formula>6.9</formula>
    </cfRule>
    <cfRule type="cellIs" dxfId="78" priority="126" operator="between">
      <formula>10.1</formula>
      <formula>10.6</formula>
    </cfRule>
    <cfRule type="cellIs" dxfId="77" priority="127" operator="between">
      <formula>7</formula>
      <formula>7.9</formula>
    </cfRule>
    <cfRule type="cellIs" dxfId="76" priority="128" stopIfTrue="1" operator="between">
      <formula>8</formula>
      <formula>8.9</formula>
    </cfRule>
    <cfRule type="cellIs" dxfId="75" priority="129" operator="between">
      <formula>9</formula>
      <formula>9.9</formula>
    </cfRule>
    <cfRule type="cellIs" dxfId="74" priority="130" stopIfTrue="1" operator="between">
      <formula>10</formula>
      <formula>10</formula>
    </cfRule>
  </conditionalFormatting>
  <conditionalFormatting sqref="N328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73" priority="78" stopIfTrue="1">
      <formula>LEN(TRIM(N329))=0</formula>
    </cfRule>
    <cfRule type="cellIs" dxfId="72" priority="79" operator="lessThan">
      <formula>2</formula>
    </cfRule>
    <cfRule type="cellIs" dxfId="71" priority="80" operator="between">
      <formula>2</formula>
      <formula>4.9</formula>
    </cfRule>
    <cfRule type="cellIs" dxfId="70" priority="81" operator="between">
      <formula>5</formula>
      <formula>6.9</formula>
    </cfRule>
    <cfRule type="cellIs" dxfId="69" priority="82" operator="between">
      <formula>10.1</formula>
      <formula>10.6</formula>
    </cfRule>
    <cfRule type="cellIs" dxfId="68" priority="83" operator="between">
      <formula>7</formula>
      <formula>7.9</formula>
    </cfRule>
    <cfRule type="cellIs" dxfId="67" priority="84" stopIfTrue="1" operator="between">
      <formula>8</formula>
      <formula>8.9</formula>
    </cfRule>
    <cfRule type="cellIs" dxfId="66" priority="85" operator="between">
      <formula>9</formula>
      <formula>9.9</formula>
    </cfRule>
    <cfRule type="cellIs" dxfId="65" priority="86" stopIfTrue="1" operator="between">
      <formula>10</formula>
      <formula>10</formula>
    </cfRule>
  </conditionalFormatting>
  <conditionalFormatting sqref="N338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64" priority="56" stopIfTrue="1">
      <formula>LEN(TRIM(N339))=0</formula>
    </cfRule>
    <cfRule type="cellIs" dxfId="63" priority="57" operator="lessThan">
      <formula>2</formula>
    </cfRule>
    <cfRule type="cellIs" dxfId="62" priority="58" operator="between">
      <formula>2</formula>
      <formula>4.9</formula>
    </cfRule>
    <cfRule type="cellIs" dxfId="61" priority="59" operator="between">
      <formula>5</formula>
      <formula>6.9</formula>
    </cfRule>
    <cfRule type="cellIs" dxfId="60" priority="60" operator="between">
      <formula>10.1</formula>
      <formula>10.6</formula>
    </cfRule>
    <cfRule type="cellIs" dxfId="59" priority="61" operator="between">
      <formula>7</formula>
      <formula>7.9</formula>
    </cfRule>
    <cfRule type="cellIs" dxfId="58" priority="62" stopIfTrue="1" operator="between">
      <formula>8</formula>
      <formula>8.9</formula>
    </cfRule>
    <cfRule type="cellIs" dxfId="57" priority="63" operator="between">
      <formula>9</formula>
      <formula>9.9</formula>
    </cfRule>
    <cfRule type="cellIs" dxfId="56" priority="64" stopIfTrue="1" operator="between">
      <formula>10</formula>
      <formula>10</formula>
    </cfRule>
  </conditionalFormatting>
  <conditionalFormatting sqref="AM3:AM9">
    <cfRule type="cellIs" dxfId="55" priority="1298" operator="between">
      <formula>7</formula>
      <formula>7.9</formula>
    </cfRule>
    <cfRule type="cellIs" dxfId="54" priority="1299" operator="between">
      <formula>8</formula>
      <formula>8.9</formula>
    </cfRule>
    <cfRule type="cellIs" dxfId="53" priority="1300" operator="between">
      <formula>9</formula>
      <formula>9.9</formula>
    </cfRule>
    <cfRule type="cellIs" dxfId="52" priority="1301" operator="between">
      <formula>10</formula>
      <formula>10</formula>
    </cfRule>
  </conditionalFormatting>
  <conditionalFormatting sqref="H354:H363">
    <cfRule type="containsBlanks" dxfId="51" priority="14" stopIfTrue="1">
      <formula>LEN(TRIM(H354))=0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H35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42" priority="3" stopIfTrue="1">
      <formula>LEN(TRIM(N356))=0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N35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2026-04-15T11:27:10Z</dcterms:modified>
</cp:coreProperties>
</file>