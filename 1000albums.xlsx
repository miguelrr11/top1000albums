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EDFDC6D5-BB29-42CC-B63C-298DE03A008B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0" i="4" l="1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<sst xmlns="http://schemas.openxmlformats.org/spreadsheetml/2006/main" count="3152" uniqueCount="2441">
  <si>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</si>
  <si>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</si>
  <si>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</si>
  <si>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</si>
  <si>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</si>
  <si>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</si>
  <si>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</si>
  <si>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</si>
  <si>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</si>
  <si>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</si>
  <si>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</si>
  <si>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</si>
  <si>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</si>
  <si>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</si>
  <si>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</si>
  <si>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</si>
  <si>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</si>
  <si>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</si>
  <si>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</si>
  <si>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</si>
  <si>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</si>
  <si>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</si>
  <si>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</si>
  <si>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</si>
  <si>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</si>
  <si>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</si>
  <si>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</si>
  <si>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</si>
  <si>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</si>
  <si>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</si>
  <si>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</si>
  <si>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</si>
  <si>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</si>
  <si>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</si>
  <si>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</si>
  <si>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</si>
  <si>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</si>
  <si>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</si>
  <si>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</si>
  <si>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</si>
  <si>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</si>
  <si>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</si>
  <si>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</si>
  <si>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</si>
  <si>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</si>
  <si>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</si>
  <si>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</si>
  <si>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</si>
  <si>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</si>
  <si>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</si>
  <si>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</si>
  <si>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</si>
  <si>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</si>
  <si>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</si>
  <si>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</si>
  <si>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</si>
  <si>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</si>
  <si>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</si>
  <si>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</si>
  <si>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</si>
  <si>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</si>
  <si>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</si>
  <si>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</si>
  <si>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</si>
  <si>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</si>
  <si>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</si>
  <si>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</si>
  <si>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</si>
  <si>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</si>
  <si>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</si>
  <si>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</si>
  <si>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</si>
  <si>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</si>
  <si>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</si>
  <si>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</si>
  <si>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</si>
  <si>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</si>
  <si>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</si>
  <si>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</si>
  <si>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</si>
  <si>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</si>
  <si>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</si>
  <si>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</si>
  <si>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</si>
  <si>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</si>
  <si>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</si>
  <si>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</si>
  <si>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</si>
  <si>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</si>
  <si>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</si>
  <si>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</si>
  <si>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</si>
  <si>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</si>
  <si>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</si>
  <si>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</si>
  <si>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</si>
  <si>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</si>
  <si>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</si>
  <si>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</si>
  <si>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</si>
  <si>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</si>
  <si>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</si>
  <si>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</si>
  <si>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</si>
  <si>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</si>
  <si>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</si>
  <si>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</si>
  <si>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</si>
  <si>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</si>
  <si>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</si>
  <si>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</si>
  <si>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</si>
  <si>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</si>
  <si>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</si>
  <si>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</si>
  <si>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</si>
  <si>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</si>
  <si>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</si>
  <si>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</si>
  <si>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</si>
  <si>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</si>
  <si>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</si>
  <si>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</si>
  <si>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</si>
  <si>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</si>
  <si>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</si>
  <si>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</si>
  <si>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</si>
  <si>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</si>
  <si>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</si>
  <si>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</si>
  <si>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</si>
  <si>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</si>
  <si>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</si>
  <si>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</si>
  <si>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</si>
  <si>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</si>
  <si>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</si>
  <si>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</si>
  <si>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</si>
  <si>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</si>
  <si>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</si>
  <si>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</si>
  <si>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</si>
  <si>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</si>
  <si>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</si>
  <si>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</si>
  <si>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</si>
  <si>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</si>
  <si>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</si>
  <si>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</si>
  <si>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</si>
  <si>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</si>
  <si>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</si>
  <si>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</si>
  <si>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</si>
  <si>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</si>
  <si>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</si>
  <si>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</si>
  <si>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</si>
  <si>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</si>
  <si>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</si>
  <si>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</si>
  <si>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</si>
  <si>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</si>
  <si>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</si>
  <si>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</si>
  <si>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</si>
  <si>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</si>
  <si>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</si>
  <si>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</si>
  <si>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</si>
  <si>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</si>
  <si>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</si>
  <si>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</si>
  <si>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</si>
  <si>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</si>
  <si>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</si>
  <si>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</si>
  <si>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</si>
  <si>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</si>
  <si>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</si>
  <si>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</si>
  <si>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</si>
  <si>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</si>
  <si>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</si>
  <si>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</si>
  <si>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</si>
  <si>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</si>
  <si>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</si>
  <si>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</si>
  <si>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</si>
  <si>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</si>
  <si>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</si>
  <si>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</si>
  <si>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</si>
  <si>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</si>
  <si>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</si>
  <si>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</si>
  <si>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</si>
  <si>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</si>
  <si>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</si>
  <si>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</si>
  <si>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</si>
  <si>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</si>
  <si>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</si>
  <si>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</si>
  <si>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</si>
  <si>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</si>
  <si>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</si>
  <si>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</si>
  <si>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</si>
  <si>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</si>
  <si>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</si>
  <si>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</si>
  <si>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</si>
  <si>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</si>
  <si>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</si>
  <si>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</si>
  <si>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</si>
  <si>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</si>
  <si>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</si>
  <si>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</si>
  <si>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</si>
  <si>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</si>
  <si>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</si>
  <si>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</si>
  <si>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</si>
  <si>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</si>
  <si>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</si>
  <si>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</si>
  <si>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</si>
  <si>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</si>
  <si>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</si>
  <si>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</si>
  <si>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</si>
  <si>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</si>
  <si>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</si>
  <si>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</si>
  <si>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</si>
  <si>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</si>
  <si>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</si>
  <si>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</si>
  <si>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</si>
  <si>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</si>
  <si>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</si>
  <si>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</si>
  <si>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</si>
  <si>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</si>
  <si>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</si>
  <si>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</si>
  <si>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</si>
  <si>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</si>
  <si>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</si>
  <si>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</si>
  <si>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</si>
  <si>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</si>
  <si>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</si>
  <si>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</si>
  <si>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</si>
  <si>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</si>
  <si>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</si>
  <si>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</si>
  <si>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</si>
  <si>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</si>
  <si>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</si>
  <si>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</si>
  <si>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</si>
  <si>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</si>
  <si>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</si>
  <si>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</si>
  <si>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</si>
  <si>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</si>
  <si>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</si>
  <si>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</si>
  <si>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</si>
  <si>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</si>
  <si>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</si>
  <si>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</si>
  <si>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</si>
  <si>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</si>
  <si>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</si>
  <si>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</si>
  <si>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</si>
  <si>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</si>
  <si>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</si>
  <si>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</si>
  <si>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</si>
  <si>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</si>
  <si>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</si>
  <si>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</si>
  <si>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</si>
  <si>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</si>
  <si>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</si>
  <si>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</si>
  <si>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</si>
  <si>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</si>
  <si>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</si>
  <si>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</si>
  <si>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</si>
  <si>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</si>
  <si>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</si>
  <si>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</si>
  <si>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</si>
  <si>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</si>
  <si>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</si>
  <si>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</si>
  <si>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</si>
  <si>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</si>
  <si>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</si>
  <si>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</si>
  <si>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</si>
  <si>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</si>
  <si>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</si>
  <si>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</si>
  <si>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</si>
  <si>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</si>
  <si>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</si>
  <si>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</si>
  <si>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</si>
  <si>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</si>
  <si>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</si>
  <si>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</si>
  <si>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</si>
  <si>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</si>
  <si>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</si>
  <si>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</si>
  <si>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</si>
  <si>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</si>
  <si>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</si>
  <si>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</si>
  <si>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</si>
  <si>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</si>
  <si>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</si>
  <si>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</si>
  <si>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</si>
  <si>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</si>
  <si>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</si>
  <si>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</si>
  <si>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</si>
  <si>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</si>
  <si>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</si>
  <si>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</si>
  <si>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</si>
  <si>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</si>
  <si>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</si>
  <si>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</si>
  <si>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</si>
  <si>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</si>
  <si>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</si>
  <si>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</si>
  <si>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</si>
  <si>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</si>
  <si>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</si>
  <si>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</si>
  <si>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</si>
  <si>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</si>
  <si>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</si>
  <si>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</si>
  <si>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</si>
  <si>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</si>
  <si>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</si>
  <si>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</si>
  <si>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</si>
  <si>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</si>
  <si>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</si>
  <si>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</si>
  <si>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</si>
  <si>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</si>
  <si>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</si>
  <si>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</si>
  <si>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</si>
  <si>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</si>
  <si>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</si>
  <si>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</si>
  <si>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</si>
  <si>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</si>
  <si>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</si>
  <si>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</si>
  <si>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</si>
  <si>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</si>
  <si>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</si>
  <si>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</si>
  <si>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</si>
  <si>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</si>
  <si>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</si>
  <si>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</si>
  <si>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</si>
  <si>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</si>
  <si>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</si>
  <si>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</si>
  <si>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</si>
  <si>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</si>
  <si>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</si>
  <si>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</si>
  <si>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</si>
  <si>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</si>
  <si>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</si>
  <si>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</si>
  <si>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</si>
  <si>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</si>
  <si>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</si>
  <si>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</si>
  <si>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</si>
  <si>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</si>
  <si>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</si>
  <si>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</si>
  <si>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</si>
  <si>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</si>
  <si>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</si>
  <si>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</si>
  <si>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</si>
  <si>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</si>
  <si>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</si>
  <si>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</si>
  <si>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</si>
  <si>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</si>
  <si>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</si>
  <si>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</si>
  <si>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</si>
  <si>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</si>
  <si>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</si>
  <si>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</si>
  <si>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</si>
  <si>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</si>
  <si>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</si>
  <si>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</si>
  <si>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</si>
  <si>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</si>
  <si>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</si>
  <si>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</si>
  <si>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</si>
  <si>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</si>
  <si>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</si>
  <si>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</si>
  <si>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</si>
  <si>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</si>
  <si>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</si>
  <si>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</si>
  <si>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</si>
  <si>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</si>
  <si>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</si>
  <si>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</si>
  <si>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</si>
  <si>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</si>
  <si>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</si>
  <si>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</si>
  <si>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</si>
  <si>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</si>
  <si>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</si>
  <si>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</si>
  <si>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</si>
  <si>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</si>
  <si>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</si>
  <si>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</si>
  <si>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</si>
  <si>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</si>
  <si>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</si>
  <si>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</si>
  <si>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</si>
  <si>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</si>
  <si>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</si>
  <si>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</si>
  <si>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</si>
  <si>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</si>
  <si>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</si>
  <si>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</si>
  <si>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</si>
  <si>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</si>
  <si>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</si>
  <si>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</si>
  <si>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</si>
  <si>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</si>
  <si>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</si>
  <si>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</si>
  <si>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</si>
  <si>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</si>
  <si>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</si>
  <si>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</si>
  <si>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</si>
  <si>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</si>
  <si>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</si>
  <si>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</si>
  <si>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</si>
  <si>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</si>
  <si>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</si>
  <si>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</si>
  <si>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</si>
  <si>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</si>
  <si>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</si>
  <si>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</si>
  <si>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</si>
  <si>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</si>
  <si>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</si>
  <si>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</si>
  <si>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</si>
  <si>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</si>
  <si>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</si>
  <si>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</si>
  <si>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</si>
  <si>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</si>
  <si>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</si>
  <si>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</si>
  <si>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</si>
  <si>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</si>
  <si>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</si>
  <si>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</si>
  <si>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</si>
  <si>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</si>
  <si>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</si>
  <si>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</si>
  <si>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</si>
  <si>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</si>
  <si>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</si>
  <si>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</si>
  <si>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</si>
  <si>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</si>
  <si>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</si>
  <si>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</si>
  <si>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</si>
  <si>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</si>
  <si>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</si>
  <si>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</si>
  <si>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</si>
  <si>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</si>
  <si>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</si>
  <si>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</si>
  <si>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</si>
  <si>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</si>
  <si>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</si>
  <si>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</si>
  <si>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</si>
  <si>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</si>
  <si>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</si>
  <si>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</si>
  <si>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</si>
  <si>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</si>
  <si>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</si>
  <si>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</si>
  <si>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</si>
  <si>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</si>
  <si>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</si>
  <si>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</si>
  <si>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</si>
  <si>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</si>
  <si>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</si>
  <si>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</si>
  <si>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</si>
  <si>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</si>
  <si>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</si>
  <si>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</si>
  <si>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</si>
  <si>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</si>
  <si>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</si>
  <si>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</si>
  <si>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</si>
  <si>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</si>
  <si>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</si>
  <si>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</si>
  <si>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</si>
  <si>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</si>
  <si>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</si>
  <si>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</si>
  <si>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</si>
  <si>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</si>
  <si>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</si>
  <si>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</si>
  <si>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</si>
  <si>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</si>
  <si>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</si>
  <si>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</si>
  <si>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</si>
  <si>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</si>
  <si>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</si>
  <si>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</si>
  <si>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</si>
  <si>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</si>
  <si>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</si>
  <si>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</si>
  <si>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</si>
  <si>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</si>
  <si>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</si>
  <si>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</si>
  <si>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</si>
  <si>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</si>
  <si>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</si>
  <si>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</si>
  <si>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</si>
  <si>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</si>
  <si>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</si>
  <si>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</si>
  <si>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</si>
  <si>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</si>
  <si>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</si>
  <si>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</si>
  <si>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</si>
  <si>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</si>
  <si>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</si>
  <si>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</si>
  <si>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</si>
  <si>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</si>
  <si>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</si>
  <si>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</si>
  <si>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</si>
  <si>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</si>
  <si>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</si>
  <si>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</si>
  <si>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</si>
  <si>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</si>
  <si>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</si>
  <si>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</si>
  <si>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</si>
  <si>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</si>
  <si>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</si>
  <si>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</si>
  <si>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</si>
  <si>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</si>
  <si>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</si>
  <si>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</si>
  <si>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</si>
  <si>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</si>
  <si>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</si>
  <si>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</si>
  <si>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</si>
  <si>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</si>
  <si>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</si>
  <si>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</si>
  <si>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</si>
  <si>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</si>
  <si>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</si>
  <si>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</si>
  <si>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</si>
  <si>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</si>
  <si>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</si>
  <si>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</si>
  <si>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</si>
  <si>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</si>
  <si>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</si>
  <si>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</si>
  <si>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</si>
  <si>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</si>
  <si>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</si>
  <si>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</si>
  <si>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</si>
  <si>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</si>
  <si>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</si>
  <si>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</si>
  <si>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</si>
  <si>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</si>
  <si>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</si>
  <si>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</si>
  <si>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</si>
  <si>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</si>
  <si>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</si>
  <si>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</si>
  <si>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</si>
  <si>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</si>
  <si>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</si>
  <si>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</si>
  <si>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</si>
  <si>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</si>
  <si>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</si>
  <si>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</si>
  <si>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</si>
  <si>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</si>
  <si>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</si>
  <si>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</si>
  <si>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</si>
  <si>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</si>
  <si>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</si>
  <si>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</si>
  <si>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</si>
  <si>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</si>
  <si>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</si>
  <si>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</si>
  <si>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</si>
  <si>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</si>
  <si>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</si>
  <si>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</si>
  <si>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</si>
  <si>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</si>
  <si>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</si>
  <si>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</si>
  <si>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</si>
  <si>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</si>
  <si>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</si>
  <si>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</si>
  <si>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</si>
  <si>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</si>
  <si>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</si>
  <si>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</si>
  <si>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</si>
  <si>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</si>
  <si>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</si>
  <si>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</si>
  <si>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</si>
  <si>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</si>
  <si>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</si>
  <si>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</si>
  <si>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</si>
  <si>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</si>
  <si>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</si>
  <si>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</si>
  <si>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</si>
  <si>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</si>
  <si>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</si>
  <si>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</si>
  <si>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</si>
  <si>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</si>
  <si>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</si>
  <si>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</si>
  <si>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</si>
  <si>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</si>
  <si>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</si>
  <si>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</si>
  <si>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</si>
  <si>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</si>
  <si>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</si>
  <si>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</si>
  <si>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</si>
  <si>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</si>
  <si>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</si>
  <si>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</si>
  <si>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</si>
  <si>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</si>
  <si>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</si>
  <si>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</si>
  <si>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</si>
  <si>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</si>
  <si>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</si>
  <si>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</si>
  <si>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</si>
  <si>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</si>
  <si>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</si>
  <si>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</si>
  <si>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</si>
  <si>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</si>
  <si>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</si>
  <si>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</si>
  <si>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</si>
  <si>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</si>
  <si>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</si>
  <si>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</si>
  <si>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</si>
  <si>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</si>
  <si>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</si>
  <si>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</si>
  <si>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</si>
  <si>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</si>
  <si>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</si>
  <si>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</si>
  <si>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</si>
  <si>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</si>
  <si>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</si>
  <si>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</si>
  <si>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</si>
  <si>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</si>
  <si>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</si>
  <si>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</si>
  <si>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</si>
  <si>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</si>
  <si>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</si>
  <si>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</si>
  <si>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</si>
  <si>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</si>
  <si>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</si>
  <si>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</si>
  <si>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</si>
  <si>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</si>
  <si>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</si>
  <si>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</si>
  <si>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</si>
  <si>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</si>
  <si>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</si>
  <si>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</si>
  <si>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</si>
  <si>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</si>
  <si>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</si>
  <si>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</si>
  <si>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</si>
  <si>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</si>
  <si>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</si>
  <si>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</si>
  <si>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</si>
  <si>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</si>
  <si>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</si>
  <si>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</si>
  <si>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</si>
  <si>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</si>
  <si>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</si>
  <si>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</si>
  <si>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</si>
  <si>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</si>
  <si>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</si>
  <si>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</si>
  <si>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</si>
  <si>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</si>
  <si>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</si>
  <si>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</si>
  <si>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</si>
  <si>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</si>
  <si>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</si>
  <si>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</si>
  <si>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</si>
  <si>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</si>
  <si>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</si>
  <si>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</si>
  <si>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</si>
  <si>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</si>
  <si>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</si>
  <si>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</si>
  <si>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</si>
  <si>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</si>
  <si>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</si>
  <si>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</si>
  <si>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</si>
  <si>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</si>
  <si>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</si>
  <si>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</si>
  <si>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</si>
  <si>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</si>
  <si>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</si>
  <si>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</si>
  <si>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</si>
  <si>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</si>
  <si>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</si>
  <si>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</si>
  <si>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</si>
  <si>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</si>
  <si>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</si>
  <si>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</si>
  <si>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</si>
  <si>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</si>
  <si>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</si>
  <si>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</si>
  <si>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</si>
  <si>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</si>
  <si>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</si>
  <si>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</si>
  <si>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</si>
  <si>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</si>
  <si>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</si>
  <si>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</si>
  <si>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</si>
  <si>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</si>
  <si>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</si>
  <si>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</si>
  <si>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</si>
  <si>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</si>
  <si>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</si>
  <si>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</si>
  <si>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</si>
  <si>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</si>
  <si>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</si>
  <si>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</si>
  <si>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</si>
  <si>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</si>
  <si>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</si>
  <si>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</si>
  <si>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</si>
  <si>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</si>
  <si>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</si>
  <si>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</si>
  <si>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</si>
  <si>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</si>
  <si>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</si>
  <si>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</si>
  <si>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</si>
  <si>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</si>
  <si>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</si>
  <si>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</si>
  <si>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</si>
  <si>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</si>
  <si>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</si>
  <si>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</si>
  <si>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</si>
  <si>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</si>
  <si>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</si>
  <si>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</si>
  <si>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</si>
  <si>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</si>
  <si>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</si>
  <si>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</si>
  <si>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</si>
  <si>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</si>
  <si>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</si>
  <si>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</si>
  <si>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</si>
  <si>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</si>
  <si>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</si>
  <si>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</si>
  <si>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</si>
  <si>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</si>
  <si>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</si>
  <si>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</si>
  <si>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</si>
  <si>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</si>
  <si>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</si>
  <si>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</si>
  <si>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</si>
  <si>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</si>
  <si>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</si>
  <si>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</si>
  <si>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</si>
  <si>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</si>
  <si>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</si>
  <si>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</si>
  <si>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</si>
  <si>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</si>
  <si>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</si>
  <si>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</si>
  <si>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</si>
  <si>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</si>
  <si>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</si>
  <si>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</si>
  <si>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</si>
  <si>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</si>
  <si>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</si>
  <si>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</si>
  <si>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</si>
  <si>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</si>
  <si>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</si>
  <si>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</si>
  <si>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</si>
  <si>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</si>
  <si>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</si>
  <si>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</si>
  <si>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</si>
  <si>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</si>
  <si>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</si>
  <si>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</si>
  <si>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</si>
  <si>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</si>
  <si>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</si>
  <si>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</si>
  <si>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</si>
  <si>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</si>
  <si>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</si>
  <si>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</si>
  <si>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</si>
  <si>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</si>
  <si>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</si>
  <si>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</si>
  <si>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</si>
  <si>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</si>
  <si>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</si>
  <si>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</si>
  <si>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</si>
  <si>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</si>
  <si>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</si>
  <si>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</si>
  <si>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</si>
  <si>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</si>
  <si>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</si>
  <si>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</si>
  <si>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</si>
  <si>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</si>
  <si>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</si>
  <si>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</si>
  <si>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</si>
  <si>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</si>
  <si>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</si>
  <si>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</si>
  <si>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</si>
  <si>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</si>
  <si>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</si>
  <si>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</si>
  <si>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</si>
  <si>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</si>
  <si>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</si>
  <si>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</si>
  <si>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</si>
  <si>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</si>
  <si>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</si>
  <si>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</si>
  <si>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</si>
  <si>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</si>
  <si>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</si>
  <si>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</si>
  <si>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</si>
  <si>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</si>
  <si>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</si>
  <si>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</si>
  <si>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</si>
  <si>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</si>
  <si>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</si>
  <si>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</si>
  <si>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</si>
  <si>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</si>
  <si>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</si>
  <si>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</si>
  <si>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</si>
  <si>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</si>
  <si>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</si>
  <si>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</si>
  <si>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</si>
  <si>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</si>
  <si>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</si>
  <si>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</si>
  <si>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</si>
  <si>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</si>
  <si>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</si>
  <si>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</si>
  <si>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</si>
  <si>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</si>
  <si>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</si>
  <si>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</si>
  <si>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</si>
  <si>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</si>
  <si>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</si>
  <si>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</si>
  <si>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</si>
  <si>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</si>
  <si>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</si>
  <si>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</si>
  <si>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</si>
  <si>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</si>
  <si>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</si>
  <si>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</si>
  <si>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</si>
  <si>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</si>
  <si>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</si>
  <si>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</si>
  <si>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</si>
  <si>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</si>
  <si>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</si>
  <si>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</si>
  <si>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</si>
  <si>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</si>
  <si>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</si>
  <si>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</si>
  <si>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</si>
  <si>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</si>
  <si>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</si>
  <si>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</si>
  <si>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</si>
  <si>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</si>
  <si>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</si>
  <si>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</si>
  <si>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</si>
  <si>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</si>
  <si>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</si>
  <si>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</si>
  <si>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</si>
  <si>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</si>
  <si>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</si>
  <si>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</si>
  <si>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</si>
  <si>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</si>
  <si>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</si>
  <si>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</si>
  <si>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</si>
  <si>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</si>
  <si>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</si>
  <si>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</si>
  <si>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</si>
  <si>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</si>
  <si>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</si>
  <si>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</si>
  <si>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</si>
  <si>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</si>
  <si>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</si>
  <si>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</si>
  <si>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</si>
  <si>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</si>
  <si>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</si>
  <si>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</si>
  <si>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</si>
  <si>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</si>
  <si>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</si>
  <si>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</si>
  <si>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</si>
  <si>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</si>
  <si>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</si>
  <si>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</si>
  <si>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</si>
  <si>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</si>
  <si>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</si>
  <si>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</si>
  <si>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</si>
  <si>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</si>
  <si>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</si>
  <si>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</si>
  <si>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</si>
  <si>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</si>
  <si>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</si>
  <si>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</si>
  <si>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</si>
  <si>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</si>
  <si>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</si>
  <si>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</si>
  <si>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</si>
  <si>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</si>
  <si>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</si>
  <si>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</si>
  <si>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</si>
  <si>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</si>
  <si>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</si>
  <si>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</si>
  <si>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</si>
  <si>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</si>
  <si>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</si>
  <si>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</si>
  <si>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</si>
  <si>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</si>
  <si>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</si>
  <si>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</si>
  <si>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</si>
  <si>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</si>
  <si>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</si>
  <si>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</si>
  <si>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</si>
  <si>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</si>
  <si>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</si>
  <si>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</si>
  <si>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</si>
  <si>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</si>
  <si>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</si>
  <si>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</si>
  <si>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</si>
  <si>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</si>
  <si>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</si>
  <si>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</si>
  <si>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</si>
  <si>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</si>
  <si>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</si>
  <si>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</si>
  <si>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</si>
  <si>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</si>
  <si>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</si>
  <si>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</si>
  <si>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</si>
  <si>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</si>
  <si>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</si>
  <si>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</si>
  <si>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</si>
  <si>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</si>
  <si>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</si>
  <si>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</si>
  <si>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</si>
  <si>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</si>
  <si>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</si>
  <si>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</si>
  <si>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</si>
  <si>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</si>
  <si>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</si>
  <si>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</si>
  <si>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</si>
  <si>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</si>
  <si>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</si>
  <si>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</si>
  <si>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</si>
  <si>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</si>
  <si>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</si>
  <si>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</si>
  <si>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</si>
  <si>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</si>
  <si>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</si>
  <si>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</si>
  <si>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</si>
  <si>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</si>
  <si>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</si>
  <si>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</si>
  <si>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</si>
  <si>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</si>
  <si>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</si>
  <si>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</si>
  <si>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</si>
  <si>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</si>
  <si>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</si>
  <si>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</si>
  <si>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</si>
  <si>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</si>
  <si>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</si>
  <si>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</si>
  <si>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</si>
  <si>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</si>
  <si>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</si>
  <si>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</si>
  <si>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</si>
  <si>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</si>
  <si>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</si>
  <si>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</si>
  <si>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</si>
  <si>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</si>
  <si>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</si>
  <si>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</si>
  <si>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</si>
  <si>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</si>
  <si>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</si>
  <si>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</si>
  <si>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</si>
  <si>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</si>
  <si>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</si>
  <si>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</si>
  <si>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</si>
  <si>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</si>
  <si>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</si>
  <si>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</si>
  <si>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</si>
  <si>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</si>
  <si>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</si>
  <si>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</si>
  <si>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</si>
  <si>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</si>
  <si>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</si>
  <si>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</si>
  <si>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</si>
  <si>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</si>
  <si>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</si>
  <si>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</si>
  <si>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</si>
  <si>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</si>
  <si>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</si>
  <si>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</si>
  <si>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</si>
  <si>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</si>
  <si>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</si>
  <si>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</si>
  <si>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</si>
  <si>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</si>
  <si>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</si>
  <si>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</si>
  <si>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</si>
  <si>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</si>
  <si>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</si>
  <si>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</si>
  <si>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</si>
  <si>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</si>
  <si>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</si>
  <si>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</si>
  <si>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</si>
  <si>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</si>
  <si>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</si>
  <si>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</si>
  <si>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</si>
  <si>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</si>
  <si>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</si>
  <si>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</si>
  <si>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</si>
  <si>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</si>
  <si>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</si>
  <si>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</si>
  <si>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</si>
  <si>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</si>
  <si>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</si>
  <si>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</si>
  <si>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</si>
  <si>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</si>
  <si>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</si>
  <si>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</si>
  <si>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</si>
  <si>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</si>
  <si>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</si>
  <si>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</si>
  <si>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</si>
  <si>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</si>
  <si>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</si>
  <si>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</si>
  <si>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</si>
  <si>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</si>
  <si>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</si>
  <si>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</si>
  <si>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</si>
  <si>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</si>
  <si>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</si>
  <si>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</si>
  <si>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</si>
  <si>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</si>
  <si>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</si>
  <si>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</si>
  <si>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</si>
  <si>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</si>
  <si>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</si>
  <si>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</si>
  <si>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</si>
  <si>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</si>
  <si>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</si>
  <si>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</si>
  <si>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</si>
  <si>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</si>
  <si>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</si>
  <si>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</si>
  <si>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</si>
  <si>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</si>
  <si>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</si>
  <si>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</si>
  <si>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</si>
  <si>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</si>
  <si>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</si>
  <si>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</si>
  <si>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</si>
  <si>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</si>
  <si>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</si>
  <si>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</si>
  <si>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</si>
  <si>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</si>
  <si>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</si>
  <si>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</si>
  <si>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</si>
  <si>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</si>
  <si>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</si>
  <si>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</si>
  <si>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</si>
  <si>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</si>
  <si>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</si>
  <si>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</si>
  <si>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</si>
  <si>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</si>
  <si>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</si>
  <si>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</si>
  <si>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</si>
  <si>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</si>
  <si>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</si>
  <si>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</si>
  <si>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</si>
  <si>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</si>
  <si>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</si>
  <si>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</si>
  <si>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</si>
  <si>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</si>
  <si>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</si>
  <si>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</si>
  <si>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</si>
  <si>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</si>
  <si>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</si>
  <si>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</si>
  <si>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</si>
  <si>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</si>
  <si>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</si>
  <si>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</si>
  <si>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</si>
  <si>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</si>
  <si>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</si>
  <si>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</si>
  <si>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</si>
  <si>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</si>
  <si>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</si>
  <si>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</si>
  <si>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</si>
  <si>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</si>
  <si>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</si>
  <si>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</si>
  <si>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</si>
  <si>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</si>
  <si>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</si>
  <si>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</si>
  <si>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</si>
  <si>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</si>
  <si>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</si>
  <si>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</si>
  <si>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</si>
  <si>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</si>
  <si>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</si>
  <si>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</si>
  <si>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</si>
  <si>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</si>
  <si>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</si>
  <si>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</si>
  <si>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</si>
  <si>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</si>
  <si>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</si>
  <si>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</si>
  <si>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</si>
  <si>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</si>
  <si>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</si>
  <si>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</si>
  <si>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</si>
  <si>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</si>
  <si>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</si>
  <si>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</si>
  <si>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</si>
  <si>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</si>
  <si>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</si>
  <si>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</si>
  <si>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</si>
  <si>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</si>
  <si>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</si>
  <si>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</si>
  <si>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</si>
  <si>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</si>
  <si>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</si>
  <si>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</si>
  <si>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</si>
  <si>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</si>
  <si>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</si>
  <si>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</si>
  <si>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</si>
  <si>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</si>
  <si>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</si>
  <si>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</si>
  <si>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</si>
  <si>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</si>
  <si>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</si>
  <si>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</si>
  <si>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</si>
  <si>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</si>
  <si>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</si>
  <si>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</si>
  <si>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</si>
  <si>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</si>
  <si>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</si>
  <si>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</si>
  <si>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</si>
  <si>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</si>
  <si>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</si>
  <si>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</si>
  <si>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</si>
  <si>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</si>
  <si>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</si>
  <si>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</si>
  <si>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</si>
  <si>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</si>
  <si>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</si>
  <si>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</si>
  <si>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</si>
  <si>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</si>
  <si>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</si>
  <si>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</si>
  <si>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</si>
  <si>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</si>
  <si>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</si>
  <si>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</si>
  <si>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</si>
  <si>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</si>
  <si>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</si>
  <si>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</si>
  <si>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</si>
  <si>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</si>
  <si>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</si>
  <si>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</si>
  <si>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</si>
  <si>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</si>
  <si>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</si>
  <si>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</si>
  <si>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</si>
  <si>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</si>
  <si>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</si>
  <si>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</si>
  <si>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</si>
  <si>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</si>
  <si>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</si>
  <si>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</si>
  <si>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</si>
  <si>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</si>
  <si>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</si>
  <si>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</si>
  <si>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</si>
  <si>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</si>
  <si>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</si>
  <si>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</si>
  <si>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</si>
  <si>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</si>
  <si>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</si>
  <si>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</si>
  <si>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</si>
  <si>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</si>
  <si>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</si>
  <si>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</si>
  <si>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</si>
  <si>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</si>
  <si>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</si>
  <si>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</si>
  <si>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</si>
  <si>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</si>
  <si>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</si>
  <si>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</si>
  <si>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</si>
  <si>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</si>
  <si>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</si>
  <si>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</si>
  <si>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</si>
  <si>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</si>
  <si>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</si>
  <si>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</si>
  <si>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</si>
  <si>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</si>
  <si>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</si>
  <si>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</si>
  <si>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</si>
  <si>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</si>
  <si>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</si>
  <si>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</si>
  <si>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</si>
  <si>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</si>
  <si>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</si>
  <si>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</si>
  <si>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</si>
  <si>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</si>
  <si>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</si>
  <si>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</si>
  <si>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</si>
  <si>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</si>
  <si>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</si>
  <si>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</si>
  <si>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</si>
  <si>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</si>
  <si>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</si>
  <si>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</si>
  <si>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</si>
  <si>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</si>
  <si>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</si>
  <si>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</si>
  <si>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</si>
  <si>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</si>
  <si>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</si>
  <si>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</si>
  <si>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</si>
  <si>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</si>
  <si>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</si>
  <si>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</si>
  <si>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</si>
  <si>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</si>
  <si>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</si>
  <si>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</si>
  <si>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</si>
  <si>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</si>
  <si>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</si>
  <si>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</si>
  <si>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</si>
  <si>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</si>
  <si>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</si>
  <si>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</si>
  <si>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</si>
  <si>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</si>
  <si>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</si>
  <si>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</si>
  <si>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</si>
  <si>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</si>
  <si>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</si>
  <si>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</si>
  <si>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</si>
  <si>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</si>
  <si>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</si>
  <si>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</si>
  <si>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</si>
  <si>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</si>
  <si>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</si>
  <si>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</si>
  <si>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</si>
  <si>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</si>
  <si>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</si>
  <si>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</si>
  <si>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</si>
  <si>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</si>
  <si>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</si>
  <si>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</si>
  <si>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</si>
  <si>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</si>
  <si>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</si>
  <si>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</si>
  <si>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</si>
  <si>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</si>
  <si>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</si>
  <si>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</si>
  <si>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</si>
  <si>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</si>
  <si>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</si>
  <si>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</si>
  <si>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</si>
  <si>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</si>
  <si>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</si>
  <si>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</si>
  <si>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</si>
  <si>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</si>
  <si>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</si>
  <si>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</si>
  <si>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</si>
  <si>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</si>
  <si>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</si>
  <si>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</si>
  <si>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</si>
  <si>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</si>
  <si>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</si>
  <si>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</si>
  <si>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</si>
  <si>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</si>
  <si>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</si>
  <si>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</si>
  <si>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</si>
  <si>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</si>
  <si>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</si>
  <si>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</si>
  <si>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</si>
  <si>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</si>
  <si>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</si>
  <si>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</si>
  <si>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</si>
  <si>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</si>
  <si>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</si>
  <si>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</si>
  <si>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</si>
  <si>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</si>
  <si>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</si>
  <si>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</si>
  <si>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</si>
  <si>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</si>
  <si>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</si>
  <si>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</si>
  <si>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</si>
  <si>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</si>
  <si>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</si>
  <si>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</si>
  <si>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</si>
  <si>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</si>
  <si>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</si>
  <si>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</si>
  <si>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</si>
  <si>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</si>
  <si>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</si>
  <si>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</si>
  <si>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</si>
  <si>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</si>
  <si>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</si>
  <si>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</si>
  <si>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</si>
  <si>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</si>
  <si>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</si>
  <si>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</si>
  <si>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</si>
  <si>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</si>
  <si>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</si>
  <si>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</si>
  <si>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</si>
  <si>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</si>
  <si>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</si>
  <si>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</si>
  <si>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</si>
  <si>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</si>
  <si>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</si>
  <si>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</si>
  <si>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</si>
  <si>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</si>
  <si>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</si>
  <si>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</si>
  <si>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</si>
  <si>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</si>
  <si>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</si>
  <si>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</si>
  <si>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</si>
  <si>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</si>
  <si>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</si>
  <si>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</si>
  <si>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</si>
  <si>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</si>
  <si>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</si>
  <si>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</si>
  <si>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</si>
  <si>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</si>
  <si>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</si>
  <si>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</si>
  <si>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</si>
  <si>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</si>
  <si>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</si>
  <si>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</si>
  <si>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</si>
  <si>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</si>
  <si>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</si>
  <si>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</si>
  <si>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</si>
  <si>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</si>
  <si>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</si>
  <si>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</si>
  <si>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</si>
  <si>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</si>
  <si>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</si>
  <si>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</si>
  <si>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</si>
  <si>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</si>
  <si>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</si>
  <si>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</si>
  <si>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</si>
  <si>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</si>
  <si>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</si>
  <si>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</si>
  <si>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</si>
  <si>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</si>
  <si>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</si>
  <si>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</si>
  <si>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</si>
  <si>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</si>
  <si>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</si>
  <si>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</si>
  <si>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</si>
  <si>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</si>
  <si>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</si>
  <si>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</si>
  <si>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</si>
  <si>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</si>
  <si>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</si>
  <si>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</si>
  <si>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</si>
  <si>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</si>
  <si>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</si>
  <si>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</si>
  <si>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</si>
  <si>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</si>
  <si>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</si>
  <si>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</si>
  <si>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</si>
  <si>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</si>
  <si>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</si>
  <si>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</si>
  <si>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</si>
  <si>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</si>
  <si>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</si>
  <si>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</si>
  <si>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</si>
  <si>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</si>
  <si>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</si>
  <si>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</si>
  <si>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</si>
  <si>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</si>
  <si>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</si>
  <si>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</si>
  <si>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</si>
  <si>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</si>
  <si>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</si>
  <si>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</si>
  <si>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</si>
  <si>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</si>
  <si>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</si>
  <si>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</si>
  <si>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</si>
  <si>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</si>
  <si>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</si>
  <si>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</si>
  <si>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</si>
  <si>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</si>
  <si>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</si>
  <si>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</si>
  <si>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</si>
  <si>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</si>
  <si>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</si>
  <si>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</si>
  <si>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</si>
  <si>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</si>
  <si>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</si>
  <si>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</si>
  <si>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</si>
  <si>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</si>
  <si>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</si>
  <si>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</si>
  <si>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</si>
  <si>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</si>
  <si>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</si>
  <si>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</si>
  <si>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</si>
  <si>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</si>
  <si>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</si>
  <si>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</si>
  <si>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</si>
  <si>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</si>
  <si>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</si>
  <si>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</si>
  <si>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</si>
  <si>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</si>
  <si>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</si>
  <si>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</si>
  <si>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</si>
  <si>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</si>
  <si>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</si>
  <si>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</si>
  <si>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</si>
  <si>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</si>
  <si>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</si>
  <si>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</si>
  <si>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</si>
  <si>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</si>
  <si>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</si>
  <si>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</si>
  <si>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</si>
  <si>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</si>
  <si>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</si>
  <si>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</si>
  <si>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</si>
  <si>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</si>
  <si>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</si>
  <si>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</si>
  <si>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</si>
  <si>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</si>
  <si>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</si>
  <si>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</si>
  <si>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</si>
  <si>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</si>
  <si>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</si>
  <si>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</si>
  <si>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</si>
  <si>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</si>
  <si>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</si>
  <si>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</si>
  <si>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</si>
  <si>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</si>
  <si>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</si>
  <si>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</si>
  <si>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</si>
  <si>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</si>
  <si>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</si>
  <si>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</si>
  <si>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</si>
  <si>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</si>
  <si>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</si>
  <si>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</si>
  <si>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</si>
  <si>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</si>
  <si>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</si>
  <si>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</si>
  <si>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</si>
  <si>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</si>
  <si>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</si>
  <si>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</si>
  <si>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</si>
  <si>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</si>
  <si>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</si>
  <si>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</si>
  <si>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</si>
  <si>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</si>
  <si>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</si>
  <si>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</si>
  <si>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</si>
  <si>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</si>
  <si>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</si>
  <si>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</si>
  <si>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</si>
  <si>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</si>
  <si>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</si>
  <si>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</si>
  <si>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</si>
  <si>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</si>
  <si>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</si>
  <si>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</si>
  <si>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</si>
  <si>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</si>
  <si>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</si>
  <si>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</si>
  <si>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</si>
  <si>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</si>
  <si>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</si>
  <si>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</si>
  <si>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</si>
  <si>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</si>
  <si>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</si>
  <si>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</si>
  <si>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</si>
  <si>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</si>
  <si>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</si>
  <si>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</si>
  <si>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</si>
  <si>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</si>
  <si>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</si>
  <si>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</si>
  <si>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</si>
  <si>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</si>
  <si>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</si>
  <si>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</si>
  <si>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</si>
  <si>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</si>
  <si>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</si>
  <si>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</si>
  <si>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</si>
  <si>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</si>
  <si>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</si>
  <si>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</si>
  <si>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</si>
  <si>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</si>
  <si>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</si>
  <si>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</si>
  <si>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</si>
  <si>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</si>
  <si>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</si>
  <si>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</si>
  <si>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</si>
  <si>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</si>
  <si>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</si>
  <si>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</si>
  <si>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</si>
  <si>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</si>
  <si>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</si>
  <si>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</si>
  <si>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</si>
  <si>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</si>
  <si>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</si>
  <si>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</si>
  <si>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</si>
  <si>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</si>
  <si>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</si>
  <si>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</si>
  <si>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</si>
  <si>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</si>
  <si>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</si>
  <si>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</si>
  <si>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</si>
  <si>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</si>
  <si>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</si>
  <si>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</si>
  <si>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</si>
  <si>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</si>
  <si>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</si>
  <si>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</si>
  <si>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</si>
  <si>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</si>
  <si>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</si>
  <si>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</si>
  <si>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</si>
  <si>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</si>
  <si>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</si>
  <si>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</si>
  <si>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</si>
  <si>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</si>
  <si>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</si>
  <si>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</si>
  <si>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</si>
  <si>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</si>
  <si>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</si>
  <si>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</si>
  <si>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</si>
  <si>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</si>
  <si>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</si>
  <si>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</si>
  <si>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</si>
  <si>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</si>
  <si>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</si>
  <si>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</si>
  <si>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</si>
  <si>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</si>
  <si>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</si>
  <si>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</si>
  <si>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</si>
  <si>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</si>
  <si>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</si>
  <si>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</si>
  <si>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</si>
  <si>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</si>
  <si>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</si>
  <si>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</si>
  <si>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</si>
  <si>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</si>
  <si>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</si>
  <si>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</si>
  <si>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</si>
  <si>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</si>
  <si>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</si>
  <si>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</si>
  <si>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</si>
  <si>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</si>
  <si>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</si>
  <si>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</si>
  <si>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</si>
  <si>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</si>
  <si>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</si>
  <si>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</si>
  <si>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</si>
  <si>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</si>
  <si>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</si>
  <si>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</si>
  <si>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</si>
  <si>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</si>
  <si>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</si>
  <si>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</si>
  <si>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</si>
  <si>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</si>
  <si>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</si>
  <si>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</si>
  <si>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</si>
  <si>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</si>
  <si>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</si>
  <si>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</si>
  <si>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</si>
  <si>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</si>
  <si>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</si>
  <si>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</si>
  <si>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</si>
  <si>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</si>
  <si>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</si>
  <si>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</si>
  <si>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</si>
  <si>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</si>
  <si>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</si>
  <si>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</si>
  <si>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</si>
  <si>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</si>
  <si>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</si>
  <si>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</si>
  <si>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</si>
  <si>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</si>
  <si>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</si>
  <si>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</si>
  <si>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</si>
  <si>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</si>
  <si>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</si>
  <si>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</si>
  <si>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</si>
  <si>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</si>
  <si>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</si>
  <si>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</si>
  <si>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</si>
  <si>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</si>
  <si>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</si>
  <si>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</si>
  <si>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</si>
  <si>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</si>
  <si>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</si>
  <si>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</si>
  <si>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</si>
  <si>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</si>
  <si>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</si>
  <si>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</si>
  <si>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</si>
  <si>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</si>
  <si>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</si>
  <si>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</si>
  <si>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</si>
  <si>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</si>
  <si>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</si>
  <si>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</si>
  <si>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</si>
  <si>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</si>
  <si>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</si>
  <si>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</si>
  <si>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</si>
  <si>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</si>
  <si>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</si>
  <si>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</si>
  <si>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</si>
  <si>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</si>
  <si>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</si>
  <si>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</si>
  <si>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</si>
  <si>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</si>
  <si>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</si>
  <si>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</si>
  <si>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</si>
  <si>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</si>
  <si>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</si>
  <si>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</si>
  <si>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</si>
  <si>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</si>
  <si>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</si>
  <si>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</si>
  <si>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</si>
  <si>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</si>
  <si>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</si>
  <si>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</si>
  <si>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</si>
  <si>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</si>
  <si>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</si>
  <si>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</si>
  <si>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</si>
  <si>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</si>
  <si>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</si>
  <si>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</si>
  <si>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</si>
  <si>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</si>
  <si>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</si>
  <si>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</si>
  <si>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</si>
  <si>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</si>
  <si>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</si>
  <si>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</si>
  <si>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</si>
  <si>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</si>
  <si>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</si>
  <si>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</si>
  <si>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</si>
  <si>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</si>
  <si>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</si>
  <si>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</si>
  <si>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</si>
  <si>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</si>
  <si>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</si>
  <si>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</si>
  <si>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</si>
  <si>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</si>
  <si>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</si>
  <si>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</si>
  <si>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</si>
  <si>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</si>
  <si>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</si>
  <si>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</si>
  <si>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</si>
  <si>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</si>
  <si>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</si>
  <si>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</si>
  <si>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</si>
  <si>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</si>
  <si>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</si>
  <si>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</si>
  <si>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</si>
  <si>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</si>
  <si>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</si>
  <si>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</si>
  <si>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</si>
  <si>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</si>
  <si>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</si>
  <si>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</si>
  <si>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</si>
  <si>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</si>
  <si>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</si>
  <si>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</si>
  <si>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</si>
  <si>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</si>
  <si>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</si>
  <si>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</si>
  <si>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</si>
  <si>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</si>
  <si>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</si>
  <si>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</si>
  <si>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</si>
  <si>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</si>
  <si>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</si>
  <si>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</si>
  <si>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</si>
  <si>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</si>
  <si>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</si>
  <si>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</si>
  <si>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</si>
  <si>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</si>
  <si>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</si>
  <si>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</si>
  <si>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</si>
  <si>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</si>
  <si>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</si>
  <si>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</si>
  <si>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</si>
  <si>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</si>
  <si>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</si>
  <si>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</si>
  <si>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</si>
  <si>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</si>
  <si>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</si>
  <si>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</si>
  <si>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</si>
  <si>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</si>
  <si>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</si>
  <si>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</si>
  <si>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</si>
  <si>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</si>
  <si>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</si>
  <si>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</si>
  <si>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</si>
  <si>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</si>
  <si>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</si>
  <si>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</si>
  <si>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</si>
  <si>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</si>
  <si>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</si>
  <si>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</si>
  <si>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</si>
  <si>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</si>
  <si>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</si>
  <si>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</si>
  <si>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</si>
  <si>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</si>
  <si>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</si>
  <si>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</si>
  <si>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</si>
  <si>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</si>
  <si>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</si>
  <si>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</si>
  <si>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</si>
  <si>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</si>
  <si>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</si>
  <si>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</si>
  <si>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</si>
  <si>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</si>
  <si>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</si>
  <si>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</si>
  <si>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</si>
  <si>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</si>
  <si>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</si>
  <si>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</si>
  <si>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</si>
  <si>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</si>
  <si>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</si>
  <si>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</si>
  <si>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</si>
  <si>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</si>
  <si>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</si>
  <si>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</si>
  <si>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</si>
  <si>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</si>
  <si>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</si>
  <si>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</si>
  <si>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</si>
  <si>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</si>
  <si>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</si>
  <si>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</si>
  <si>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</si>
  <si>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</si>
  <si>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</si>
  <si>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</si>
  <si>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</si>
  <si>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</si>
  <si>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</si>
  <si>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</si>
  <si>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</si>
  <si>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</si>
  <si>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</si>
  <si>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</si>
  <si>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</si>
  <si>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</si>
  <si>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</si>
  <si>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</si>
  <si>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</si>
  <si>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</si>
  <si>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</si>
  <si>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</si>
  <si>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</si>
  <si>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</si>
  <si>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</si>
  <si>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</si>
  <si>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</si>
  <si>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</si>
  <si>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</si>
  <si>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</si>
  <si>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</si>
  <si>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</si>
  <si>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</si>
  <si>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</si>
  <si>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</si>
  <si>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</si>
  <si>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</si>
  <si>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</si>
  <si>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</si>
  <si>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</si>
  <si>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</si>
  <si>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</si>
  <si>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</si>
  <si>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</si>
  <si>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</si>
  <si>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</si>
  <si>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</si>
  <si>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</si>
  <si>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</si>
  <si>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</si>
  <si>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</si>
  <si>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</si>
  <si>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</si>
  <si>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</si>
  <si>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</si>
  <si>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</si>
  <si>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</si>
  <si>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</si>
  <si>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</si>
  <si>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</si>
  <si>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</si>
  <si>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</si>
  <si>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</si>
  <si>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</si>
  <si>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</si>
  <si>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</si>
  <si>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</si>
  <si>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</si>
  <si>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</si>
  <si>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</si>
  <si>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</si>
  <si>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</si>
  <si>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</si>
  <si>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</si>
  <si>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</si>
  <si>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</si>
  <si>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</si>
  <si>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</si>
  <si>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</si>
  <si>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</si>
  <si>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</si>
  <si>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</si>
  <si>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</si>
  <si>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</si>
  <si>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</si>
  <si>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</si>
  <si>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</si>
  <si>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</si>
  <si>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</si>
  <si>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</si>
  <si>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</si>
  <si>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</si>
  <si>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</si>
  <si>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</si>
  <si>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</si>
  <si>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</si>
  <si>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</si>
  <si>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</si>
  <si>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</si>
  <si>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</si>
  <si>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</si>
  <si>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</si>
  <si>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</si>
  <si>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</si>
  <si>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</si>
  <si>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</si>
  <si>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</si>
  <si>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</si>
  <si>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</si>
  <si>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</si>
  <si>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</si>
  <si>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</si>
  <si>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</si>
  <si>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</si>
  <si>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</si>
  <si>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</si>
  <si>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</si>
  <si>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</si>
  <si>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</si>
  <si>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</si>
  <si>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</si>
  <si>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</si>
  <si>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</si>
  <si>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</si>
  <si>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12 (8.69)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</si>
  <si>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</si>
  <si>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</si>
  <si>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</si>
  <si>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</si>
  <si>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</si>
  <si>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</si>
  <si>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</si>
  <si>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</si>
  <si>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</si>
  <si>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</si>
  <si>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</si>
  <si>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</si>
  <si>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</si>
  <si>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</si>
  <si>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</si>
  <si>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</si>
  <si>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</si>
  <si>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</si>
  <si>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</si>
  <si>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</si>
  <si>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</si>
  <si>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</si>
  <si>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</si>
  <si>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30 álbumes · media 8.67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</si>
  <si>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</si>
  <si>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</si>
  <si>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</si>
  <si>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</si>
  <si>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</si>
  <si>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</si>
  <si>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</si>
  <si>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</si>
  <si>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</si>
  <si>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</si>
  <si>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</si>
  <si>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</si>
  <si>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</si>
  <si>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</si>
  <si>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</si>
  <si>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</si>
  <si>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</si>
  <si>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</si>
  <si>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</si>
  <si>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</si>
  <si>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</si>
  <si>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</si>
  <si>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</si>
  <si>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</si>
  <si>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</si>
  <si>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</si>
  <si>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</si>
  <si>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</si>
  <si>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</si>
  <si>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</si>
  <si>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</si>
  <si>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</si>
  <si>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</si>
  <si>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</si>
  <si>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</si>
  <si>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</si>
  <si>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</si>
  <si>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</si>
  <si>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</si>
  <si>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</si>
  <si>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6 (8.64)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</si>
  <si>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</si>
  <si>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</si>
  <si>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</si>
  <si>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</si>
  <si>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</si>
  <si>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</si>
  <si>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</si>
  <si>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</si>
  <si>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</si>
  <si>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</si>
  <si>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</si>
  <si>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</si>
  <si>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</si>
  <si>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</si>
  <si>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</si>
  <si>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</si>
  <si>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</si>
  <si>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</si>
  <si>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</si>
  <si>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</si>
  <si>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</si>
  <si>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8   (0.54%)</t>
  </si>
  <si>
    <t>16/04/2026</t>
  </si>
  <si>
    <t>progressive metal (23)</t>
  </si>
  <si>
    <t>4 (8.79)</t>
  </si>
  <si>
    <t>23 (8.73)</t>
  </si>
  <si>
    <t>2000s (37)</t>
  </si>
  <si>
    <t>1960s (9.15)</t>
  </si>
  <si>
    <t>2 álbumes · media 9.15</t>
  </si>
  <si>
    <t>37 álbumes · media 8.69</t>
  </si>
  <si>
    <t>r=0.023 · ≈ nula</t>
  </si>
  <si>
    <t>Duración   (r=0.023)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</si>
  <si>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</si>
  <si>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</si>
  <si>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</si>
  <si>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</si>
  <si>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</si>
  <si>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</si>
  <si>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</si>
  <si>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</si>
  <si>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</si>
  <si>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</si>
  <si>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</si>
  <si>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</si>
  <si>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8 (×328)</t>
  </si>
  <si>
    <t>-0.75 ← sesgo alto</t>
  </si>
  <si>
    <t>24   (1.61%)</t>
  </si>
  <si>
    <t>204   (13.72%)</t>
  </si>
  <si>
    <t>353  (23.74%)</t>
  </si>
  <si>
    <t>r=0.595      · ↑ moderada</t>
  </si>
  <si>
    <t>Notas ≥10 (r=0.595)</t>
  </si>
  <si>
    <t>post rock, post metal</t>
  </si>
  <si>
    <t>17/04/2026</t>
  </si>
  <si>
    <t>4.03 ← colas pesadas</t>
  </si>
  <si>
    <t>639   (42.97%)</t>
  </si>
  <si>
    <t>259(17.42%)</t>
  </si>
  <si>
    <t>142 de 142</t>
  </si>
  <si>
    <t>5 (8.97)</t>
  </si>
  <si>
    <t>6 (8.78)</t>
  </si>
  <si>
    <t>22 álbumes · media 8.61</t>
  </si>
  <si>
    <t>27 álbumes · media 8.3</t>
  </si>
  <si>
    <t>r=-0.154   · ≈ nula</t>
  </si>
  <si>
    <t>r=0.155 · ≈ nula</t>
  </si>
  <si>
    <t>r=0.15 · ≈ nula</t>
  </si>
  <si>
    <t>r=-0.16         · ≈ nula</t>
  </si>
  <si>
    <t>r=-0.271 · ↓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</si>
</sst>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3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</fonts>
  <fills count="21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7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26" fillId="185" borderId="0" xfId="0" applyFont="1" applyFill="1" applyAlignment="1">
      <alignment horizontal="center"/>
    </xf>
    <xf numFmtId="0" fontId="199" fillId="186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01" fillId="190" borderId="1" xfId="0" applyFont="1" applyFill="1" applyBorder="1" applyAlignment="1">
      <alignment vertical="center"/>
    </xf>
    <xf numFmtId="0" fontId="26" fillId="191" borderId="0" xfId="0" applyFont="1" applyFill="1" applyAlignment="1">
      <alignment horizontal="center"/>
    </xf>
    <xf numFmtId="0" fontId="204" fillId="192" borderId="1" xfId="0" applyFont="1" applyFill="1" applyBorder="1" applyAlignment="1">
      <alignment vertical="center"/>
    </xf>
    <xf numFmtId="0" fontId="26" fillId="193" borderId="0" xfId="0" applyFont="1" applyFill="1" applyAlignment="1">
      <alignment horizontal="center"/>
    </xf>
    <xf numFmtId="0" fontId="146" fillId="194" borderId="1" xfId="0" applyFont="1" applyFill="1" applyBorder="1" applyAlignment="1">
      <alignment vertical="center"/>
    </xf>
    <xf numFmtId="0" fontId="206" fillId="195" borderId="1" xfId="0" applyFont="1" applyFill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9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8" borderId="1" xfId="0" applyFont="1" applyFill="1" applyBorder="1" applyAlignment="1">
      <alignment vertical="center"/>
    </xf>
    <xf numFmtId="0" fontId="214" fillId="200" borderId="1" xfId="0" applyFont="1" applyFill="1" applyBorder="1" applyAlignment="1">
      <alignment vertical="center"/>
    </xf>
    <xf numFmtId="0" fontId="62" fillId="201" borderId="1" xfId="0" applyFont="1" applyFill="1" applyBorder="1" applyAlignment="1">
      <alignment vertical="center"/>
    </xf>
    <xf numFmtId="0" fontId="73" fillId="202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3" borderId="4" xfId="0" applyFont="1" applyFill="1" applyBorder="1" applyAlignment="1">
      <alignment vertical="center"/>
    </xf>
    <xf numFmtId="0" fontId="218" fillId="204" borderId="1" xfId="0" applyFont="1" applyFill="1" applyBorder="1" applyAlignment="1">
      <alignment vertic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6" fillId="208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9" borderId="1" xfId="0" applyFont="1" applyFill="1" applyBorder="1" applyAlignment="1">
      <alignment vertical="center"/>
    </xf>
    <xf numFmtId="0" fontId="224" fillId="210" borderId="1" xfId="0" applyFont="1" applyFill="1" applyBorder="1" applyAlignment="1">
      <alignment vertical="center"/>
    </xf>
    <xf numFmtId="0" fontId="26" fillId="211" borderId="0" xfId="0" applyFont="1" applyFill="1" applyAlignment="1">
      <alignment horizontal="center"/>
    </xf>
    <xf numFmtId="0" fontId="226" fillId="212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3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</cellXfs>
  <cellStyles count="1">
    <cellStyle name="Normal" xfId="0" builtinId="0"/>
  </cellStyles>
  <dxfs count="1013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D0CAC2"/>
      <color rgb="FF423B32"/>
      <color rgb="FF8DF735"/>
      <color rgb="FF002E00"/>
      <color rgb="FFCFA213"/>
      <color rgb="FFA27C02"/>
      <color rgb="FF533F01"/>
      <color rgb="FFFFFFF3"/>
      <color rgb="FF61D59E"/>
      <color rgb="FF0F3F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777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Q1" zoomScale="90" zoomScaleNormal="90" workbookViewId="0">
      <pane ySplit="1" topLeftCell="A66" activePane="bottomLeft" state="frozen"/>
      <selection pane="bottomLeft" activeCell="T82" sqref="T82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16" t="s">
        <v>1351</v>
      </c>
      <c r="S1" s="316"/>
      <c r="T1" s="316"/>
      <c r="U1" s="316"/>
      <c r="V1" s="316"/>
      <c r="W1" s="316"/>
      <c r="X1" s="316"/>
      <c r="Y1" s="316"/>
      <c r="Z1" s="316"/>
      <c r="AA1" s="316"/>
      <c r="AB1" s="316"/>
      <c r="AC1" s="316"/>
      <c r="AD1" s="316"/>
      <c r="AE1" s="316"/>
      <c r="AH1" s="316" t="s">
        <v>1043</v>
      </c>
      <c r="AI1" s="316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2052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1981</v>
      </c>
      <c r="AD2" s="48" t="s">
        <v>1982</v>
      </c>
      <c r="AE2" s="48" t="s">
        <v>2167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1933</v>
      </c>
      <c r="AE3" s="296" t="s">
        <v>2227</v>
      </c>
      <c r="AH3" s="65" t="s">
        <v>1045</v>
      </c>
      <c r="AI3" s="131">
        <v>142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1934</v>
      </c>
      <c r="AE4" s="297" t="s">
        <v>2238</v>
      </c>
      <c r="AH4" s="49" t="s">
        <v>1046</v>
      </c>
      <c r="AI4" s="132">
        <v>91</v>
      </c>
      <c r="AK4" s="40"/>
      <c r="AL4" s="39">
        <v>10</v>
      </c>
      <c r="AM4" s="1" t="s">
        <v>1806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1935</v>
      </c>
      <c r="AE5" s="296" t="s">
        <v>2206</v>
      </c>
      <c r="AH5" s="65" t="s">
        <v>1047</v>
      </c>
      <c r="AI5" s="131">
        <v>1554</v>
      </c>
      <c r="AK5" s="44"/>
      <c r="AL5" s="39" t="s">
        <v>242</v>
      </c>
      <c r="AM5" s="1" t="s">
        <v>1807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1936</v>
      </c>
      <c r="AE6" s="297" t="s">
        <v>2189</v>
      </c>
      <c r="AH6" s="49" t="s">
        <v>1048</v>
      </c>
      <c r="AI6" s="132">
        <v>1487</v>
      </c>
      <c r="AK6" s="43"/>
      <c r="AL6" s="39" t="s">
        <v>243</v>
      </c>
      <c r="AM6" s="1" t="s">
        <v>1808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1812</v>
      </c>
      <c r="AC7" s="66">
        <v>2026</v>
      </c>
      <c r="AD7" s="66" t="s">
        <v>1933</v>
      </c>
      <c r="AE7" s="296" t="s">
        <v>2223</v>
      </c>
      <c r="AH7" s="65" t="s">
        <v>333</v>
      </c>
      <c r="AI7" s="131">
        <v>67</v>
      </c>
      <c r="AK7" s="41"/>
      <c r="AL7" s="39" t="s">
        <v>244</v>
      </c>
      <c r="AM7" s="1" t="s">
        <v>1809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1936</v>
      </c>
      <c r="AE8" s="297" t="s">
        <v>2236</v>
      </c>
      <c r="AH8" s="49" t="s">
        <v>1049</v>
      </c>
      <c r="AI8" s="132">
        <v>10.94</v>
      </c>
      <c r="AK8" s="47"/>
      <c r="AL8" s="39" t="s">
        <v>322</v>
      </c>
      <c r="AM8" s="1" t="s">
        <v>1810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1937</v>
      </c>
      <c r="AE9" s="296" t="s">
        <v>2203</v>
      </c>
      <c r="AH9" s="65" t="s">
        <v>1050</v>
      </c>
      <c r="AI9" s="161">
        <v>4.3099999999999999E-2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1938</v>
      </c>
      <c r="AE10" s="297" t="s">
        <v>2220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1939</v>
      </c>
      <c r="AE11" s="296" t="s">
        <v>2220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1940</v>
      </c>
      <c r="AE12" s="297" t="s">
        <v>2202</v>
      </c>
      <c r="AH12" s="49" t="s">
        <v>1052</v>
      </c>
      <c r="AI12" s="132">
        <v>8.6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1941</v>
      </c>
      <c r="AE13" s="296" t="s">
        <v>2217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1936</v>
      </c>
      <c r="AE14" s="297" t="s">
        <v>2235</v>
      </c>
      <c r="AH14" s="49" t="s">
        <v>1054</v>
      </c>
      <c r="AI14" s="132" t="s">
        <v>2419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1942</v>
      </c>
      <c r="AE15" s="296" t="s">
        <v>2236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2075</v>
      </c>
      <c r="T16" s="67" t="s">
        <v>2068</v>
      </c>
      <c r="U16" s="67">
        <v>9.31</v>
      </c>
      <c r="V16" s="289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2077</v>
      </c>
      <c r="AC16" s="67">
        <v>1970</v>
      </c>
      <c r="AD16" s="67" t="s">
        <v>1941</v>
      </c>
      <c r="AE16" s="297" t="s">
        <v>2174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1943</v>
      </c>
      <c r="AE17" s="296" t="s">
        <v>2236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1944</v>
      </c>
      <c r="AE18" s="297" t="s">
        <v>2231</v>
      </c>
      <c r="AH18" s="49" t="s">
        <v>1057</v>
      </c>
      <c r="AI18" s="133">
        <v>0.1208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1945</v>
      </c>
      <c r="AE19" s="296" t="s">
        <v>2207</v>
      </c>
      <c r="AH19" s="65" t="s">
        <v>1058</v>
      </c>
      <c r="AI19" s="131" t="s">
        <v>1826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1946</v>
      </c>
      <c r="AE20" s="297" t="s">
        <v>2236</v>
      </c>
      <c r="AH20" s="49" t="s">
        <v>1059</v>
      </c>
      <c r="AI20" s="132" t="s">
        <v>1862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1934</v>
      </c>
      <c r="AE21" s="296" t="s">
        <v>2237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1936</v>
      </c>
      <c r="AE22" s="297" t="s">
        <v>2237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1947</v>
      </c>
      <c r="AE23" s="296" t="s">
        <v>2229</v>
      </c>
      <c r="AH23" s="65" t="s">
        <v>1061</v>
      </c>
      <c r="AI23" s="131" t="s">
        <v>2420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1944</v>
      </c>
      <c r="AE24" s="297" t="s">
        <v>2221</v>
      </c>
      <c r="AH24" s="49" t="s">
        <v>1062</v>
      </c>
      <c r="AI24" s="132" t="s">
        <v>2428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1933</v>
      </c>
      <c r="AE25" s="296" t="s">
        <v>2213</v>
      </c>
      <c r="AK25" t="s">
        <v>1811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1948</v>
      </c>
      <c r="AE26" s="297" t="s">
        <v>2237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1949</v>
      </c>
      <c r="AE27" s="296" t="s">
        <v>2235</v>
      </c>
      <c r="AH27" s="65" t="s">
        <v>1064</v>
      </c>
      <c r="AI27" s="131" t="s">
        <v>2396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1896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1950</v>
      </c>
      <c r="AE28" s="297" t="s">
        <v>2205</v>
      </c>
      <c r="AH28" s="49" t="s">
        <v>1065</v>
      </c>
      <c r="AI28" s="132" t="s">
        <v>2421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1951</v>
      </c>
      <c r="AE29" s="296" t="s">
        <v>2224</v>
      </c>
      <c r="AH29" s="65" t="s">
        <v>1066</v>
      </c>
      <c r="AI29" s="131" t="s">
        <v>2422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1952</v>
      </c>
      <c r="AE30" s="297" t="s">
        <v>2209</v>
      </c>
      <c r="AH30" s="49" t="s">
        <v>1067</v>
      </c>
      <c r="AI30" s="132" t="s">
        <v>2429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335</v>
      </c>
      <c r="T31" s="66" t="s">
        <v>442</v>
      </c>
      <c r="U31" s="66">
        <v>8.9600000000000009</v>
      </c>
      <c r="V31" s="150">
        <v>9.01</v>
      </c>
      <c r="W31" s="66">
        <v>8.75</v>
      </c>
      <c r="X31" s="66">
        <v>0.83</v>
      </c>
      <c r="Y31" s="66">
        <v>3</v>
      </c>
      <c r="Z31" s="66">
        <v>12</v>
      </c>
      <c r="AA31" s="66">
        <v>0</v>
      </c>
      <c r="AB31" s="49" t="s">
        <v>785</v>
      </c>
      <c r="AC31" s="66">
        <v>1995</v>
      </c>
      <c r="AD31" s="66" t="s">
        <v>1953</v>
      </c>
      <c r="AE31" s="296" t="s">
        <v>2230</v>
      </c>
      <c r="AH31" s="65" t="s">
        <v>1068</v>
      </c>
      <c r="AI31" s="131" t="s">
        <v>2423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1573</v>
      </c>
      <c r="T32" s="67" t="s">
        <v>1574</v>
      </c>
      <c r="U32" s="67">
        <v>8.67</v>
      </c>
      <c r="V32" s="211">
        <v>9</v>
      </c>
      <c r="W32" s="67">
        <v>8.5</v>
      </c>
      <c r="X32" s="67">
        <v>0.98</v>
      </c>
      <c r="Y32" s="67">
        <v>5</v>
      </c>
      <c r="Z32" s="67">
        <v>26</v>
      </c>
      <c r="AA32" s="67">
        <v>0</v>
      </c>
      <c r="AB32" s="65" t="s">
        <v>1575</v>
      </c>
      <c r="AC32" s="67">
        <v>2017</v>
      </c>
      <c r="AD32" s="67" t="s">
        <v>1942</v>
      </c>
      <c r="AE32" s="297" t="s">
        <v>2190</v>
      </c>
      <c r="AH32" s="49" t="s">
        <v>1069</v>
      </c>
      <c r="AI32" s="132" t="s">
        <v>2430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340</v>
      </c>
      <c r="T33" s="66" t="s">
        <v>1840</v>
      </c>
      <c r="U33" s="66">
        <v>8.92</v>
      </c>
      <c r="V33" s="270">
        <v>8.9700000000000006</v>
      </c>
      <c r="W33" s="66">
        <v>8.75</v>
      </c>
      <c r="X33" s="66">
        <v>0.79</v>
      </c>
      <c r="Y33" s="66">
        <v>1</v>
      </c>
      <c r="Z33" s="66">
        <v>6</v>
      </c>
      <c r="AA33" s="66">
        <v>0</v>
      </c>
      <c r="AB33" s="49" t="s">
        <v>1088</v>
      </c>
      <c r="AC33" s="66">
        <v>1971</v>
      </c>
      <c r="AD33" s="66" t="s">
        <v>1954</v>
      </c>
      <c r="AE33" s="296" t="s">
        <v>2179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353</v>
      </c>
      <c r="T34" s="67" t="s">
        <v>1640</v>
      </c>
      <c r="U34" s="67">
        <v>8.94</v>
      </c>
      <c r="V34" s="212">
        <v>8.9499999999999993</v>
      </c>
      <c r="W34" s="67">
        <v>8.5</v>
      </c>
      <c r="X34" s="67">
        <v>0.76</v>
      </c>
      <c r="Y34" s="67">
        <v>2</v>
      </c>
      <c r="Z34" s="67">
        <v>10</v>
      </c>
      <c r="AA34" s="67">
        <v>1</v>
      </c>
      <c r="AB34" s="65" t="s">
        <v>1657</v>
      </c>
      <c r="AC34" s="67">
        <v>2000</v>
      </c>
      <c r="AD34" s="67" t="s">
        <v>1941</v>
      </c>
      <c r="AE34" s="297" t="s">
        <v>2188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354</v>
      </c>
      <c r="T35" s="66" t="s">
        <v>1876</v>
      </c>
      <c r="U35" s="66">
        <v>8.9600000000000009</v>
      </c>
      <c r="V35" s="274">
        <v>8.93</v>
      </c>
      <c r="W35" s="66">
        <v>9</v>
      </c>
      <c r="X35" s="66">
        <v>0.59</v>
      </c>
      <c r="Y35" s="66">
        <v>2</v>
      </c>
      <c r="Z35" s="66">
        <v>12</v>
      </c>
      <c r="AA35" s="66">
        <v>0</v>
      </c>
      <c r="AB35" s="49" t="s">
        <v>1877</v>
      </c>
      <c r="AC35" s="66">
        <v>2003</v>
      </c>
      <c r="AD35" s="66" t="s">
        <v>1955</v>
      </c>
      <c r="AE35" s="296" t="s">
        <v>2177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1352</v>
      </c>
      <c r="T36" s="67" t="s">
        <v>1343</v>
      </c>
      <c r="U36" s="67">
        <v>8.9499999999999993</v>
      </c>
      <c r="V36" s="282">
        <v>8.91</v>
      </c>
      <c r="W36" s="67">
        <v>9</v>
      </c>
      <c r="X36" s="67">
        <v>0.54</v>
      </c>
      <c r="Y36" s="67">
        <v>1</v>
      </c>
      <c r="Z36" s="67">
        <v>11</v>
      </c>
      <c r="AA36" s="67">
        <v>0</v>
      </c>
      <c r="AB36" s="65" t="s">
        <v>1356</v>
      </c>
      <c r="AC36" s="67">
        <v>2025</v>
      </c>
      <c r="AD36" s="67" t="s">
        <v>1959</v>
      </c>
      <c r="AE36" s="297" t="s">
        <v>2200</v>
      </c>
      <c r="AH36" s="49" t="s">
        <v>1073</v>
      </c>
      <c r="AI36" s="132" t="s">
        <v>1827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1192</v>
      </c>
      <c r="T37" s="66" t="s">
        <v>2131</v>
      </c>
      <c r="U37" s="66">
        <v>8.7200000000000006</v>
      </c>
      <c r="V37" s="282">
        <v>8.91</v>
      </c>
      <c r="W37" s="66">
        <v>8.5</v>
      </c>
      <c r="X37" s="66">
        <v>0.85</v>
      </c>
      <c r="Y37" s="66">
        <v>5</v>
      </c>
      <c r="Z37" s="66">
        <v>30</v>
      </c>
      <c r="AA37" s="66">
        <v>1</v>
      </c>
      <c r="AB37" s="49" t="s">
        <v>1575</v>
      </c>
      <c r="AC37" s="66">
        <v>2013</v>
      </c>
      <c r="AD37" s="66" t="s">
        <v>2134</v>
      </c>
      <c r="AE37" s="296" t="s">
        <v>2172</v>
      </c>
      <c r="AH37" s="65" t="s">
        <v>1074</v>
      </c>
      <c r="AI37" s="131" t="s">
        <v>2040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1572</v>
      </c>
      <c r="U38" s="67">
        <v>8.7200000000000006</v>
      </c>
      <c r="V38" s="50">
        <v>8.89</v>
      </c>
      <c r="W38" s="67">
        <v>8.5</v>
      </c>
      <c r="X38" s="67">
        <v>1.03</v>
      </c>
      <c r="Y38" s="67">
        <v>5</v>
      </c>
      <c r="Z38" s="67">
        <v>24</v>
      </c>
      <c r="AA38" s="67">
        <v>1</v>
      </c>
      <c r="AB38" s="65" t="s">
        <v>1575</v>
      </c>
      <c r="AC38" s="67">
        <v>2011</v>
      </c>
      <c r="AD38" s="67" t="s">
        <v>1956</v>
      </c>
      <c r="AE38" s="297" t="s">
        <v>2204</v>
      </c>
      <c r="AH38" s="49" t="s">
        <v>1075</v>
      </c>
      <c r="AI38" s="132" t="s">
        <v>1828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728</v>
      </c>
      <c r="T39" s="66" t="s">
        <v>1447</v>
      </c>
      <c r="U39" s="66">
        <v>8.8800000000000008</v>
      </c>
      <c r="V39" s="50">
        <v>8.89</v>
      </c>
      <c r="W39" s="66">
        <v>8.5</v>
      </c>
      <c r="X39" s="66">
        <v>0.74</v>
      </c>
      <c r="Y39" s="66">
        <v>2</v>
      </c>
      <c r="Z39" s="66">
        <v>15</v>
      </c>
      <c r="AA39" s="66">
        <v>2</v>
      </c>
      <c r="AB39" s="49" t="s">
        <v>1448</v>
      </c>
      <c r="AC39" s="66">
        <v>2005</v>
      </c>
      <c r="AD39" s="66" t="s">
        <v>1947</v>
      </c>
      <c r="AE39" s="296" t="s">
        <v>2196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1392</v>
      </c>
      <c r="T40" s="67" t="s">
        <v>1393</v>
      </c>
      <c r="U40" s="67">
        <v>8.82</v>
      </c>
      <c r="V40" s="213">
        <v>8.8800000000000008</v>
      </c>
      <c r="W40" s="67">
        <v>8.75</v>
      </c>
      <c r="X40" s="67">
        <v>0.92</v>
      </c>
      <c r="Y40" s="67">
        <v>3</v>
      </c>
      <c r="Z40" s="67">
        <v>16</v>
      </c>
      <c r="AA40" s="67">
        <v>2</v>
      </c>
      <c r="AB40" s="65" t="s">
        <v>1394</v>
      </c>
      <c r="AC40" s="67">
        <v>2015</v>
      </c>
      <c r="AD40" s="67" t="s">
        <v>1957</v>
      </c>
      <c r="AE40" s="297" t="s">
        <v>2198</v>
      </c>
      <c r="AH40" s="130" t="s">
        <v>1076</v>
      </c>
      <c r="AI40" s="130"/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1510</v>
      </c>
      <c r="T41" s="66" t="s">
        <v>1511</v>
      </c>
      <c r="U41" s="66">
        <v>8.93</v>
      </c>
      <c r="V41" s="213">
        <v>8.8800000000000008</v>
      </c>
      <c r="W41" s="66">
        <v>9</v>
      </c>
      <c r="X41" s="66">
        <v>0.73</v>
      </c>
      <c r="Y41" s="66">
        <v>1</v>
      </c>
      <c r="Z41" s="66">
        <v>7</v>
      </c>
      <c r="AA41" s="66">
        <v>0</v>
      </c>
      <c r="AB41" s="49" t="s">
        <v>1514</v>
      </c>
      <c r="AC41" s="66">
        <v>2000</v>
      </c>
      <c r="AD41" s="66" t="s">
        <v>1953</v>
      </c>
      <c r="AE41" s="296" t="s">
        <v>2192</v>
      </c>
      <c r="AH41" s="65" t="s">
        <v>1077</v>
      </c>
      <c r="AI41" s="131" t="s">
        <v>2431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1614</v>
      </c>
      <c r="T42" s="67" t="s">
        <v>1615</v>
      </c>
      <c r="U42" s="67">
        <v>8.9</v>
      </c>
      <c r="V42" s="213">
        <v>8.8800000000000008</v>
      </c>
      <c r="W42" s="67">
        <v>9</v>
      </c>
      <c r="X42" s="67">
        <v>0.66</v>
      </c>
      <c r="Y42" s="67">
        <v>1</v>
      </c>
      <c r="Z42" s="67">
        <v>5</v>
      </c>
      <c r="AA42" s="67">
        <v>0</v>
      </c>
      <c r="AB42" s="65" t="s">
        <v>1616</v>
      </c>
      <c r="AC42" s="67">
        <v>1974</v>
      </c>
      <c r="AD42" s="67" t="s">
        <v>1942</v>
      </c>
      <c r="AE42" s="297" t="s">
        <v>2189</v>
      </c>
      <c r="AH42" s="49" t="s">
        <v>1078</v>
      </c>
      <c r="AI42" s="132">
        <v>91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1767</v>
      </c>
      <c r="T43" s="66" t="s">
        <v>1768</v>
      </c>
      <c r="U43" s="66">
        <v>8.91</v>
      </c>
      <c r="V43" s="213">
        <v>8.8800000000000008</v>
      </c>
      <c r="W43" s="66">
        <v>9</v>
      </c>
      <c r="X43" s="66">
        <v>0.67</v>
      </c>
      <c r="Y43" s="66">
        <v>2</v>
      </c>
      <c r="Z43" s="66">
        <v>11</v>
      </c>
      <c r="AA43" s="66">
        <v>0</v>
      </c>
      <c r="AB43" s="49" t="s">
        <v>1107</v>
      </c>
      <c r="AC43" s="66">
        <v>1994</v>
      </c>
      <c r="AD43" s="66" t="s">
        <v>1958</v>
      </c>
      <c r="AE43" s="296" t="s">
        <v>2181</v>
      </c>
      <c r="AH43" s="65" t="s">
        <v>1079</v>
      </c>
      <c r="AI43" s="131" t="s">
        <v>2398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347</v>
      </c>
      <c r="T44" s="67" t="s">
        <v>348</v>
      </c>
      <c r="U44" s="67">
        <v>8.89</v>
      </c>
      <c r="V44" s="214">
        <v>8.8699999999999992</v>
      </c>
      <c r="W44" s="67">
        <v>9</v>
      </c>
      <c r="X44" s="67">
        <v>0.7</v>
      </c>
      <c r="Y44" s="67">
        <v>2</v>
      </c>
      <c r="Z44" s="67">
        <v>9</v>
      </c>
      <c r="AA44" s="67">
        <v>0</v>
      </c>
      <c r="AB44" s="65" t="s">
        <v>770</v>
      </c>
      <c r="AC44" s="67">
        <v>2020</v>
      </c>
      <c r="AD44" s="67" t="s">
        <v>1959</v>
      </c>
      <c r="AE44" s="297" t="s">
        <v>2237</v>
      </c>
      <c r="AH44" s="49" t="s">
        <v>1080</v>
      </c>
      <c r="AI44" s="132" t="s">
        <v>2165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349</v>
      </c>
      <c r="T45" s="66" t="s">
        <v>349</v>
      </c>
      <c r="U45" s="66">
        <v>8.83</v>
      </c>
      <c r="V45" s="172">
        <v>8.86</v>
      </c>
      <c r="W45" s="66">
        <v>8.5</v>
      </c>
      <c r="X45" s="66">
        <v>0.82</v>
      </c>
      <c r="Y45" s="66">
        <v>2</v>
      </c>
      <c r="Z45" s="66">
        <v>9</v>
      </c>
      <c r="AA45" s="66">
        <v>0</v>
      </c>
      <c r="AB45" s="49" t="s">
        <v>1224</v>
      </c>
      <c r="AC45" s="66">
        <v>1978</v>
      </c>
      <c r="AD45" s="66" t="s">
        <v>1941</v>
      </c>
      <c r="AE45" s="296" t="s">
        <v>2203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353</v>
      </c>
      <c r="T46" s="67" t="s">
        <v>1004</v>
      </c>
      <c r="U46" s="67">
        <v>8.73</v>
      </c>
      <c r="V46" s="173">
        <v>8.85</v>
      </c>
      <c r="W46" s="67">
        <v>9</v>
      </c>
      <c r="X46" s="67">
        <v>0.96</v>
      </c>
      <c r="Y46" s="67">
        <v>2</v>
      </c>
      <c r="Z46" s="67">
        <v>11</v>
      </c>
      <c r="AA46" s="67">
        <v>0</v>
      </c>
      <c r="AB46" s="65" t="s">
        <v>1010</v>
      </c>
      <c r="AC46" s="67">
        <v>2002</v>
      </c>
      <c r="AD46" s="67" t="s">
        <v>1943</v>
      </c>
      <c r="AE46" s="297" t="s">
        <v>2208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349</v>
      </c>
      <c r="T47" s="66" t="s">
        <v>95</v>
      </c>
      <c r="U47" s="66">
        <v>8.83</v>
      </c>
      <c r="V47" s="215">
        <v>8.84</v>
      </c>
      <c r="W47" s="66">
        <v>8.5</v>
      </c>
      <c r="X47" s="66">
        <v>0.94</v>
      </c>
      <c r="Y47" s="66">
        <v>2</v>
      </c>
      <c r="Z47" s="66">
        <v>9</v>
      </c>
      <c r="AA47" s="66">
        <v>0</v>
      </c>
      <c r="AB47" s="49" t="s">
        <v>771</v>
      </c>
      <c r="AC47" s="66">
        <v>1985</v>
      </c>
      <c r="AD47" s="66" t="s">
        <v>1943</v>
      </c>
      <c r="AE47" s="296" t="s">
        <v>2237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1543</v>
      </c>
      <c r="T48" s="67" t="s">
        <v>1544</v>
      </c>
      <c r="U48" s="67">
        <v>8.82</v>
      </c>
      <c r="V48" s="215">
        <v>8.84</v>
      </c>
      <c r="W48" s="67">
        <v>8.5</v>
      </c>
      <c r="X48" s="67">
        <v>0.81</v>
      </c>
      <c r="Y48" s="67">
        <v>2</v>
      </c>
      <c r="Z48" s="67">
        <v>12</v>
      </c>
      <c r="AA48" s="67">
        <v>1</v>
      </c>
      <c r="AB48" s="65" t="s">
        <v>788</v>
      </c>
      <c r="AC48" s="67">
        <v>2005</v>
      </c>
      <c r="AD48" s="67" t="s">
        <v>1952</v>
      </c>
      <c r="AE48" s="297" t="s">
        <v>2191</v>
      </c>
      <c r="AH48" s="49" t="s">
        <v>1084</v>
      </c>
      <c r="AI48" s="132" t="s">
        <v>2166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1403</v>
      </c>
      <c r="T49" s="66" t="s">
        <v>1396</v>
      </c>
      <c r="U49" s="66">
        <v>8.86</v>
      </c>
      <c r="V49" s="215">
        <v>8.83</v>
      </c>
      <c r="W49" s="66">
        <v>9</v>
      </c>
      <c r="X49" s="66">
        <v>0.69</v>
      </c>
      <c r="Y49" s="66">
        <v>1</v>
      </c>
      <c r="Z49" s="66">
        <v>7</v>
      </c>
      <c r="AA49" s="66">
        <v>0</v>
      </c>
      <c r="AB49" s="49" t="s">
        <v>1405</v>
      </c>
      <c r="AC49" s="66">
        <v>1971</v>
      </c>
      <c r="AD49" s="66" t="s">
        <v>1960</v>
      </c>
      <c r="AE49" s="296" t="s">
        <v>2197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1718</v>
      </c>
      <c r="T50" s="67" t="s">
        <v>2159</v>
      </c>
      <c r="U50" s="67">
        <v>8.81</v>
      </c>
      <c r="V50" s="215">
        <v>8.83</v>
      </c>
      <c r="W50" s="67">
        <v>8.5</v>
      </c>
      <c r="X50" s="67">
        <v>0.79</v>
      </c>
      <c r="Y50" s="67">
        <v>1</v>
      </c>
      <c r="Z50" s="67">
        <v>8</v>
      </c>
      <c r="AA50" s="67">
        <v>0</v>
      </c>
      <c r="AB50" s="65" t="s">
        <v>1374</v>
      </c>
      <c r="AC50" s="67">
        <v>1988</v>
      </c>
      <c r="AD50" s="67" t="s">
        <v>1935</v>
      </c>
      <c r="AE50" s="297" t="s">
        <v>2171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2394</v>
      </c>
      <c r="T51" s="66" t="s">
        <v>2395</v>
      </c>
      <c r="U51" s="66">
        <v>8.81</v>
      </c>
      <c r="V51" s="215">
        <v>8.83</v>
      </c>
      <c r="W51" s="66">
        <v>8.5</v>
      </c>
      <c r="X51" s="66">
        <v>0.73</v>
      </c>
      <c r="Y51" s="66">
        <v>2</v>
      </c>
      <c r="Z51" s="66">
        <v>17</v>
      </c>
      <c r="AA51" s="66">
        <v>1</v>
      </c>
      <c r="AB51" s="49" t="s">
        <v>1114</v>
      </c>
      <c r="AC51" s="66">
        <v>1969</v>
      </c>
      <c r="AD51" s="66" t="s">
        <v>1944</v>
      </c>
      <c r="AE51" s="296" t="s">
        <v>2397</v>
      </c>
      <c r="AH51" s="65" t="s">
        <v>1089</v>
      </c>
      <c r="AI51" s="131" t="s">
        <v>2001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405</v>
      </c>
      <c r="T52" s="67" t="s">
        <v>399</v>
      </c>
      <c r="U52" s="67">
        <v>8.8000000000000007</v>
      </c>
      <c r="V52" s="305">
        <v>8.81</v>
      </c>
      <c r="W52" s="67">
        <v>8.5</v>
      </c>
      <c r="X52" s="67">
        <v>0.98</v>
      </c>
      <c r="Y52" s="67">
        <v>2</v>
      </c>
      <c r="Z52" s="67">
        <v>10</v>
      </c>
      <c r="AA52" s="67">
        <v>0</v>
      </c>
      <c r="AB52" s="65" t="s">
        <v>773</v>
      </c>
      <c r="AC52" s="67">
        <v>1990</v>
      </c>
      <c r="AD52" s="67" t="s">
        <v>1970</v>
      </c>
      <c r="AE52" s="297" t="s">
        <v>2233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595</v>
      </c>
      <c r="T53" s="66" t="s">
        <v>596</v>
      </c>
      <c r="U53" s="66">
        <v>8.7799999999999994</v>
      </c>
      <c r="V53" s="174">
        <v>8.7899999999999991</v>
      </c>
      <c r="W53" s="66">
        <v>8.5</v>
      </c>
      <c r="X53" s="66">
        <v>0.97</v>
      </c>
      <c r="Y53" s="66">
        <v>2</v>
      </c>
      <c r="Z53" s="66">
        <v>9</v>
      </c>
      <c r="AA53" s="66">
        <v>0</v>
      </c>
      <c r="AB53" s="49" t="s">
        <v>831</v>
      </c>
      <c r="AC53" s="66">
        <v>1983</v>
      </c>
      <c r="AD53" s="66" t="s">
        <v>1944</v>
      </c>
      <c r="AE53" s="296" t="s">
        <v>2227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345</v>
      </c>
      <c r="T54" s="67" t="s">
        <v>638</v>
      </c>
      <c r="U54" s="67">
        <v>8.77</v>
      </c>
      <c r="V54" s="174">
        <v>8.7899999999999991</v>
      </c>
      <c r="W54" s="67">
        <v>8.5</v>
      </c>
      <c r="X54" s="67">
        <v>0.99</v>
      </c>
      <c r="Y54" s="67">
        <v>3</v>
      </c>
      <c r="Z54" s="67">
        <v>13</v>
      </c>
      <c r="AA54" s="67">
        <v>0</v>
      </c>
      <c r="AB54" s="65" t="s">
        <v>769</v>
      </c>
      <c r="AC54" s="67">
        <v>2013</v>
      </c>
      <c r="AD54" s="67" t="s">
        <v>1961</v>
      </c>
      <c r="AE54" s="297" t="s">
        <v>2225</v>
      </c>
      <c r="AH54" s="49" t="s">
        <v>1085</v>
      </c>
      <c r="AI54" s="132" t="s">
        <v>2330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828</v>
      </c>
      <c r="T55" s="66" t="s">
        <v>829</v>
      </c>
      <c r="U55" s="66">
        <v>8.82</v>
      </c>
      <c r="V55" s="174">
        <v>8.7899999999999991</v>
      </c>
      <c r="W55" s="66">
        <v>9</v>
      </c>
      <c r="X55" s="66">
        <v>0.86</v>
      </c>
      <c r="Y55" s="66">
        <v>3</v>
      </c>
      <c r="Z55" s="66">
        <v>13</v>
      </c>
      <c r="AA55" s="66">
        <v>2</v>
      </c>
      <c r="AB55" s="49" t="s">
        <v>830</v>
      </c>
      <c r="AC55" s="66">
        <v>2010</v>
      </c>
      <c r="AD55" s="66" t="s">
        <v>1962</v>
      </c>
      <c r="AE55" s="296" t="s">
        <v>2215</v>
      </c>
      <c r="AH55" s="65" t="s">
        <v>1088</v>
      </c>
      <c r="AI55" s="131" t="s">
        <v>2163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1297</v>
      </c>
      <c r="T56" s="67" t="s">
        <v>1298</v>
      </c>
      <c r="U56" s="67">
        <v>8.67</v>
      </c>
      <c r="V56" s="174">
        <v>8.7899999999999991</v>
      </c>
      <c r="W56" s="67">
        <v>9</v>
      </c>
      <c r="X56" s="67">
        <v>1.08</v>
      </c>
      <c r="Y56" s="67">
        <v>2</v>
      </c>
      <c r="Z56" s="67">
        <v>9</v>
      </c>
      <c r="AA56" s="67">
        <v>0</v>
      </c>
      <c r="AB56" s="65" t="s">
        <v>1302</v>
      </c>
      <c r="AC56" s="67">
        <v>2008</v>
      </c>
      <c r="AD56" s="67" t="s">
        <v>1963</v>
      </c>
      <c r="AE56" s="297" t="s">
        <v>2202</v>
      </c>
      <c r="AH56" s="49" t="s">
        <v>1111</v>
      </c>
      <c r="AI56" s="132" t="s">
        <v>2432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2" t="s">
        <v>2100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1695</v>
      </c>
      <c r="T57" s="66" t="s">
        <v>1694</v>
      </c>
      <c r="U57" s="66">
        <v>8.85</v>
      </c>
      <c r="V57" s="216">
        <v>8.7799999999999994</v>
      </c>
      <c r="W57" s="66">
        <v>8.75</v>
      </c>
      <c r="X57" s="66">
        <v>0.55000000000000004</v>
      </c>
      <c r="Y57" s="66">
        <v>1</v>
      </c>
      <c r="Z57" s="66">
        <v>10</v>
      </c>
      <c r="AA57" s="66">
        <v>0</v>
      </c>
      <c r="AB57" s="49" t="s">
        <v>1696</v>
      </c>
      <c r="AC57" s="66">
        <v>2014</v>
      </c>
      <c r="AD57" s="66" t="s">
        <v>1964</v>
      </c>
      <c r="AE57" s="296" t="s">
        <v>2185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339</v>
      </c>
      <c r="T58" s="67" t="s">
        <v>1413</v>
      </c>
      <c r="U58" s="67">
        <v>8.83</v>
      </c>
      <c r="V58" s="175">
        <v>8.77</v>
      </c>
      <c r="W58" s="67">
        <v>8.75</v>
      </c>
      <c r="X58" s="67">
        <v>0.62</v>
      </c>
      <c r="Y58" s="67">
        <v>1</v>
      </c>
      <c r="Z58" s="67">
        <v>6</v>
      </c>
      <c r="AA58" s="67">
        <v>0</v>
      </c>
      <c r="AB58" s="65" t="s">
        <v>1416</v>
      </c>
      <c r="AC58" s="67">
        <v>2023</v>
      </c>
      <c r="AD58" s="67" t="s">
        <v>1965</v>
      </c>
      <c r="AE58" s="297" t="s">
        <v>2197</v>
      </c>
      <c r="AH58" s="49" t="s">
        <v>2098</v>
      </c>
      <c r="AI58" s="132" t="s">
        <v>2153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1800</v>
      </c>
      <c r="T59" s="66" t="s">
        <v>1801</v>
      </c>
      <c r="U59" s="66">
        <v>8.83</v>
      </c>
      <c r="V59" s="175">
        <v>8.77</v>
      </c>
      <c r="W59" s="66">
        <v>8.75</v>
      </c>
      <c r="X59" s="66">
        <v>0.62</v>
      </c>
      <c r="Y59" s="66">
        <v>1</v>
      </c>
      <c r="Z59" s="66">
        <v>6</v>
      </c>
      <c r="AA59" s="66">
        <v>0</v>
      </c>
      <c r="AB59" s="49" t="s">
        <v>1805</v>
      </c>
      <c r="AC59" s="66">
        <v>1991</v>
      </c>
      <c r="AD59" s="66" t="s">
        <v>1965</v>
      </c>
      <c r="AE59" s="296" t="s">
        <v>2180</v>
      </c>
      <c r="AH59" s="65" t="s">
        <v>1879</v>
      </c>
      <c r="AI59" s="131" t="s">
        <v>1880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354</v>
      </c>
      <c r="T60" s="67" t="s">
        <v>1197</v>
      </c>
      <c r="U60" s="67">
        <v>8.73</v>
      </c>
      <c r="V60" s="126">
        <v>8.76</v>
      </c>
      <c r="W60" s="67">
        <v>8.5</v>
      </c>
      <c r="X60" s="67">
        <v>0.87</v>
      </c>
      <c r="Y60" s="67">
        <v>2</v>
      </c>
      <c r="Z60" s="67">
        <v>13</v>
      </c>
      <c r="AA60" s="67">
        <v>0</v>
      </c>
      <c r="AB60" s="65" t="s">
        <v>1199</v>
      </c>
      <c r="AC60" s="67">
        <v>2009</v>
      </c>
      <c r="AD60" s="67" t="s">
        <v>1966</v>
      </c>
      <c r="AE60" s="297" t="s">
        <v>2237</v>
      </c>
      <c r="AH60" s="49" t="s">
        <v>1629</v>
      </c>
      <c r="AI60" s="132" t="s">
        <v>1630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350</v>
      </c>
      <c r="T61" s="66" t="s">
        <v>276</v>
      </c>
      <c r="U61" s="66">
        <v>8.7799999999999994</v>
      </c>
      <c r="V61" s="126">
        <v>8.76</v>
      </c>
      <c r="W61" s="66">
        <v>9</v>
      </c>
      <c r="X61" s="66">
        <v>0.79</v>
      </c>
      <c r="Y61" s="66">
        <v>2</v>
      </c>
      <c r="Z61" s="66">
        <v>10</v>
      </c>
      <c r="AA61" s="66">
        <v>1</v>
      </c>
      <c r="AB61" s="49" t="s">
        <v>772</v>
      </c>
      <c r="AC61" s="66">
        <v>1994</v>
      </c>
      <c r="AD61" s="66" t="s">
        <v>1965</v>
      </c>
      <c r="AE61" s="296" t="s">
        <v>2235</v>
      </c>
      <c r="AH61" s="65" t="s">
        <v>1095</v>
      </c>
      <c r="AI61" s="131" t="s">
        <v>1096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849</v>
      </c>
      <c r="T62" s="67" t="s">
        <v>844</v>
      </c>
      <c r="U62" s="67">
        <v>8.7100000000000009</v>
      </c>
      <c r="V62" s="126">
        <v>8.76</v>
      </c>
      <c r="W62" s="67">
        <v>8.5</v>
      </c>
      <c r="X62" s="67">
        <v>0.75</v>
      </c>
      <c r="Y62" s="67">
        <v>2</v>
      </c>
      <c r="Z62" s="67">
        <v>14</v>
      </c>
      <c r="AA62" s="67">
        <v>0</v>
      </c>
      <c r="AB62" s="65" t="s">
        <v>850</v>
      </c>
      <c r="AC62" s="67">
        <v>2005</v>
      </c>
      <c r="AD62" s="67" t="s">
        <v>1967</v>
      </c>
      <c r="AE62" s="297" t="s">
        <v>2214</v>
      </c>
      <c r="AH62" s="49" t="s">
        <v>1414</v>
      </c>
      <c r="AI62" s="132" t="s">
        <v>1415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1499</v>
      </c>
      <c r="T63" s="66" t="s">
        <v>1500</v>
      </c>
      <c r="U63" s="66">
        <v>8.73</v>
      </c>
      <c r="V63" s="126">
        <v>8.76</v>
      </c>
      <c r="W63" s="66">
        <v>8.5</v>
      </c>
      <c r="X63" s="66">
        <v>0.75</v>
      </c>
      <c r="Y63" s="66">
        <v>1</v>
      </c>
      <c r="Z63" s="66">
        <v>13</v>
      </c>
      <c r="AA63" s="66">
        <v>0</v>
      </c>
      <c r="AB63" s="49" t="s">
        <v>1501</v>
      </c>
      <c r="AC63" s="66">
        <v>1992</v>
      </c>
      <c r="AD63" s="66" t="s">
        <v>1961</v>
      </c>
      <c r="AE63" s="296" t="s">
        <v>2193</v>
      </c>
      <c r="AH63" s="65" t="s">
        <v>1374</v>
      </c>
      <c r="AI63" s="131" t="s">
        <v>2169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335</v>
      </c>
      <c r="T64" s="67" t="s">
        <v>568</v>
      </c>
      <c r="U64" s="67">
        <v>8.77</v>
      </c>
      <c r="V64" s="217">
        <v>8.75</v>
      </c>
      <c r="W64" s="67">
        <v>9</v>
      </c>
      <c r="X64" s="67">
        <v>0.72</v>
      </c>
      <c r="Y64" s="67">
        <v>1</v>
      </c>
      <c r="Z64" s="67">
        <v>11</v>
      </c>
      <c r="AA64" s="67">
        <v>0</v>
      </c>
      <c r="AB64" s="65" t="s">
        <v>764</v>
      </c>
      <c r="AC64" s="67">
        <v>2016</v>
      </c>
      <c r="AD64" s="67" t="s">
        <v>1963</v>
      </c>
      <c r="AE64" s="297" t="s">
        <v>2228</v>
      </c>
      <c r="AH64" s="49" t="s">
        <v>1102</v>
      </c>
      <c r="AI64" s="132" t="s">
        <v>1670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728</v>
      </c>
      <c r="T65" s="66" t="s">
        <v>724</v>
      </c>
      <c r="U65" s="66">
        <v>8.67</v>
      </c>
      <c r="V65" s="217">
        <v>8.75</v>
      </c>
      <c r="W65" s="66">
        <v>8</v>
      </c>
      <c r="X65" s="66">
        <v>1.04</v>
      </c>
      <c r="Y65" s="66">
        <v>4</v>
      </c>
      <c r="Z65" s="66">
        <v>16</v>
      </c>
      <c r="AA65" s="66">
        <v>1</v>
      </c>
      <c r="AB65" s="49" t="s">
        <v>789</v>
      </c>
      <c r="AC65" s="66">
        <v>2010</v>
      </c>
      <c r="AD65" s="66" t="s">
        <v>1968</v>
      </c>
      <c r="AE65" s="296" t="s">
        <v>2221</v>
      </c>
      <c r="AH65" s="65" t="s">
        <v>1241</v>
      </c>
      <c r="AI65" s="131" t="s">
        <v>1242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750</v>
      </c>
      <c r="T66" s="67" t="s">
        <v>751</v>
      </c>
      <c r="U66" s="67">
        <v>8.86</v>
      </c>
      <c r="V66" s="217">
        <v>8.75</v>
      </c>
      <c r="W66" s="67">
        <v>8.5</v>
      </c>
      <c r="X66" s="67">
        <v>0.77</v>
      </c>
      <c r="Y66" s="67">
        <v>3</v>
      </c>
      <c r="Z66" s="67">
        <v>11</v>
      </c>
      <c r="AA66" s="67">
        <v>0</v>
      </c>
      <c r="AB66" s="65" t="s">
        <v>851</v>
      </c>
      <c r="AC66" s="67">
        <v>2002</v>
      </c>
      <c r="AD66" s="67" t="s">
        <v>1958</v>
      </c>
      <c r="AE66" s="297" t="s">
        <v>2218</v>
      </c>
      <c r="AH66" s="49" t="s">
        <v>1243</v>
      </c>
      <c r="AI66" s="132" t="s">
        <v>1242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490</v>
      </c>
      <c r="T67" s="66" t="s">
        <v>491</v>
      </c>
      <c r="U67" s="66">
        <v>8.7100000000000009</v>
      </c>
      <c r="V67" s="306">
        <v>8.74</v>
      </c>
      <c r="W67" s="66">
        <v>8.5</v>
      </c>
      <c r="X67" s="66">
        <v>0.99</v>
      </c>
      <c r="Y67" s="66">
        <v>3</v>
      </c>
      <c r="Z67" s="66">
        <v>12</v>
      </c>
      <c r="AA67" s="66">
        <v>0</v>
      </c>
      <c r="AB67" s="49" t="s">
        <v>767</v>
      </c>
      <c r="AC67" s="66">
        <v>2002</v>
      </c>
      <c r="AD67" s="66" t="s">
        <v>1962</v>
      </c>
      <c r="AE67" s="296" t="s">
        <v>2230</v>
      </c>
      <c r="AH67" s="65" t="s">
        <v>1418</v>
      </c>
      <c r="AI67" s="131" t="s">
        <v>1242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342</v>
      </c>
      <c r="T68" s="67" t="s">
        <v>909</v>
      </c>
      <c r="U68" s="67">
        <v>8.7100000000000009</v>
      </c>
      <c r="V68" s="176">
        <v>8.73</v>
      </c>
      <c r="W68" s="67">
        <v>8.5</v>
      </c>
      <c r="X68" s="67">
        <v>0.96</v>
      </c>
      <c r="Y68" s="67">
        <v>1</v>
      </c>
      <c r="Z68" s="67">
        <v>7</v>
      </c>
      <c r="AA68" s="67">
        <v>0</v>
      </c>
      <c r="AB68" s="65" t="s">
        <v>788</v>
      </c>
      <c r="AC68" s="67">
        <v>1999</v>
      </c>
      <c r="AD68" s="67" t="s">
        <v>1969</v>
      </c>
      <c r="AE68" s="297" t="s">
        <v>2212</v>
      </c>
      <c r="AH68" s="49" t="s">
        <v>1813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1459</v>
      </c>
      <c r="T69" s="66" t="s">
        <v>1460</v>
      </c>
      <c r="U69" s="66">
        <v>8.83</v>
      </c>
      <c r="V69" s="142">
        <v>8.7200000000000006</v>
      </c>
      <c r="W69" s="66">
        <v>8.5</v>
      </c>
      <c r="X69" s="66">
        <v>0.57999999999999996</v>
      </c>
      <c r="Y69" s="66">
        <v>1</v>
      </c>
      <c r="Z69" s="66">
        <v>9</v>
      </c>
      <c r="AA69" s="66">
        <v>0</v>
      </c>
      <c r="AB69" s="49" t="s">
        <v>1463</v>
      </c>
      <c r="AC69" s="66">
        <v>2002</v>
      </c>
      <c r="AD69" s="66" t="s">
        <v>1962</v>
      </c>
      <c r="AE69" s="296" t="s">
        <v>2195</v>
      </c>
      <c r="AH69" s="65" t="s">
        <v>1480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418</v>
      </c>
      <c r="T70" s="67" t="s">
        <v>416</v>
      </c>
      <c r="U70" s="67">
        <v>8.67</v>
      </c>
      <c r="V70" s="137">
        <v>8.7100000000000009</v>
      </c>
      <c r="W70" s="67">
        <v>8.5</v>
      </c>
      <c r="X70" s="67">
        <v>0.85</v>
      </c>
      <c r="Y70" s="67">
        <v>2</v>
      </c>
      <c r="Z70" s="67">
        <v>12</v>
      </c>
      <c r="AA70" s="67">
        <v>0</v>
      </c>
      <c r="AB70" s="65" t="s">
        <v>831</v>
      </c>
      <c r="AC70" s="67">
        <v>1989</v>
      </c>
      <c r="AD70" s="67" t="s">
        <v>1971</v>
      </c>
      <c r="AE70" s="297" t="s">
        <v>2233</v>
      </c>
      <c r="AH70" s="49" t="s">
        <v>1099</v>
      </c>
      <c r="AI70" s="132" t="s">
        <v>1098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1525</v>
      </c>
      <c r="T71" s="66" t="s">
        <v>1526</v>
      </c>
      <c r="U71" s="66">
        <v>8.75</v>
      </c>
      <c r="V71" s="143">
        <v>8.6999999999999993</v>
      </c>
      <c r="W71" s="66">
        <v>8.75</v>
      </c>
      <c r="X71" s="66">
        <v>0.75</v>
      </c>
      <c r="Y71" s="66">
        <v>2</v>
      </c>
      <c r="Z71" s="66">
        <v>10</v>
      </c>
      <c r="AA71" s="66">
        <v>0</v>
      </c>
      <c r="AB71" s="49" t="s">
        <v>1527</v>
      </c>
      <c r="AC71" s="66">
        <v>1998</v>
      </c>
      <c r="AD71" s="66" t="s">
        <v>1972</v>
      </c>
      <c r="AE71" s="296" t="s">
        <v>2191</v>
      </c>
      <c r="AH71" s="65" t="s">
        <v>787</v>
      </c>
      <c r="AI71" s="131" t="s">
        <v>2373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1718</v>
      </c>
      <c r="T72" s="67" t="s">
        <v>1714</v>
      </c>
      <c r="U72" s="67">
        <v>8.81</v>
      </c>
      <c r="V72" s="143">
        <v>8.6999999999999993</v>
      </c>
      <c r="W72" s="67">
        <v>8.5</v>
      </c>
      <c r="X72" s="67">
        <v>0.83</v>
      </c>
      <c r="Y72" s="67">
        <v>2</v>
      </c>
      <c r="Z72" s="67">
        <v>8</v>
      </c>
      <c r="AA72" s="67">
        <v>0</v>
      </c>
      <c r="AB72" s="65" t="s">
        <v>1374</v>
      </c>
      <c r="AC72" s="67">
        <v>1982</v>
      </c>
      <c r="AD72" s="67" t="s">
        <v>1949</v>
      </c>
      <c r="AE72" s="297" t="s">
        <v>2184</v>
      </c>
      <c r="AH72" s="49" t="s">
        <v>1107</v>
      </c>
      <c r="AI72" s="132" t="s">
        <v>1770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1479</v>
      </c>
      <c r="T73" s="66" t="s">
        <v>1484</v>
      </c>
      <c r="U73" s="66">
        <v>8.8000000000000007</v>
      </c>
      <c r="V73" s="193">
        <v>8.68</v>
      </c>
      <c r="W73" s="66">
        <v>8.5</v>
      </c>
      <c r="X73" s="66">
        <v>0.7</v>
      </c>
      <c r="Y73" s="66">
        <v>2</v>
      </c>
      <c r="Z73" s="66">
        <v>15</v>
      </c>
      <c r="AA73" s="66">
        <v>0</v>
      </c>
      <c r="AB73" s="49" t="s">
        <v>1481</v>
      </c>
      <c r="AC73" s="66">
        <v>2012</v>
      </c>
      <c r="AD73" s="66" t="s">
        <v>1948</v>
      </c>
      <c r="AE73" s="296" t="s">
        <v>2194</v>
      </c>
      <c r="AH73" s="65" t="s">
        <v>1114</v>
      </c>
      <c r="AI73" s="131" t="s">
        <v>2399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1353</v>
      </c>
      <c r="T74" s="67" t="s">
        <v>1354</v>
      </c>
      <c r="U74" s="67">
        <v>8.77</v>
      </c>
      <c r="V74" s="197">
        <v>8.65</v>
      </c>
      <c r="W74" s="67">
        <v>8.5</v>
      </c>
      <c r="X74" s="67">
        <v>0.75</v>
      </c>
      <c r="Y74" s="67">
        <v>2</v>
      </c>
      <c r="Z74" s="67">
        <v>14</v>
      </c>
      <c r="AA74" s="67">
        <v>1</v>
      </c>
      <c r="AB74" s="65" t="s">
        <v>1357</v>
      </c>
      <c r="AC74" s="67">
        <v>2002</v>
      </c>
      <c r="AD74" s="67" t="s">
        <v>1950</v>
      </c>
      <c r="AE74" s="297" t="s">
        <v>2200</v>
      </c>
      <c r="AH74" s="49" t="s">
        <v>1258</v>
      </c>
      <c r="AI74" s="132" t="s">
        <v>2433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343</v>
      </c>
      <c r="T75" s="66" t="s">
        <v>343</v>
      </c>
      <c r="U75" s="66">
        <v>8.4600000000000009</v>
      </c>
      <c r="V75" s="197">
        <v>8.65</v>
      </c>
      <c r="W75" s="66">
        <v>8.5</v>
      </c>
      <c r="X75" s="66">
        <v>1.33</v>
      </c>
      <c r="Y75" s="66">
        <v>3</v>
      </c>
      <c r="Z75" s="66">
        <v>12</v>
      </c>
      <c r="AA75" s="66">
        <v>0</v>
      </c>
      <c r="AB75" s="49" t="s">
        <v>1374</v>
      </c>
      <c r="AC75" s="66">
        <v>2021</v>
      </c>
      <c r="AD75" s="66" t="s">
        <v>1969</v>
      </c>
      <c r="AE75" s="296" t="s">
        <v>2199</v>
      </c>
      <c r="AH75" s="65" t="s">
        <v>1101</v>
      </c>
      <c r="AI75" s="131" t="s">
        <v>2376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1668</v>
      </c>
      <c r="T76" s="67" t="s">
        <v>1664</v>
      </c>
      <c r="U76" s="67">
        <v>8.75</v>
      </c>
      <c r="V76" s="197">
        <v>8.65</v>
      </c>
      <c r="W76" s="67">
        <v>8.5</v>
      </c>
      <c r="X76" s="67">
        <v>0.56000000000000005</v>
      </c>
      <c r="Y76" s="67">
        <v>1</v>
      </c>
      <c r="Z76" s="67">
        <v>9</v>
      </c>
      <c r="AA76" s="67">
        <v>1</v>
      </c>
      <c r="AB76" s="65" t="s">
        <v>1671</v>
      </c>
      <c r="AC76" s="67">
        <v>2000</v>
      </c>
      <c r="AD76" s="67" t="s">
        <v>1937</v>
      </c>
      <c r="AE76" s="297" t="s">
        <v>2187</v>
      </c>
      <c r="AH76" s="49" t="s">
        <v>1358</v>
      </c>
      <c r="AI76" s="132" t="s">
        <v>1359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2250</v>
      </c>
      <c r="T77" s="66" t="s">
        <v>2251</v>
      </c>
      <c r="U77" s="66">
        <v>8.75</v>
      </c>
      <c r="V77" s="307">
        <v>8.64</v>
      </c>
      <c r="W77" s="66">
        <v>8.5</v>
      </c>
      <c r="X77" s="66">
        <v>0.66</v>
      </c>
      <c r="Y77" s="66">
        <v>1</v>
      </c>
      <c r="Z77" s="66">
        <v>8</v>
      </c>
      <c r="AA77" s="66">
        <v>0</v>
      </c>
      <c r="AB77" s="49" t="s">
        <v>2252</v>
      </c>
      <c r="AC77" s="66">
        <v>1996</v>
      </c>
      <c r="AD77" s="66" t="s">
        <v>1949</v>
      </c>
      <c r="AE77" s="296" t="s">
        <v>2170</v>
      </c>
      <c r="AH77" s="65" t="s">
        <v>1528</v>
      </c>
      <c r="AI77" s="131" t="s">
        <v>1257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342</v>
      </c>
      <c r="T78" s="67" t="s">
        <v>522</v>
      </c>
      <c r="U78" s="67">
        <v>8.69</v>
      </c>
      <c r="V78" s="218">
        <v>8.6300000000000008</v>
      </c>
      <c r="W78" s="67">
        <v>8.75</v>
      </c>
      <c r="X78" s="67">
        <v>0.79</v>
      </c>
      <c r="Y78" s="67">
        <v>1</v>
      </c>
      <c r="Z78" s="67">
        <v>8</v>
      </c>
      <c r="AA78" s="67">
        <v>0</v>
      </c>
      <c r="AB78" s="65" t="s">
        <v>788</v>
      </c>
      <c r="AC78" s="67">
        <v>2003</v>
      </c>
      <c r="AD78" s="67" t="s">
        <v>1972</v>
      </c>
      <c r="AE78" s="297" t="s">
        <v>2229</v>
      </c>
      <c r="AH78" s="49" t="s">
        <v>1672</v>
      </c>
      <c r="AI78" s="132" t="s">
        <v>1257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1254</v>
      </c>
      <c r="T79" s="66" t="s">
        <v>1248</v>
      </c>
      <c r="U79" s="66">
        <v>8.75</v>
      </c>
      <c r="V79" s="218">
        <v>8.6300000000000008</v>
      </c>
      <c r="W79" s="66">
        <v>8.5</v>
      </c>
      <c r="X79" s="66">
        <v>0.8</v>
      </c>
      <c r="Y79" s="66">
        <v>1</v>
      </c>
      <c r="Z79" s="66">
        <v>7</v>
      </c>
      <c r="AA79" s="66">
        <v>1</v>
      </c>
      <c r="AB79" s="49" t="s">
        <v>1255</v>
      </c>
      <c r="AC79" s="66">
        <v>2013</v>
      </c>
      <c r="AD79" s="66" t="s">
        <v>1951</v>
      </c>
      <c r="AE79" s="296" t="s">
        <v>2203</v>
      </c>
      <c r="AH79" s="65" t="s">
        <v>1673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1628</v>
      </c>
      <c r="T80" s="67" t="s">
        <v>1621</v>
      </c>
      <c r="U80" s="67">
        <v>8.75</v>
      </c>
      <c r="V80" s="218">
        <v>8.6300000000000008</v>
      </c>
      <c r="W80" s="67">
        <v>8.5</v>
      </c>
      <c r="X80" s="67">
        <v>0.87</v>
      </c>
      <c r="Y80" s="67">
        <v>2</v>
      </c>
      <c r="Z80" s="67">
        <v>10</v>
      </c>
      <c r="AA80" s="67">
        <v>0</v>
      </c>
      <c r="AB80" s="65" t="s">
        <v>1631</v>
      </c>
      <c r="AC80" s="67">
        <v>1979</v>
      </c>
      <c r="AD80" s="67" t="s">
        <v>1954</v>
      </c>
      <c r="AE80" s="297" t="s">
        <v>2189</v>
      </c>
      <c r="AH80" s="49" t="s">
        <v>2252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1165</v>
      </c>
      <c r="T81" s="66" t="s">
        <v>1728</v>
      </c>
      <c r="U81" s="66">
        <v>8.57</v>
      </c>
      <c r="V81" s="218">
        <v>8.6300000000000008</v>
      </c>
      <c r="W81" s="66">
        <v>8.5</v>
      </c>
      <c r="X81" s="66">
        <v>0.78</v>
      </c>
      <c r="Y81" s="66">
        <v>3</v>
      </c>
      <c r="Z81" s="66">
        <v>28</v>
      </c>
      <c r="AA81" s="66">
        <v>1</v>
      </c>
      <c r="AB81" s="49" t="s">
        <v>1755</v>
      </c>
      <c r="AC81" s="66">
        <v>1995</v>
      </c>
      <c r="AD81" s="66" t="s">
        <v>1964</v>
      </c>
      <c r="AE81" s="296" t="s">
        <v>2182</v>
      </c>
      <c r="AH81" s="65" t="s">
        <v>1256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2269</v>
      </c>
      <c r="T82" s="67" t="s">
        <v>2270</v>
      </c>
      <c r="U82" s="67">
        <v>8.73</v>
      </c>
      <c r="V82" s="218">
        <v>8.6300000000000008</v>
      </c>
      <c r="W82" s="67">
        <v>8.5</v>
      </c>
      <c r="X82" s="67">
        <v>0.67</v>
      </c>
      <c r="Y82" s="67">
        <v>2</v>
      </c>
      <c r="Z82" s="67">
        <v>15</v>
      </c>
      <c r="AA82" s="67">
        <v>2</v>
      </c>
      <c r="AB82" s="65" t="s">
        <v>2271</v>
      </c>
      <c r="AC82" s="67">
        <v>2024</v>
      </c>
      <c r="AD82" s="67" t="s">
        <v>1939</v>
      </c>
      <c r="AE82" s="297" t="s">
        <v>2272</v>
      </c>
      <c r="AH82" s="49" t="s">
        <v>1632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610</v>
      </c>
      <c r="T83" s="66" t="s">
        <v>611</v>
      </c>
      <c r="U83" s="66">
        <v>8.73</v>
      </c>
      <c r="V83" s="191">
        <v>8.6199999999999992</v>
      </c>
      <c r="W83" s="66">
        <v>8.5</v>
      </c>
      <c r="X83" s="66">
        <v>0.89</v>
      </c>
      <c r="Y83" s="66">
        <v>3</v>
      </c>
      <c r="Z83" s="66">
        <v>13</v>
      </c>
      <c r="AA83" s="66">
        <v>2</v>
      </c>
      <c r="AB83" s="49" t="s">
        <v>832</v>
      </c>
      <c r="AC83" s="66">
        <v>2015</v>
      </c>
      <c r="AD83" s="66" t="s">
        <v>1947</v>
      </c>
      <c r="AE83" s="296" t="s">
        <v>2226</v>
      </c>
      <c r="AH83" s="65" t="s">
        <v>786</v>
      </c>
      <c r="AI83" s="131" t="s">
        <v>2400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1459</v>
      </c>
      <c r="T84" s="67" t="s">
        <v>1706</v>
      </c>
      <c r="U84" s="67">
        <v>8.7100000000000009</v>
      </c>
      <c r="V84" s="191">
        <v>8.6199999999999992</v>
      </c>
      <c r="W84" s="67">
        <v>8.5</v>
      </c>
      <c r="X84" s="67">
        <v>0.65</v>
      </c>
      <c r="Y84" s="67">
        <v>1</v>
      </c>
      <c r="Z84" s="67">
        <v>8</v>
      </c>
      <c r="AA84" s="67">
        <v>1</v>
      </c>
      <c r="AB84" s="65" t="s">
        <v>1707</v>
      </c>
      <c r="AC84" s="67">
        <v>2006</v>
      </c>
      <c r="AD84" s="67" t="s">
        <v>1973</v>
      </c>
      <c r="AE84" s="297" t="s">
        <v>2184</v>
      </c>
      <c r="AH84" s="49" t="s">
        <v>1094</v>
      </c>
      <c r="AI84" s="132" t="s">
        <v>2331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2048</v>
      </c>
      <c r="T85" s="66" t="s">
        <v>2049</v>
      </c>
      <c r="U85" s="66">
        <v>8.67</v>
      </c>
      <c r="V85" s="286">
        <v>8.61</v>
      </c>
      <c r="W85" s="66">
        <v>8.75</v>
      </c>
      <c r="X85" s="66">
        <v>0.62</v>
      </c>
      <c r="Y85" s="66">
        <v>0</v>
      </c>
      <c r="Z85" s="66">
        <v>6</v>
      </c>
      <c r="AA85" s="66">
        <v>0</v>
      </c>
      <c r="AB85" s="49" t="s">
        <v>1088</v>
      </c>
      <c r="AC85" s="66">
        <v>2013</v>
      </c>
      <c r="AD85" s="66" t="s">
        <v>1943</v>
      </c>
      <c r="AE85" s="296" t="s">
        <v>2174</v>
      </c>
      <c r="AH85" s="65" t="s">
        <v>1211</v>
      </c>
      <c r="AI85" s="131" t="s">
        <v>1103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343</v>
      </c>
      <c r="T86" s="67" t="s">
        <v>2346</v>
      </c>
      <c r="U86" s="67">
        <v>8.6999999999999993</v>
      </c>
      <c r="V86" s="286">
        <v>8.61</v>
      </c>
      <c r="W86" s="67">
        <v>8.5</v>
      </c>
      <c r="X86" s="67">
        <v>0.75</v>
      </c>
      <c r="Y86" s="67">
        <v>2</v>
      </c>
      <c r="Z86" s="67">
        <v>10</v>
      </c>
      <c r="AA86" s="67">
        <v>0</v>
      </c>
      <c r="AB86" s="65" t="s">
        <v>787</v>
      </c>
      <c r="AC86" s="67">
        <v>1983</v>
      </c>
      <c r="AD86" s="67" t="s">
        <v>1947</v>
      </c>
      <c r="AE86" s="297" t="s">
        <v>2334</v>
      </c>
      <c r="AH86" s="49" t="s">
        <v>1512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943</v>
      </c>
      <c r="T87" s="66" t="s">
        <v>924</v>
      </c>
      <c r="U87" s="66">
        <v>8.5500000000000007</v>
      </c>
      <c r="V87" s="219">
        <v>8.6</v>
      </c>
      <c r="W87" s="66">
        <v>8.5</v>
      </c>
      <c r="X87" s="66">
        <v>0.96</v>
      </c>
      <c r="Y87" s="66">
        <v>3</v>
      </c>
      <c r="Z87" s="66">
        <v>19</v>
      </c>
      <c r="AA87" s="66">
        <v>0</v>
      </c>
      <c r="AB87" s="49" t="s">
        <v>944</v>
      </c>
      <c r="AC87" s="66">
        <v>1979</v>
      </c>
      <c r="AD87" s="66" t="s">
        <v>1950</v>
      </c>
      <c r="AE87" s="296" t="s">
        <v>2211</v>
      </c>
      <c r="AH87" s="65" t="s">
        <v>1513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351</v>
      </c>
      <c r="T88" s="67" t="s">
        <v>245</v>
      </c>
      <c r="U88" s="67">
        <v>8.68</v>
      </c>
      <c r="V88" s="178">
        <v>8.58</v>
      </c>
      <c r="W88" s="67">
        <v>8.5</v>
      </c>
      <c r="X88" s="67">
        <v>0.81</v>
      </c>
      <c r="Y88" s="67">
        <v>2</v>
      </c>
      <c r="Z88" s="67">
        <v>11</v>
      </c>
      <c r="AA88" s="67">
        <v>0</v>
      </c>
      <c r="AB88" s="65" t="s">
        <v>774</v>
      </c>
      <c r="AC88" s="67">
        <v>1998</v>
      </c>
      <c r="AD88" s="67" t="s">
        <v>1967</v>
      </c>
      <c r="AE88" s="297" t="s">
        <v>2237</v>
      </c>
      <c r="AH88" s="49" t="s">
        <v>2288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738</v>
      </c>
      <c r="T89" s="66" t="s">
        <v>739</v>
      </c>
      <c r="U89" s="66">
        <v>8.67</v>
      </c>
      <c r="V89" s="178">
        <v>8.58</v>
      </c>
      <c r="W89" s="66">
        <v>8.5</v>
      </c>
      <c r="X89" s="66">
        <v>0.62</v>
      </c>
      <c r="Y89" s="66">
        <v>1</v>
      </c>
      <c r="Z89" s="66">
        <v>9</v>
      </c>
      <c r="AA89" s="66">
        <v>0</v>
      </c>
      <c r="AB89" s="49" t="s">
        <v>790</v>
      </c>
      <c r="AC89" s="66">
        <v>1992</v>
      </c>
      <c r="AD89" s="66" t="s">
        <v>1959</v>
      </c>
      <c r="AE89" s="296" t="s">
        <v>2219</v>
      </c>
      <c r="AH89" s="65" t="s">
        <v>2289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352</v>
      </c>
      <c r="T90" s="67" t="s">
        <v>161</v>
      </c>
      <c r="U90" s="67">
        <v>8.67</v>
      </c>
      <c r="V90" s="220">
        <v>8.57</v>
      </c>
      <c r="W90" s="67">
        <v>8.5</v>
      </c>
      <c r="X90" s="67">
        <v>0.77</v>
      </c>
      <c r="Y90" s="67">
        <v>2</v>
      </c>
      <c r="Z90" s="67">
        <v>12</v>
      </c>
      <c r="AA90" s="67">
        <v>0</v>
      </c>
      <c r="AB90" s="65" t="s">
        <v>775</v>
      </c>
      <c r="AC90" s="67">
        <v>1977</v>
      </c>
      <c r="AD90" s="67" t="s">
        <v>1965</v>
      </c>
      <c r="AE90" s="297" t="s">
        <v>2170</v>
      </c>
      <c r="AH90" s="49" t="s">
        <v>1104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780</v>
      </c>
      <c r="T91" s="66" t="s">
        <v>781</v>
      </c>
      <c r="U91" s="66">
        <v>8.67</v>
      </c>
      <c r="V91" s="220">
        <v>8.57</v>
      </c>
      <c r="W91" s="66">
        <v>8.5</v>
      </c>
      <c r="X91" s="66">
        <v>0.75</v>
      </c>
      <c r="Y91" s="66">
        <v>1</v>
      </c>
      <c r="Z91" s="66">
        <v>6</v>
      </c>
      <c r="AA91" s="66">
        <v>0</v>
      </c>
      <c r="AB91" s="49" t="s">
        <v>783</v>
      </c>
      <c r="AC91" s="66">
        <v>2024</v>
      </c>
      <c r="AD91" s="66" t="s">
        <v>1972</v>
      </c>
      <c r="AE91" s="296" t="s">
        <v>2217</v>
      </c>
      <c r="AH91" s="65" t="s">
        <v>1108</v>
      </c>
      <c r="AI91" s="131" t="s">
        <v>1529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353</v>
      </c>
      <c r="T92" s="67" t="s">
        <v>160</v>
      </c>
      <c r="U92" s="67">
        <v>8.65</v>
      </c>
      <c r="V92" s="127">
        <v>8.56</v>
      </c>
      <c r="W92" s="67">
        <v>8.5</v>
      </c>
      <c r="X92" s="67">
        <v>0.72</v>
      </c>
      <c r="Y92" s="67">
        <v>2</v>
      </c>
      <c r="Z92" s="67">
        <v>13</v>
      </c>
      <c r="AA92" s="67">
        <v>0</v>
      </c>
      <c r="AB92" s="65" t="s">
        <v>794</v>
      </c>
      <c r="AC92" s="67">
        <v>2005</v>
      </c>
      <c r="AD92" s="67" t="s">
        <v>1969</v>
      </c>
      <c r="AE92" s="297" t="s">
        <v>2232</v>
      </c>
      <c r="AH92" s="49" t="s">
        <v>1198</v>
      </c>
      <c r="AI92" s="132" t="s">
        <v>2148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335</v>
      </c>
      <c r="T93" s="66" t="s">
        <v>867</v>
      </c>
      <c r="U93" s="66">
        <v>8.5</v>
      </c>
      <c r="V93" s="127">
        <v>8.56</v>
      </c>
      <c r="W93" s="66">
        <v>8.5</v>
      </c>
      <c r="X93" s="66">
        <v>0.96</v>
      </c>
      <c r="Y93" s="66">
        <v>2</v>
      </c>
      <c r="Z93" s="66">
        <v>14</v>
      </c>
      <c r="AA93" s="66">
        <v>1</v>
      </c>
      <c r="AB93" s="49" t="s">
        <v>764</v>
      </c>
      <c r="AC93" s="66">
        <v>2003</v>
      </c>
      <c r="AD93" s="66" t="s">
        <v>1968</v>
      </c>
      <c r="AE93" s="296" t="s">
        <v>2214</v>
      </c>
      <c r="AH93" s="65" t="s">
        <v>1576</v>
      </c>
      <c r="AI93" s="131" t="s">
        <v>2148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968</v>
      </c>
      <c r="T94" s="67" t="s">
        <v>966</v>
      </c>
      <c r="U94" s="67">
        <v>8.67</v>
      </c>
      <c r="V94" s="127">
        <v>8.56</v>
      </c>
      <c r="W94" s="67">
        <v>8.5</v>
      </c>
      <c r="X94" s="67">
        <v>0.71</v>
      </c>
      <c r="Y94" s="67">
        <v>1</v>
      </c>
      <c r="Z94" s="67">
        <v>10</v>
      </c>
      <c r="AA94" s="67">
        <v>1</v>
      </c>
      <c r="AB94" s="65" t="s">
        <v>969</v>
      </c>
      <c r="AC94" s="67">
        <v>1999</v>
      </c>
      <c r="AD94" s="67" t="s">
        <v>1974</v>
      </c>
      <c r="AE94" s="297" t="s">
        <v>2210</v>
      </c>
      <c r="AH94" s="49" t="s">
        <v>785</v>
      </c>
      <c r="AI94" s="132" t="s">
        <v>2309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338</v>
      </c>
      <c r="T95" s="66" t="s">
        <v>2145</v>
      </c>
      <c r="U95" s="66">
        <v>8.6</v>
      </c>
      <c r="V95" s="294">
        <v>8.5399999999999991</v>
      </c>
      <c r="W95" s="66">
        <v>8</v>
      </c>
      <c r="X95" s="66">
        <v>1.02</v>
      </c>
      <c r="Y95" s="66">
        <v>2</v>
      </c>
      <c r="Z95" s="66">
        <v>10</v>
      </c>
      <c r="AA95" s="66">
        <v>0</v>
      </c>
      <c r="AB95" s="49" t="s">
        <v>2150</v>
      </c>
      <c r="AC95" s="66">
        <v>1970</v>
      </c>
      <c r="AD95" s="66" t="s">
        <v>1972</v>
      </c>
      <c r="AE95" s="296" t="s">
        <v>2172</v>
      </c>
      <c r="AH95" s="65" t="s">
        <v>1105</v>
      </c>
      <c r="AI95" s="131" t="s">
        <v>2348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1892</v>
      </c>
      <c r="T96" s="67" t="s">
        <v>1893</v>
      </c>
      <c r="U96" s="67">
        <v>8.6</v>
      </c>
      <c r="V96" s="276">
        <v>8.52</v>
      </c>
      <c r="W96" s="67">
        <v>8.5</v>
      </c>
      <c r="X96" s="67">
        <v>0.66</v>
      </c>
      <c r="Y96" s="67">
        <v>1</v>
      </c>
      <c r="Z96" s="67">
        <v>10</v>
      </c>
      <c r="AA96" s="67">
        <v>0</v>
      </c>
      <c r="AB96" s="65" t="s">
        <v>1894</v>
      </c>
      <c r="AC96" s="67">
        <v>2024</v>
      </c>
      <c r="AD96" s="67" t="s">
        <v>1972</v>
      </c>
      <c r="AE96" s="297" t="s">
        <v>2177</v>
      </c>
      <c r="AH96" s="49" t="s">
        <v>1404</v>
      </c>
      <c r="AI96" s="132" t="s">
        <v>2332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2418</v>
      </c>
      <c r="T97" s="66" t="s">
        <v>2417</v>
      </c>
      <c r="U97" s="66">
        <v>8.61</v>
      </c>
      <c r="V97" s="276">
        <v>8.52</v>
      </c>
      <c r="W97" s="66">
        <v>8.5</v>
      </c>
      <c r="X97" s="66">
        <v>0.87</v>
      </c>
      <c r="Y97" s="66">
        <v>2</v>
      </c>
      <c r="Z97" s="66">
        <v>10</v>
      </c>
      <c r="AA97" s="66">
        <v>1</v>
      </c>
      <c r="AB97" s="49" t="s">
        <v>2426</v>
      </c>
      <c r="AC97" s="66">
        <v>2015</v>
      </c>
      <c r="AD97" s="66" t="s">
        <v>1968</v>
      </c>
      <c r="AE97" s="296" t="s">
        <v>2427</v>
      </c>
      <c r="AH97" s="65" t="s">
        <v>1115</v>
      </c>
      <c r="AI97" s="131" t="s">
        <v>1831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3" t="s">
        <v>2311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1655</v>
      </c>
      <c r="T98" s="67" t="s">
        <v>1656</v>
      </c>
      <c r="U98" s="67">
        <v>8.6</v>
      </c>
      <c r="V98" s="221">
        <v>8.5</v>
      </c>
      <c r="W98" s="67">
        <v>8.5</v>
      </c>
      <c r="X98" s="67">
        <v>0.83</v>
      </c>
      <c r="Y98" s="67">
        <v>1</v>
      </c>
      <c r="Z98" s="67">
        <v>10</v>
      </c>
      <c r="AA98" s="67">
        <v>0</v>
      </c>
      <c r="AB98" s="65" t="s">
        <v>773</v>
      </c>
      <c r="AC98" s="67">
        <v>1993</v>
      </c>
      <c r="AD98" s="67" t="s">
        <v>1949</v>
      </c>
      <c r="AE98" s="297" t="s">
        <v>2188</v>
      </c>
      <c r="AH98" s="49" t="s">
        <v>1303</v>
      </c>
      <c r="AI98" s="132" t="s">
        <v>1110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2286</v>
      </c>
      <c r="T99" s="66" t="s">
        <v>2287</v>
      </c>
      <c r="U99" s="66">
        <v>8.58</v>
      </c>
      <c r="V99" s="221">
        <v>8.5</v>
      </c>
      <c r="W99" s="66">
        <v>8.5</v>
      </c>
      <c r="X99" s="66">
        <v>0.67</v>
      </c>
      <c r="Y99" s="66">
        <v>1</v>
      </c>
      <c r="Z99" s="66">
        <v>12</v>
      </c>
      <c r="AA99" s="66">
        <v>0</v>
      </c>
      <c r="AB99" s="49" t="s">
        <v>2290</v>
      </c>
      <c r="AC99" s="66">
        <v>1992</v>
      </c>
      <c r="AD99" s="66" t="s">
        <v>1968</v>
      </c>
      <c r="AE99" s="296" t="s">
        <v>2272</v>
      </c>
      <c r="AH99" s="65" t="s">
        <v>790</v>
      </c>
      <c r="AI99" s="131" t="s">
        <v>1110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849</v>
      </c>
      <c r="T100" s="67" t="s">
        <v>2329</v>
      </c>
      <c r="U100" s="67">
        <v>8.57</v>
      </c>
      <c r="V100" s="308">
        <v>8.49</v>
      </c>
      <c r="W100" s="67">
        <v>8.5</v>
      </c>
      <c r="X100" s="67">
        <v>0.6</v>
      </c>
      <c r="Y100" s="67">
        <v>1</v>
      </c>
      <c r="Z100" s="67">
        <v>15</v>
      </c>
      <c r="AA100" s="67">
        <v>0</v>
      </c>
      <c r="AB100" s="65" t="s">
        <v>850</v>
      </c>
      <c r="AC100" s="67">
        <v>2003</v>
      </c>
      <c r="AD100" s="67" t="s">
        <v>1969</v>
      </c>
      <c r="AE100" s="297" t="s">
        <v>2334</v>
      </c>
      <c r="AH100" s="49" t="s">
        <v>1112</v>
      </c>
      <c r="AI100" s="132" t="s">
        <v>1110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1034</v>
      </c>
      <c r="T101" s="66" t="s">
        <v>1035</v>
      </c>
      <c r="U101" s="66">
        <v>8.5500000000000007</v>
      </c>
      <c r="V101" s="222">
        <v>8.4700000000000006</v>
      </c>
      <c r="W101" s="66">
        <v>8.5</v>
      </c>
      <c r="X101" s="66">
        <v>0.69</v>
      </c>
      <c r="Y101" s="66">
        <v>1</v>
      </c>
      <c r="Z101" s="66">
        <v>12</v>
      </c>
      <c r="AA101" s="66">
        <v>1</v>
      </c>
      <c r="AB101" s="49" t="s">
        <v>786</v>
      </c>
      <c r="AC101" s="66">
        <v>1999</v>
      </c>
      <c r="AD101" s="66" t="s">
        <v>1938</v>
      </c>
      <c r="AE101" s="296" t="s">
        <v>2206</v>
      </c>
      <c r="AH101" s="65" t="s">
        <v>1100</v>
      </c>
      <c r="AI101" s="131" t="s">
        <v>2374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342</v>
      </c>
      <c r="T102" s="67" t="s">
        <v>2039</v>
      </c>
      <c r="U102" s="67">
        <v>8.5</v>
      </c>
      <c r="V102" s="284">
        <v>8.4600000000000009</v>
      </c>
      <c r="W102" s="67">
        <v>8.5</v>
      </c>
      <c r="X102" s="67">
        <v>0.35</v>
      </c>
      <c r="Y102" s="67">
        <v>0</v>
      </c>
      <c r="Z102" s="67">
        <v>8</v>
      </c>
      <c r="AA102" s="67">
        <v>0</v>
      </c>
      <c r="AB102" s="65" t="s">
        <v>786</v>
      </c>
      <c r="AC102" s="67">
        <v>2024</v>
      </c>
      <c r="AD102" s="67" t="s">
        <v>1980</v>
      </c>
      <c r="AE102" s="297" t="s">
        <v>2175</v>
      </c>
      <c r="AH102" s="49" t="s">
        <v>1106</v>
      </c>
      <c r="AI102" s="132" t="s">
        <v>2349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1239</v>
      </c>
      <c r="T103" s="66" t="s">
        <v>1240</v>
      </c>
      <c r="U103" s="66">
        <v>8.5299999999999994</v>
      </c>
      <c r="V103" s="246">
        <v>8.4499999999999993</v>
      </c>
      <c r="W103" s="66">
        <v>8.5</v>
      </c>
      <c r="X103" s="66">
        <v>0.96</v>
      </c>
      <c r="Y103" s="66">
        <v>3</v>
      </c>
      <c r="Z103" s="66">
        <v>15</v>
      </c>
      <c r="AA103" s="66">
        <v>0</v>
      </c>
      <c r="AB103" s="49" t="s">
        <v>1244</v>
      </c>
      <c r="AC103" s="66">
        <v>2024</v>
      </c>
      <c r="AD103" s="66" t="s">
        <v>1941</v>
      </c>
      <c r="AE103" s="296" t="s">
        <v>2203</v>
      </c>
      <c r="AH103" s="65" t="s">
        <v>1116</v>
      </c>
      <c r="AI103" s="131" t="s">
        <v>1897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1791</v>
      </c>
      <c r="T104" s="67" t="s">
        <v>1792</v>
      </c>
      <c r="U104" s="67">
        <v>8.5</v>
      </c>
      <c r="V104" s="246">
        <v>8.4499999999999993</v>
      </c>
      <c r="W104" s="67">
        <v>8.5</v>
      </c>
      <c r="X104" s="67">
        <v>0.41</v>
      </c>
      <c r="Y104" s="67">
        <v>0</v>
      </c>
      <c r="Z104" s="67">
        <v>9</v>
      </c>
      <c r="AA104" s="67">
        <v>0</v>
      </c>
      <c r="AB104" s="65" t="s">
        <v>1244</v>
      </c>
      <c r="AC104" s="67">
        <v>2026</v>
      </c>
      <c r="AD104" s="67" t="s">
        <v>1975</v>
      </c>
      <c r="AE104" s="297" t="s">
        <v>2181</v>
      </c>
      <c r="AH104" s="49" t="s">
        <v>2154</v>
      </c>
      <c r="AI104" s="132" t="s">
        <v>1895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543</v>
      </c>
      <c r="T105" s="66" t="s">
        <v>544</v>
      </c>
      <c r="U105" s="66">
        <v>8.5</v>
      </c>
      <c r="V105" s="223">
        <v>8.43</v>
      </c>
      <c r="W105" s="66">
        <v>8.5</v>
      </c>
      <c r="X105" s="66">
        <v>0.59</v>
      </c>
      <c r="Y105" s="66">
        <v>0</v>
      </c>
      <c r="Z105" s="66">
        <v>17</v>
      </c>
      <c r="AA105" s="66">
        <v>4</v>
      </c>
      <c r="AB105" s="49" t="s">
        <v>795</v>
      </c>
      <c r="AC105" s="66">
        <v>2016</v>
      </c>
      <c r="AD105" s="66" t="s">
        <v>1973</v>
      </c>
      <c r="AE105" s="296" t="s">
        <v>2228</v>
      </c>
      <c r="AH105" s="65" t="s">
        <v>1894</v>
      </c>
      <c r="AI105" s="131" t="s">
        <v>1895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342</v>
      </c>
      <c r="T106" s="67" t="s">
        <v>2372</v>
      </c>
      <c r="U106" s="67">
        <v>8.5</v>
      </c>
      <c r="V106" s="223">
        <v>8.43</v>
      </c>
      <c r="W106" s="67">
        <v>8.5</v>
      </c>
      <c r="X106" s="67">
        <v>0.76</v>
      </c>
      <c r="Y106" s="67">
        <v>1</v>
      </c>
      <c r="Z106" s="67">
        <v>7</v>
      </c>
      <c r="AA106" s="67">
        <v>0</v>
      </c>
      <c r="AB106" s="65" t="s">
        <v>786</v>
      </c>
      <c r="AC106" s="67">
        <v>2008</v>
      </c>
      <c r="AD106" s="67" t="s">
        <v>1976</v>
      </c>
      <c r="AE106" s="297" t="s">
        <v>2397</v>
      </c>
      <c r="AH106" s="49" t="s">
        <v>1117</v>
      </c>
      <c r="AI106" s="132" t="s">
        <v>1118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2306</v>
      </c>
      <c r="T107" s="66" t="s">
        <v>2307</v>
      </c>
      <c r="U107" s="66">
        <v>8.5399999999999991</v>
      </c>
      <c r="V107" s="224">
        <v>8.41</v>
      </c>
      <c r="W107" s="66">
        <v>8.25</v>
      </c>
      <c r="X107" s="66">
        <v>0.81</v>
      </c>
      <c r="Y107" s="66">
        <v>2</v>
      </c>
      <c r="Z107" s="66">
        <v>14</v>
      </c>
      <c r="AA107" s="66">
        <v>0</v>
      </c>
      <c r="AB107" s="49" t="s">
        <v>2310</v>
      </c>
      <c r="AC107" s="66">
        <v>1991</v>
      </c>
      <c r="AD107" s="66" t="s">
        <v>1953</v>
      </c>
      <c r="AE107" s="296" t="s">
        <v>2328</v>
      </c>
      <c r="AH107" s="65" t="s">
        <v>1482</v>
      </c>
      <c r="AI107" s="131" t="s">
        <v>2132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381</v>
      </c>
      <c r="T108" s="67" t="s">
        <v>382</v>
      </c>
      <c r="U108" s="67">
        <v>8.4600000000000009</v>
      </c>
      <c r="V108" s="225">
        <v>8.39</v>
      </c>
      <c r="W108" s="67">
        <v>8.5</v>
      </c>
      <c r="X108" s="67">
        <v>0.84</v>
      </c>
      <c r="Y108" s="67">
        <v>2</v>
      </c>
      <c r="Z108" s="67">
        <v>13</v>
      </c>
      <c r="AA108" s="67">
        <v>0</v>
      </c>
      <c r="AB108" s="65" t="s">
        <v>792</v>
      </c>
      <c r="AC108" s="67">
        <v>2018</v>
      </c>
      <c r="AD108" s="67" t="s">
        <v>1956</v>
      </c>
      <c r="AE108" s="297" t="s">
        <v>2234</v>
      </c>
      <c r="AH108" s="49" t="s">
        <v>1113</v>
      </c>
      <c r="AI108" s="132" t="s">
        <v>1462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1286</v>
      </c>
      <c r="T109" s="66" t="s">
        <v>1276</v>
      </c>
      <c r="U109" s="66">
        <v>8.4499999999999993</v>
      </c>
      <c r="V109" s="180">
        <v>8.3800000000000008</v>
      </c>
      <c r="W109" s="66">
        <v>8.5</v>
      </c>
      <c r="X109" s="66">
        <v>0.78</v>
      </c>
      <c r="Y109" s="66">
        <v>1</v>
      </c>
      <c r="Z109" s="66">
        <v>11</v>
      </c>
      <c r="AA109" s="66">
        <v>0</v>
      </c>
      <c r="AB109" s="49" t="s">
        <v>1287</v>
      </c>
      <c r="AC109" s="66">
        <v>2024</v>
      </c>
      <c r="AD109" s="66" t="s">
        <v>1975</v>
      </c>
      <c r="AE109" s="296" t="s">
        <v>2202</v>
      </c>
      <c r="AH109" s="65" t="s">
        <v>1119</v>
      </c>
      <c r="AI109" s="131" t="s">
        <v>1898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2063</v>
      </c>
      <c r="T110" s="67" t="s">
        <v>2064</v>
      </c>
      <c r="U110" s="67">
        <v>8.43</v>
      </c>
      <c r="V110" s="180">
        <v>8.3800000000000008</v>
      </c>
      <c r="W110" s="67">
        <v>8.5</v>
      </c>
      <c r="X110" s="67">
        <v>0.49</v>
      </c>
      <c r="Y110" s="67">
        <v>0</v>
      </c>
      <c r="Z110" s="67">
        <v>8</v>
      </c>
      <c r="AA110" s="67">
        <v>1</v>
      </c>
      <c r="AB110" s="65" t="s">
        <v>2065</v>
      </c>
      <c r="AC110" s="67">
        <v>2026</v>
      </c>
      <c r="AD110" s="67" t="s">
        <v>1967</v>
      </c>
      <c r="AE110" s="297" t="s">
        <v>2174</v>
      </c>
      <c r="AH110" s="49" t="s">
        <v>1109</v>
      </c>
      <c r="AI110" s="132" t="s">
        <v>1803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1680</v>
      </c>
      <c r="T111" s="66" t="s">
        <v>1681</v>
      </c>
      <c r="U111" s="66">
        <v>8.4</v>
      </c>
      <c r="V111" s="226">
        <v>8.3699999999999992</v>
      </c>
      <c r="W111" s="66">
        <v>8.5</v>
      </c>
      <c r="X111" s="66">
        <v>0.37</v>
      </c>
      <c r="Y111" s="66">
        <v>0</v>
      </c>
      <c r="Z111" s="66">
        <v>5</v>
      </c>
      <c r="AA111" s="66">
        <v>0</v>
      </c>
      <c r="AB111" s="49" t="s">
        <v>1682</v>
      </c>
      <c r="AC111" s="66">
        <v>2026</v>
      </c>
      <c r="AD111" s="66" t="s">
        <v>1947</v>
      </c>
      <c r="AE111" s="296" t="s">
        <v>2186</v>
      </c>
      <c r="AH111" s="65" t="s">
        <v>1097</v>
      </c>
      <c r="AI111" s="131" t="s">
        <v>1121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357</v>
      </c>
      <c r="T112" s="67" t="s">
        <v>358</v>
      </c>
      <c r="U112" s="67">
        <v>8.42</v>
      </c>
      <c r="V112" s="181">
        <v>8.34</v>
      </c>
      <c r="W112" s="67">
        <v>8.5</v>
      </c>
      <c r="X112" s="67">
        <v>0.91</v>
      </c>
      <c r="Y112" s="67">
        <v>1</v>
      </c>
      <c r="Z112" s="67">
        <v>13</v>
      </c>
      <c r="AA112" s="67">
        <v>1</v>
      </c>
      <c r="AB112" s="65" t="s">
        <v>777</v>
      </c>
      <c r="AC112" s="67">
        <v>2000</v>
      </c>
      <c r="AD112" s="67" t="s">
        <v>1970</v>
      </c>
      <c r="AE112" s="297" t="s">
        <v>2237</v>
      </c>
      <c r="AH112" s="49" t="s">
        <v>1120</v>
      </c>
      <c r="AI112" s="132" t="s">
        <v>1121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1543</v>
      </c>
      <c r="T113" s="66" t="s">
        <v>1599</v>
      </c>
      <c r="U113" s="66">
        <v>8.44</v>
      </c>
      <c r="V113" s="181">
        <v>8.34</v>
      </c>
      <c r="W113" s="66">
        <v>8.5</v>
      </c>
      <c r="X113" s="66">
        <v>1.28</v>
      </c>
      <c r="Y113" s="66">
        <v>2</v>
      </c>
      <c r="Z113" s="66">
        <v>10</v>
      </c>
      <c r="AA113" s="66">
        <v>1</v>
      </c>
      <c r="AB113" s="49" t="s">
        <v>1604</v>
      </c>
      <c r="AC113" s="66">
        <v>2016</v>
      </c>
      <c r="AD113" s="66" t="s">
        <v>1972</v>
      </c>
      <c r="AE113" s="296" t="s">
        <v>2189</v>
      </c>
      <c r="AH113" s="65" t="s">
        <v>1122</v>
      </c>
      <c r="AI113" s="131" t="s">
        <v>1121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2097</v>
      </c>
      <c r="T114" s="67" t="s">
        <v>2083</v>
      </c>
      <c r="U114" s="67">
        <v>8.3800000000000008</v>
      </c>
      <c r="V114" s="291">
        <v>8.33</v>
      </c>
      <c r="W114" s="67">
        <v>8.5</v>
      </c>
      <c r="X114" s="67">
        <v>0.78</v>
      </c>
      <c r="Y114" s="67">
        <v>2</v>
      </c>
      <c r="Z114" s="67">
        <v>19</v>
      </c>
      <c r="AA114" s="67">
        <v>2</v>
      </c>
      <c r="AB114" s="65" t="s">
        <v>2099</v>
      </c>
      <c r="AC114" s="67">
        <v>1994</v>
      </c>
      <c r="AD114" s="67" t="s">
        <v>1934</v>
      </c>
      <c r="AE114" s="297" t="s">
        <v>2173</v>
      </c>
      <c r="AH114" s="49" t="s">
        <v>1683</v>
      </c>
      <c r="AI114" s="132" t="s">
        <v>1121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1165</v>
      </c>
      <c r="T115" s="66" t="s">
        <v>1166</v>
      </c>
      <c r="U115" s="66">
        <v>8.4600000000000009</v>
      </c>
      <c r="V115" s="227">
        <v>8.27</v>
      </c>
      <c r="W115" s="66">
        <v>8</v>
      </c>
      <c r="X115" s="66">
        <v>1.1299999999999999</v>
      </c>
      <c r="Y115" s="66">
        <v>3</v>
      </c>
      <c r="Z115" s="66">
        <v>13</v>
      </c>
      <c r="AA115" s="66">
        <v>1</v>
      </c>
      <c r="AB115" s="49" t="s">
        <v>1167</v>
      </c>
      <c r="AC115" s="66">
        <v>1993</v>
      </c>
      <c r="AD115" s="66" t="s">
        <v>1969</v>
      </c>
      <c r="AE115" s="296" t="s">
        <v>2204</v>
      </c>
      <c r="AH115" s="65" t="s">
        <v>1123</v>
      </c>
      <c r="AI115" s="131" t="s">
        <v>1124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342</v>
      </c>
      <c r="T116" s="67" t="s">
        <v>1861</v>
      </c>
      <c r="U116" s="67">
        <v>8.2899999999999991</v>
      </c>
      <c r="V116" s="227">
        <v>8.27</v>
      </c>
      <c r="W116" s="67">
        <v>8.5</v>
      </c>
      <c r="X116" s="67">
        <v>0.45</v>
      </c>
      <c r="Y116" s="67">
        <v>0</v>
      </c>
      <c r="Z116" s="67">
        <v>9</v>
      </c>
      <c r="AA116" s="67">
        <v>2</v>
      </c>
      <c r="AB116" s="65" t="s">
        <v>788</v>
      </c>
      <c r="AC116" s="67">
        <v>1998</v>
      </c>
      <c r="AD116" s="67" t="s">
        <v>1969</v>
      </c>
      <c r="AE116" s="297" t="s">
        <v>2178</v>
      </c>
      <c r="AH116" s="49" t="s">
        <v>1125</v>
      </c>
      <c r="AI116" s="132" t="s">
        <v>1126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355</v>
      </c>
      <c r="T117" s="66" t="s">
        <v>162</v>
      </c>
      <c r="U117" s="66">
        <v>8.3800000000000008</v>
      </c>
      <c r="V117" s="228">
        <v>8.25</v>
      </c>
      <c r="W117" s="66">
        <v>8.25</v>
      </c>
      <c r="X117" s="66">
        <v>1.06</v>
      </c>
      <c r="Y117" s="66">
        <v>2</v>
      </c>
      <c r="Z117" s="66">
        <v>12</v>
      </c>
      <c r="AA117" s="66">
        <v>0</v>
      </c>
      <c r="AB117" s="49" t="s">
        <v>833</v>
      </c>
      <c r="AC117" s="66">
        <v>1992</v>
      </c>
      <c r="AD117" s="66" t="s">
        <v>1966</v>
      </c>
      <c r="AE117" s="296" t="s">
        <v>2170</v>
      </c>
      <c r="AH117" s="65" t="s">
        <v>776</v>
      </c>
      <c r="AI117" s="131" t="s">
        <v>1804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342</v>
      </c>
      <c r="T118" s="67" t="s">
        <v>1726</v>
      </c>
      <c r="U118" s="67">
        <v>8.4</v>
      </c>
      <c r="V118" s="228">
        <v>8.25</v>
      </c>
      <c r="W118" s="67">
        <v>8</v>
      </c>
      <c r="X118" s="67">
        <v>0.86</v>
      </c>
      <c r="Y118" s="67">
        <v>1</v>
      </c>
      <c r="Z118" s="67">
        <v>5</v>
      </c>
      <c r="AA118" s="67">
        <v>0</v>
      </c>
      <c r="AB118" s="65" t="s">
        <v>786</v>
      </c>
      <c r="AC118" s="67">
        <v>1996</v>
      </c>
      <c r="AD118" s="67" t="s">
        <v>1961</v>
      </c>
      <c r="AE118" s="297" t="s">
        <v>2183</v>
      </c>
      <c r="AH118" s="49" t="s">
        <v>1299</v>
      </c>
      <c r="AI118" s="132" t="s">
        <v>1300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334</v>
      </c>
      <c r="T119" s="66" t="s">
        <v>318</v>
      </c>
      <c r="U119" s="66">
        <v>8.35</v>
      </c>
      <c r="V119" s="229">
        <v>8.2200000000000006</v>
      </c>
      <c r="W119" s="66">
        <v>8.25</v>
      </c>
      <c r="X119" s="66">
        <v>1.32</v>
      </c>
      <c r="Y119" s="66">
        <v>3</v>
      </c>
      <c r="Z119" s="66">
        <v>10</v>
      </c>
      <c r="AA119" s="66">
        <v>0</v>
      </c>
      <c r="AB119" s="49" t="s">
        <v>784</v>
      </c>
      <c r="AC119" s="66">
        <v>1993</v>
      </c>
      <c r="AD119" s="66" t="s">
        <v>1962</v>
      </c>
      <c r="AE119" s="296" t="s">
        <v>2234</v>
      </c>
      <c r="AH119" s="65" t="s">
        <v>1301</v>
      </c>
      <c r="AI119" s="131" t="s">
        <v>1300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356</v>
      </c>
      <c r="T120" s="67" t="s">
        <v>311</v>
      </c>
      <c r="U120" s="67">
        <v>8.35</v>
      </c>
      <c r="V120" s="230">
        <v>8.1999999999999993</v>
      </c>
      <c r="W120" s="67">
        <v>8</v>
      </c>
      <c r="X120" s="67">
        <v>0.78</v>
      </c>
      <c r="Y120" s="67">
        <v>1</v>
      </c>
      <c r="Z120" s="67">
        <v>10</v>
      </c>
      <c r="AA120" s="67">
        <v>0</v>
      </c>
      <c r="AB120" s="65" t="s">
        <v>835</v>
      </c>
      <c r="AC120" s="67">
        <v>1979</v>
      </c>
      <c r="AD120" s="67" t="s">
        <v>1965</v>
      </c>
      <c r="AE120" s="297" t="s">
        <v>2234</v>
      </c>
      <c r="AH120" s="49" t="s">
        <v>1606</v>
      </c>
      <c r="AI120" s="132" t="s">
        <v>1607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361</v>
      </c>
      <c r="T121" s="66" t="s">
        <v>362</v>
      </c>
      <c r="U121" s="66">
        <v>8.33</v>
      </c>
      <c r="V121" s="182">
        <v>8.17</v>
      </c>
      <c r="W121" s="66">
        <v>8</v>
      </c>
      <c r="X121" s="66">
        <v>0.94</v>
      </c>
      <c r="Y121" s="66">
        <v>1</v>
      </c>
      <c r="Z121" s="66">
        <v>9</v>
      </c>
      <c r="AA121" s="66">
        <v>0</v>
      </c>
      <c r="AB121" s="49" t="s">
        <v>772</v>
      </c>
      <c r="AC121" s="66">
        <v>1993</v>
      </c>
      <c r="AD121" s="66" t="s">
        <v>1960</v>
      </c>
      <c r="AE121" s="296" t="s">
        <v>2235</v>
      </c>
      <c r="AH121" s="65" t="s">
        <v>2065</v>
      </c>
      <c r="AI121" s="131" t="s">
        <v>2076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583</v>
      </c>
      <c r="T122" s="67" t="s">
        <v>584</v>
      </c>
      <c r="U122" s="67">
        <v>8.31</v>
      </c>
      <c r="V122" s="182">
        <v>8.16</v>
      </c>
      <c r="W122" s="67">
        <v>8</v>
      </c>
      <c r="X122" s="67">
        <v>0.89</v>
      </c>
      <c r="Y122" s="67">
        <v>2</v>
      </c>
      <c r="Z122" s="67">
        <v>14</v>
      </c>
      <c r="AA122" s="67">
        <v>1</v>
      </c>
      <c r="AB122" s="65" t="s">
        <v>776</v>
      </c>
      <c r="AC122" s="67">
        <v>2016</v>
      </c>
      <c r="AD122" s="67" t="s">
        <v>1956</v>
      </c>
      <c r="AE122" s="297" t="s">
        <v>2227</v>
      </c>
      <c r="AH122" s="49" t="s">
        <v>1130</v>
      </c>
      <c r="AI122" s="132" t="s">
        <v>1304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813</v>
      </c>
      <c r="T123" s="66" t="s">
        <v>814</v>
      </c>
      <c r="U123" s="66">
        <v>8.33</v>
      </c>
      <c r="V123" s="182">
        <v>8.16</v>
      </c>
      <c r="W123" s="66">
        <v>8</v>
      </c>
      <c r="X123" s="66">
        <v>1.1599999999999999</v>
      </c>
      <c r="Y123" s="66">
        <v>3</v>
      </c>
      <c r="Z123" s="66">
        <v>15</v>
      </c>
      <c r="AA123" s="66">
        <v>0</v>
      </c>
      <c r="AB123" s="49" t="s">
        <v>834</v>
      </c>
      <c r="AC123" s="66">
        <v>2003</v>
      </c>
      <c r="AD123" s="66" t="s">
        <v>1976</v>
      </c>
      <c r="AE123" s="296" t="s">
        <v>2216</v>
      </c>
      <c r="AH123" s="65" t="s">
        <v>1131</v>
      </c>
      <c r="AI123" s="131" t="s">
        <v>1304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1849</v>
      </c>
      <c r="T124" s="67" t="s">
        <v>1849</v>
      </c>
      <c r="U124" s="67">
        <v>8.2899999999999991</v>
      </c>
      <c r="V124" s="182">
        <v>8.16</v>
      </c>
      <c r="W124" s="67">
        <v>8</v>
      </c>
      <c r="X124" s="67">
        <v>0.52</v>
      </c>
      <c r="Y124" s="67">
        <v>0</v>
      </c>
      <c r="Z124" s="67">
        <v>7</v>
      </c>
      <c r="AA124" s="67">
        <v>0</v>
      </c>
      <c r="AB124" s="65" t="s">
        <v>1850</v>
      </c>
      <c r="AC124" s="67">
        <v>2018</v>
      </c>
      <c r="AD124" s="67" t="s">
        <v>1977</v>
      </c>
      <c r="AE124" s="297" t="s">
        <v>2179</v>
      </c>
      <c r="AH124" s="49" t="s">
        <v>2133</v>
      </c>
      <c r="AI124" s="132" t="s">
        <v>1128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335</v>
      </c>
      <c r="T125" s="66" t="s">
        <v>623</v>
      </c>
      <c r="U125" s="66">
        <v>8.0500000000000007</v>
      </c>
      <c r="V125" s="170">
        <v>8.11</v>
      </c>
      <c r="W125" s="66">
        <v>8.25</v>
      </c>
      <c r="X125" s="66">
        <v>1.19</v>
      </c>
      <c r="Y125" s="66">
        <v>1</v>
      </c>
      <c r="Z125" s="66">
        <v>11</v>
      </c>
      <c r="AA125" s="66">
        <v>1</v>
      </c>
      <c r="AB125" s="49" t="s">
        <v>764</v>
      </c>
      <c r="AC125" s="66">
        <v>2001</v>
      </c>
      <c r="AD125" s="66" t="s">
        <v>1972</v>
      </c>
      <c r="AE125" s="296" t="s">
        <v>2226</v>
      </c>
      <c r="AH125" s="65" t="s">
        <v>1127</v>
      </c>
      <c r="AI125" s="131" t="s">
        <v>1128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475</v>
      </c>
      <c r="T126" s="67" t="s">
        <v>476</v>
      </c>
      <c r="U126" s="67">
        <v>8.18</v>
      </c>
      <c r="V126" s="231">
        <v>8.06</v>
      </c>
      <c r="W126" s="67">
        <v>8</v>
      </c>
      <c r="X126" s="67">
        <v>0.89</v>
      </c>
      <c r="Y126" s="67">
        <v>2</v>
      </c>
      <c r="Z126" s="67">
        <v>19</v>
      </c>
      <c r="AA126" s="67">
        <v>0</v>
      </c>
      <c r="AB126" s="65" t="s">
        <v>791</v>
      </c>
      <c r="AC126" s="67">
        <v>2023</v>
      </c>
      <c r="AD126" s="67" t="s">
        <v>1955</v>
      </c>
      <c r="AE126" s="297" t="s">
        <v>2230</v>
      </c>
      <c r="AH126" s="49" t="s">
        <v>1129</v>
      </c>
      <c r="AI126" s="132" t="s">
        <v>1128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347</v>
      </c>
      <c r="T127" s="66" t="s">
        <v>1900</v>
      </c>
      <c r="U127" s="66">
        <v>8.18</v>
      </c>
      <c r="V127" s="231">
        <v>8.06</v>
      </c>
      <c r="W127" s="66">
        <v>8</v>
      </c>
      <c r="X127" s="66">
        <v>0.86</v>
      </c>
      <c r="Y127" s="66">
        <v>1</v>
      </c>
      <c r="Z127" s="66">
        <v>11</v>
      </c>
      <c r="AA127" s="66">
        <v>0</v>
      </c>
      <c r="AB127" s="49" t="s">
        <v>1910</v>
      </c>
      <c r="AC127" s="66">
        <v>2001</v>
      </c>
      <c r="AD127" s="66" t="s">
        <v>1933</v>
      </c>
      <c r="AE127" s="296" t="s">
        <v>2176</v>
      </c>
      <c r="AH127" s="65" t="s">
        <v>1134</v>
      </c>
      <c r="AI127" s="131" t="s">
        <v>1697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728</v>
      </c>
      <c r="T128" s="67" t="s">
        <v>1305</v>
      </c>
      <c r="U128" s="67">
        <v>8.11</v>
      </c>
      <c r="V128" s="183">
        <v>8</v>
      </c>
      <c r="W128" s="67">
        <v>8</v>
      </c>
      <c r="X128" s="67">
        <v>0.71</v>
      </c>
      <c r="Y128" s="67">
        <v>0</v>
      </c>
      <c r="Z128" s="67">
        <v>15</v>
      </c>
      <c r="AA128" s="67">
        <v>1</v>
      </c>
      <c r="AB128" s="65" t="s">
        <v>1321</v>
      </c>
      <c r="AC128" s="67">
        <v>2026</v>
      </c>
      <c r="AD128" s="67" t="s">
        <v>1952</v>
      </c>
      <c r="AE128" s="297" t="s">
        <v>2201</v>
      </c>
      <c r="AH128" s="49" t="s">
        <v>792</v>
      </c>
      <c r="AI128" s="132" t="s">
        <v>1132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394</v>
      </c>
      <c r="T129" s="66" t="s">
        <v>387</v>
      </c>
      <c r="U129" s="66">
        <v>8</v>
      </c>
      <c r="V129" s="232">
        <v>7.98</v>
      </c>
      <c r="W129" s="66">
        <v>8.25</v>
      </c>
      <c r="X129" s="66">
        <v>0.56000000000000005</v>
      </c>
      <c r="Y129" s="66">
        <v>0</v>
      </c>
      <c r="Z129" s="66">
        <v>9</v>
      </c>
      <c r="AA129" s="66">
        <v>1</v>
      </c>
      <c r="AB129" s="49" t="s">
        <v>767</v>
      </c>
      <c r="AC129" s="66">
        <v>2005</v>
      </c>
      <c r="AD129" s="66" t="s">
        <v>1967</v>
      </c>
      <c r="AE129" s="296" t="s">
        <v>2234</v>
      </c>
      <c r="AH129" s="65" t="s">
        <v>784</v>
      </c>
      <c r="AI129" s="131" t="s">
        <v>1832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345</v>
      </c>
      <c r="T130" s="67" t="s">
        <v>702</v>
      </c>
      <c r="U130" s="67">
        <v>8.07</v>
      </c>
      <c r="V130" s="184">
        <v>7.95</v>
      </c>
      <c r="W130" s="67">
        <v>8</v>
      </c>
      <c r="X130" s="67">
        <v>1.07</v>
      </c>
      <c r="Y130" s="67">
        <v>2</v>
      </c>
      <c r="Z130" s="67">
        <v>16</v>
      </c>
      <c r="AA130" s="67">
        <v>2</v>
      </c>
      <c r="AB130" s="65" t="s">
        <v>769</v>
      </c>
      <c r="AC130" s="67">
        <v>1997</v>
      </c>
      <c r="AD130" s="67" t="s">
        <v>1961</v>
      </c>
      <c r="AE130" s="297" t="s">
        <v>2222</v>
      </c>
      <c r="AH130" s="49" t="s">
        <v>1931</v>
      </c>
      <c r="AI130" s="132" t="s">
        <v>1932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1429</v>
      </c>
      <c r="T131" s="66" t="s">
        <v>1430</v>
      </c>
      <c r="U131" s="66">
        <v>8.0500000000000007</v>
      </c>
      <c r="V131" s="184">
        <v>7.95</v>
      </c>
      <c r="W131" s="66">
        <v>8</v>
      </c>
      <c r="X131" s="66">
        <v>0.72</v>
      </c>
      <c r="Y131" s="66">
        <v>0</v>
      </c>
      <c r="Z131" s="66">
        <v>10</v>
      </c>
      <c r="AA131" s="66">
        <v>0</v>
      </c>
      <c r="AB131" s="49" t="s">
        <v>763</v>
      </c>
      <c r="AC131" s="66">
        <v>2026</v>
      </c>
      <c r="AD131" s="66" t="s">
        <v>1967</v>
      </c>
      <c r="AE131" s="296" t="s">
        <v>2196</v>
      </c>
      <c r="AH131" s="65" t="s">
        <v>1322</v>
      </c>
      <c r="AI131" s="131" t="s">
        <v>1323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342</v>
      </c>
      <c r="T132" s="67" t="s">
        <v>1780</v>
      </c>
      <c r="U132" s="67">
        <v>8.06</v>
      </c>
      <c r="V132" s="184">
        <v>7.95</v>
      </c>
      <c r="W132" s="67">
        <v>8</v>
      </c>
      <c r="X132" s="67">
        <v>0.81</v>
      </c>
      <c r="Y132" s="67">
        <v>0</v>
      </c>
      <c r="Z132" s="67">
        <v>8</v>
      </c>
      <c r="AA132" s="67">
        <v>0</v>
      </c>
      <c r="AB132" s="65" t="s">
        <v>1088</v>
      </c>
      <c r="AC132" s="67">
        <v>2014</v>
      </c>
      <c r="AD132" s="67" t="s">
        <v>1976</v>
      </c>
      <c r="AE132" s="297" t="s">
        <v>2181</v>
      </c>
      <c r="AH132" s="49" t="s">
        <v>1590</v>
      </c>
      <c r="AI132" s="132" t="s">
        <v>1591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2362</v>
      </c>
      <c r="T133" s="66" t="s">
        <v>2363</v>
      </c>
      <c r="U133" s="66">
        <v>8</v>
      </c>
      <c r="V133" s="252">
        <v>7.94</v>
      </c>
      <c r="W133" s="66">
        <v>8</v>
      </c>
      <c r="X133" s="66">
        <v>0.45</v>
      </c>
      <c r="Y133" s="66">
        <v>0</v>
      </c>
      <c r="Z133" s="66">
        <v>10</v>
      </c>
      <c r="AA133" s="66">
        <v>0</v>
      </c>
      <c r="AB133" s="49" t="s">
        <v>1100</v>
      </c>
      <c r="AC133" s="66">
        <v>2025</v>
      </c>
      <c r="AD133" s="66" t="s">
        <v>1970</v>
      </c>
      <c r="AE133" s="296" t="s">
        <v>2334</v>
      </c>
      <c r="AH133" s="65" t="s">
        <v>1592</v>
      </c>
      <c r="AI133" s="131" t="s">
        <v>1591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345</v>
      </c>
      <c r="T134" s="67" t="s">
        <v>1577</v>
      </c>
      <c r="U134" s="67">
        <v>8</v>
      </c>
      <c r="V134" s="233">
        <v>7.79</v>
      </c>
      <c r="W134" s="67">
        <v>7.5</v>
      </c>
      <c r="X134" s="67">
        <v>0.88</v>
      </c>
      <c r="Y134" s="67">
        <v>0</v>
      </c>
      <c r="Z134" s="67">
        <v>10</v>
      </c>
      <c r="AA134" s="67">
        <v>1</v>
      </c>
      <c r="AB134" s="65" t="s">
        <v>1588</v>
      </c>
      <c r="AC134" s="67">
        <v>2005</v>
      </c>
      <c r="AD134" s="67" t="s">
        <v>1959</v>
      </c>
      <c r="AE134" s="297" t="s">
        <v>2190</v>
      </c>
      <c r="AH134" s="49" t="s">
        <v>1133</v>
      </c>
      <c r="AI134" s="132" t="s">
        <v>2002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335</v>
      </c>
      <c r="T135" s="66" t="s">
        <v>954</v>
      </c>
      <c r="U135" s="66">
        <v>7.88</v>
      </c>
      <c r="V135" s="234">
        <v>7.74</v>
      </c>
      <c r="W135" s="66">
        <v>7.75</v>
      </c>
      <c r="X135" s="66">
        <v>0.86</v>
      </c>
      <c r="Y135" s="66">
        <v>0</v>
      </c>
      <c r="Z135" s="66">
        <v>8</v>
      </c>
      <c r="AA135" s="66">
        <v>0</v>
      </c>
      <c r="AB135" s="49" t="s">
        <v>955</v>
      </c>
      <c r="AC135" s="66">
        <v>2011</v>
      </c>
      <c r="AD135" s="66" t="s">
        <v>1970</v>
      </c>
      <c r="AE135" s="296" t="s">
        <v>2211</v>
      </c>
      <c r="AH135" s="65" t="s">
        <v>1212</v>
      </c>
      <c r="AI135" s="131" t="s">
        <v>1223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1829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657</v>
      </c>
      <c r="T136" s="67" t="s">
        <v>658</v>
      </c>
      <c r="U136" s="67">
        <v>7.72</v>
      </c>
      <c r="V136" s="235">
        <v>7.7</v>
      </c>
      <c r="W136" s="67">
        <v>8</v>
      </c>
      <c r="X136" s="67">
        <v>0.57999999999999996</v>
      </c>
      <c r="Y136" s="67">
        <v>0</v>
      </c>
      <c r="Z136" s="67">
        <v>18</v>
      </c>
      <c r="AA136" s="67">
        <v>0</v>
      </c>
      <c r="AB136" s="65" t="s">
        <v>792</v>
      </c>
      <c r="AC136" s="67">
        <v>2026</v>
      </c>
      <c r="AD136" s="67" t="s">
        <v>1958</v>
      </c>
      <c r="AE136" s="297" t="s">
        <v>2224</v>
      </c>
      <c r="AH136" s="49" t="s">
        <v>1135</v>
      </c>
      <c r="AI136" s="132" t="s">
        <v>1136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505</v>
      </c>
      <c r="T137" s="66" t="s">
        <v>506</v>
      </c>
      <c r="U137" s="66">
        <v>7.67</v>
      </c>
      <c r="V137" s="236">
        <v>7.66</v>
      </c>
      <c r="W137" s="66">
        <v>8</v>
      </c>
      <c r="X137" s="66">
        <v>0.59</v>
      </c>
      <c r="Y137" s="66">
        <v>0</v>
      </c>
      <c r="Z137" s="66">
        <v>12</v>
      </c>
      <c r="AA137" s="66">
        <v>0</v>
      </c>
      <c r="AB137" s="49" t="s">
        <v>778</v>
      </c>
      <c r="AC137" s="66">
        <v>2021</v>
      </c>
      <c r="AD137" s="66" t="s">
        <v>1973</v>
      </c>
      <c r="AE137" s="296" t="s">
        <v>2229</v>
      </c>
      <c r="AH137" s="65" t="s">
        <v>1137</v>
      </c>
      <c r="AI137" s="131" t="s">
        <v>1136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346</v>
      </c>
      <c r="T138" s="67" t="s">
        <v>346</v>
      </c>
      <c r="U138" s="67">
        <v>7.77</v>
      </c>
      <c r="V138" s="237">
        <v>7.64</v>
      </c>
      <c r="W138" s="67">
        <v>7.5</v>
      </c>
      <c r="X138" s="67">
        <v>0.62</v>
      </c>
      <c r="Y138" s="67">
        <v>0</v>
      </c>
      <c r="Z138" s="67">
        <v>11</v>
      </c>
      <c r="AA138" s="67">
        <v>0</v>
      </c>
      <c r="AB138" s="65" t="s">
        <v>787</v>
      </c>
      <c r="AC138" s="67">
        <v>2026</v>
      </c>
      <c r="AD138" s="67" t="s">
        <v>1944</v>
      </c>
      <c r="AE138" s="297" t="s">
        <v>2231</v>
      </c>
      <c r="AH138" s="49" t="s">
        <v>793</v>
      </c>
      <c r="AI138" s="132" t="s">
        <v>1138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1209</v>
      </c>
      <c r="T139" s="66" t="s">
        <v>1210</v>
      </c>
      <c r="U139" s="66">
        <v>7.71</v>
      </c>
      <c r="V139" s="185">
        <v>7.61</v>
      </c>
      <c r="W139" s="66">
        <v>7.5</v>
      </c>
      <c r="X139" s="66">
        <v>0.45</v>
      </c>
      <c r="Y139" s="66">
        <v>0</v>
      </c>
      <c r="Z139" s="66">
        <v>8</v>
      </c>
      <c r="AA139" s="66">
        <v>1</v>
      </c>
      <c r="AB139" s="49" t="s">
        <v>1212</v>
      </c>
      <c r="AC139" s="66">
        <v>2020</v>
      </c>
      <c r="AD139" s="66" t="s">
        <v>1978</v>
      </c>
      <c r="AE139" s="296" t="s">
        <v>2203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335</v>
      </c>
      <c r="T140" s="67" t="s">
        <v>993</v>
      </c>
      <c r="U140" s="67">
        <v>7.5</v>
      </c>
      <c r="V140" s="238">
        <v>7.4</v>
      </c>
      <c r="W140" s="67">
        <v>7.5</v>
      </c>
      <c r="X140" s="67">
        <v>0.76</v>
      </c>
      <c r="Y140" s="67">
        <v>0</v>
      </c>
      <c r="Z140" s="67">
        <v>12</v>
      </c>
      <c r="AA140" s="67">
        <v>0</v>
      </c>
      <c r="AB140" s="65" t="s">
        <v>785</v>
      </c>
      <c r="AC140" s="67">
        <v>1993</v>
      </c>
      <c r="AD140" s="67" t="s">
        <v>1936</v>
      </c>
      <c r="AE140" s="297" t="s">
        <v>2209</v>
      </c>
      <c r="AH140" s="130" t="s">
        <v>2003</v>
      </c>
      <c r="AI140" s="130"/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828</v>
      </c>
      <c r="T141" s="66" t="s">
        <v>1919</v>
      </c>
      <c r="U141" s="66">
        <v>7.31</v>
      </c>
      <c r="V141" s="280">
        <v>7.2</v>
      </c>
      <c r="W141" s="66">
        <v>7.25</v>
      </c>
      <c r="X141" s="66">
        <v>0.73</v>
      </c>
      <c r="Y141" s="66">
        <v>0</v>
      </c>
      <c r="Z141" s="66">
        <v>18</v>
      </c>
      <c r="AA141" s="66">
        <v>0</v>
      </c>
      <c r="AB141" s="49" t="s">
        <v>1133</v>
      </c>
      <c r="AC141" s="66">
        <v>2026</v>
      </c>
      <c r="AD141" s="66" t="s">
        <v>1936</v>
      </c>
      <c r="AE141" s="296" t="s">
        <v>2176</v>
      </c>
      <c r="AH141" s="65" t="s">
        <v>2004</v>
      </c>
      <c r="AI141" s="131" t="s">
        <v>2431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427</v>
      </c>
      <c r="T142" s="67" t="s">
        <v>428</v>
      </c>
      <c r="U142" s="67">
        <v>7.29</v>
      </c>
      <c r="V142" s="239">
        <v>7.16</v>
      </c>
      <c r="W142" s="67">
        <v>7</v>
      </c>
      <c r="X142" s="67">
        <v>0.52</v>
      </c>
      <c r="Y142" s="67">
        <v>0</v>
      </c>
      <c r="Z142" s="67">
        <v>7</v>
      </c>
      <c r="AA142" s="67">
        <v>0</v>
      </c>
      <c r="AB142" s="65" t="s">
        <v>793</v>
      </c>
      <c r="AC142" s="67">
        <v>2021</v>
      </c>
      <c r="AD142" s="67" t="s">
        <v>1979</v>
      </c>
      <c r="AE142" s="297" t="s">
        <v>2232</v>
      </c>
      <c r="AH142" s="49" t="s">
        <v>2005</v>
      </c>
      <c r="AI142" s="132">
        <v>1969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678</v>
      </c>
      <c r="T143" s="66" t="s">
        <v>679</v>
      </c>
      <c r="U143" s="66">
        <v>7.06</v>
      </c>
      <c r="V143" s="240">
        <v>6.99</v>
      </c>
      <c r="W143" s="66">
        <v>7</v>
      </c>
      <c r="X143" s="66">
        <v>0.44</v>
      </c>
      <c r="Y143" s="66">
        <v>0</v>
      </c>
      <c r="Z143" s="66">
        <v>10</v>
      </c>
      <c r="AA143" s="66">
        <v>1</v>
      </c>
      <c r="AB143" s="49" t="s">
        <v>786</v>
      </c>
      <c r="AC143" s="66">
        <v>2026</v>
      </c>
      <c r="AD143" s="66" t="s">
        <v>1980</v>
      </c>
      <c r="AE143" s="296" t="s">
        <v>2223</v>
      </c>
      <c r="AH143" s="65" t="s">
        <v>2006</v>
      </c>
      <c r="AI143" s="131">
        <v>2026</v>
      </c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343</v>
      </c>
      <c r="T144" s="67" t="s">
        <v>1816</v>
      </c>
      <c r="U144" s="67">
        <v>3.68</v>
      </c>
      <c r="V144" s="251">
        <v>3.37</v>
      </c>
      <c r="W144" s="67">
        <v>3</v>
      </c>
      <c r="X144" s="67">
        <v>1.37</v>
      </c>
      <c r="Y144" s="67">
        <v>0</v>
      </c>
      <c r="Z144" s="67">
        <v>11</v>
      </c>
      <c r="AA144" s="67">
        <v>0</v>
      </c>
      <c r="AB144" s="65" t="s">
        <v>784</v>
      </c>
      <c r="AC144" s="67">
        <v>2003</v>
      </c>
      <c r="AD144" s="67" t="s">
        <v>1937</v>
      </c>
      <c r="AE144" s="297" t="s">
        <v>2180</v>
      </c>
      <c r="AH144" s="49" t="s">
        <v>2007</v>
      </c>
      <c r="AI144" s="132" t="s">
        <v>2401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V145"/>
      <c r="W145"/>
      <c r="X145"/>
      <c r="Y145"/>
      <c r="Z145"/>
      <c r="AH145" s="65" t="s">
        <v>2008</v>
      </c>
      <c r="AI145" s="131" t="s">
        <v>2402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316" t="s">
        <v>1355</v>
      </c>
      <c r="S146" s="316"/>
      <c r="T146" s="316"/>
      <c r="U146" s="316"/>
      <c r="V146" s="316"/>
      <c r="W146" s="316"/>
      <c r="X146" s="316"/>
      <c r="Y146" s="316"/>
      <c r="Z146" s="316"/>
      <c r="AA146" s="316"/>
      <c r="AB146" s="316"/>
      <c r="AC146" s="316"/>
      <c r="AD146" s="316"/>
      <c r="AE146" s="316"/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48" t="s">
        <v>360</v>
      </c>
      <c r="S147" s="48" t="s">
        <v>327</v>
      </c>
      <c r="T147" s="48" t="s">
        <v>525</v>
      </c>
      <c r="U147" s="48" t="s">
        <v>329</v>
      </c>
      <c r="V147" s="48" t="s">
        <v>2052</v>
      </c>
      <c r="W147" s="48" t="s">
        <v>523</v>
      </c>
      <c r="X147" s="48" t="s">
        <v>330</v>
      </c>
      <c r="Y147" s="48" t="s">
        <v>331</v>
      </c>
      <c r="Z147" s="48" t="s">
        <v>332</v>
      </c>
      <c r="AA147" s="48" t="s">
        <v>333</v>
      </c>
      <c r="AB147" s="48" t="s">
        <v>922</v>
      </c>
      <c r="AC147" s="48" t="s">
        <v>1981</v>
      </c>
      <c r="AD147" s="48" t="s">
        <v>1982</v>
      </c>
      <c r="AE147" s="48" t="s">
        <v>2167</v>
      </c>
      <c r="AH147" s="130" t="s">
        <v>2009</v>
      </c>
      <c r="AI147" s="130"/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7">
        <v>1</v>
      </c>
      <c r="S148" s="49" t="s">
        <v>340</v>
      </c>
      <c r="T148" s="66">
        <v>4</v>
      </c>
      <c r="U148" s="66">
        <v>9.48</v>
      </c>
      <c r="V148" s="201">
        <v>9.73</v>
      </c>
      <c r="W148" s="66">
        <v>9.56</v>
      </c>
      <c r="X148" s="66">
        <v>0.76</v>
      </c>
      <c r="Y148" s="66">
        <v>13</v>
      </c>
      <c r="Z148" s="66">
        <v>26</v>
      </c>
      <c r="AA148" s="66">
        <v>1</v>
      </c>
      <c r="AB148" s="49" t="s">
        <v>1042</v>
      </c>
      <c r="AC148" s="66" t="s">
        <v>1983</v>
      </c>
      <c r="AD148" s="66" t="s">
        <v>1972</v>
      </c>
      <c r="AE148" s="296" t="s">
        <v>2239</v>
      </c>
      <c r="AH148" s="49" t="s">
        <v>2010</v>
      </c>
      <c r="AI148" s="132" t="s">
        <v>2403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8">
        <v>2</v>
      </c>
      <c r="S149" s="65" t="s">
        <v>334</v>
      </c>
      <c r="T149" s="67">
        <v>5</v>
      </c>
      <c r="U149" s="67">
        <v>9.36</v>
      </c>
      <c r="V149" s="241">
        <v>9.68</v>
      </c>
      <c r="W149" s="67">
        <v>9.65</v>
      </c>
      <c r="X149" s="67">
        <v>0.91</v>
      </c>
      <c r="Y149" s="67">
        <v>22</v>
      </c>
      <c r="Z149" s="67">
        <v>58</v>
      </c>
      <c r="AA149" s="67">
        <v>14</v>
      </c>
      <c r="AB149" s="65" t="s">
        <v>1273</v>
      </c>
      <c r="AC149" s="67" t="s">
        <v>1984</v>
      </c>
      <c r="AD149" s="67" t="s">
        <v>1934</v>
      </c>
      <c r="AE149" s="297" t="s">
        <v>2239</v>
      </c>
      <c r="AH149" s="65" t="s">
        <v>2011</v>
      </c>
      <c r="AI149" s="131" t="s">
        <v>2164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9">
        <v>3</v>
      </c>
      <c r="S150" s="49" t="s">
        <v>339</v>
      </c>
      <c r="T150" s="66">
        <v>3</v>
      </c>
      <c r="U150" s="66">
        <v>9.18</v>
      </c>
      <c r="V150" s="242">
        <v>9.1999999999999993</v>
      </c>
      <c r="W150" s="66">
        <v>8.92</v>
      </c>
      <c r="X150" s="66">
        <v>0.74</v>
      </c>
      <c r="Y150" s="66">
        <v>5</v>
      </c>
      <c r="Z150" s="66">
        <v>16</v>
      </c>
      <c r="AA150" s="66">
        <v>0</v>
      </c>
      <c r="AB150" s="49" t="s">
        <v>1417</v>
      </c>
      <c r="AC150" s="66" t="s">
        <v>1985</v>
      </c>
      <c r="AD150" s="66" t="s">
        <v>1953</v>
      </c>
      <c r="AE150" s="296" t="s">
        <v>2239</v>
      </c>
      <c r="AH150" s="49" t="s">
        <v>2012</v>
      </c>
      <c r="AI150" s="132" t="s">
        <v>2375</v>
      </c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4</v>
      </c>
      <c r="S151" s="65" t="s">
        <v>338</v>
      </c>
      <c r="T151" s="67">
        <v>2</v>
      </c>
      <c r="U151" s="67">
        <v>8.99</v>
      </c>
      <c r="V151" s="210">
        <v>9.0399999999999991</v>
      </c>
      <c r="W151" s="67">
        <v>8.75</v>
      </c>
      <c r="X151" s="67">
        <v>0.9</v>
      </c>
      <c r="Y151" s="67">
        <v>5</v>
      </c>
      <c r="Z151" s="67">
        <v>18</v>
      </c>
      <c r="AA151" s="67">
        <v>0</v>
      </c>
      <c r="AB151" s="65" t="s">
        <v>2151</v>
      </c>
      <c r="AC151" s="67" t="s">
        <v>2152</v>
      </c>
      <c r="AD151" s="67" t="s">
        <v>1972</v>
      </c>
      <c r="AE151" s="297" t="s">
        <v>2239</v>
      </c>
      <c r="AH151" s="65" t="s">
        <v>2013</v>
      </c>
      <c r="AI151" s="131" t="s">
        <v>2333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5</v>
      </c>
      <c r="S152" s="49" t="s">
        <v>490</v>
      </c>
      <c r="T152" s="66">
        <v>3</v>
      </c>
      <c r="U152" s="66">
        <v>8.94</v>
      </c>
      <c r="V152" s="211">
        <v>9</v>
      </c>
      <c r="W152" s="66">
        <v>8.83</v>
      </c>
      <c r="X152" s="66">
        <v>0.85</v>
      </c>
      <c r="Y152" s="66">
        <v>6</v>
      </c>
      <c r="Z152" s="66">
        <v>27</v>
      </c>
      <c r="AA152" s="66">
        <v>0</v>
      </c>
      <c r="AB152" s="49" t="s">
        <v>767</v>
      </c>
      <c r="AC152" s="66" t="s">
        <v>1986</v>
      </c>
      <c r="AD152" s="66" t="s">
        <v>1951</v>
      </c>
      <c r="AE152" s="296" t="s">
        <v>2239</v>
      </c>
      <c r="AH152" s="49" t="s">
        <v>2014</v>
      </c>
      <c r="AI152" s="132" t="s">
        <v>2404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6</v>
      </c>
      <c r="S153" s="65" t="s">
        <v>1192</v>
      </c>
      <c r="T153" s="67">
        <v>2</v>
      </c>
      <c r="U153" s="67">
        <v>8.7200000000000006</v>
      </c>
      <c r="V153" s="282">
        <v>8.9</v>
      </c>
      <c r="W153" s="67">
        <v>8.5</v>
      </c>
      <c r="X153" s="67">
        <v>0.94</v>
      </c>
      <c r="Y153" s="67">
        <v>10</v>
      </c>
      <c r="Z153" s="67">
        <v>54</v>
      </c>
      <c r="AA153" s="67">
        <v>2</v>
      </c>
      <c r="AB153" s="65" t="s">
        <v>1575</v>
      </c>
      <c r="AC153" s="67" t="s">
        <v>2146</v>
      </c>
      <c r="AD153" s="67" t="s">
        <v>2147</v>
      </c>
      <c r="AE153" s="297" t="s">
        <v>2239</v>
      </c>
      <c r="AH153" s="65" t="s">
        <v>2015</v>
      </c>
      <c r="AI153" s="131" t="s">
        <v>2434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7</v>
      </c>
      <c r="S154" s="49" t="s">
        <v>349</v>
      </c>
      <c r="T154" s="66">
        <v>2</v>
      </c>
      <c r="U154" s="66">
        <v>8.83</v>
      </c>
      <c r="V154" s="173">
        <v>8.85</v>
      </c>
      <c r="W154" s="66">
        <v>8.5</v>
      </c>
      <c r="X154" s="66">
        <v>0.88</v>
      </c>
      <c r="Y154" s="66">
        <v>4</v>
      </c>
      <c r="Z154" s="66">
        <v>18</v>
      </c>
      <c r="AA154" s="66">
        <v>0</v>
      </c>
      <c r="AB154" s="49" t="s">
        <v>2053</v>
      </c>
      <c r="AC154" s="66" t="s">
        <v>1988</v>
      </c>
      <c r="AD154" s="66" t="s">
        <v>1953</v>
      </c>
      <c r="AE154" s="296" t="s">
        <v>2239</v>
      </c>
      <c r="AH154" s="49" t="s">
        <v>2016</v>
      </c>
      <c r="AI154" s="132" t="s">
        <v>2435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R155" s="56">
        <v>8</v>
      </c>
      <c r="S155" s="65" t="s">
        <v>354</v>
      </c>
      <c r="T155" s="67">
        <v>2</v>
      </c>
      <c r="U155" s="67">
        <v>8.85</v>
      </c>
      <c r="V155" s="215">
        <v>8.84</v>
      </c>
      <c r="W155" s="67">
        <v>8.75</v>
      </c>
      <c r="X155" s="67">
        <v>0.73</v>
      </c>
      <c r="Y155" s="67">
        <v>4</v>
      </c>
      <c r="Z155" s="67">
        <v>25</v>
      </c>
      <c r="AA155" s="67">
        <v>0</v>
      </c>
      <c r="AB155" s="65" t="s">
        <v>1878</v>
      </c>
      <c r="AC155" s="67" t="s">
        <v>1987</v>
      </c>
      <c r="AD155" s="67" t="s">
        <v>1950</v>
      </c>
      <c r="AE155" s="297" t="s">
        <v>2239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56">
        <v>9</v>
      </c>
      <c r="S156" s="49" t="s">
        <v>335</v>
      </c>
      <c r="T156" s="66">
        <v>9</v>
      </c>
      <c r="U156" s="66">
        <v>8.67</v>
      </c>
      <c r="V156" s="174">
        <v>8.7899999999999991</v>
      </c>
      <c r="W156" s="66">
        <v>8.69</v>
      </c>
      <c r="X156" s="66">
        <v>0.86</v>
      </c>
      <c r="Y156" s="66">
        <v>20</v>
      </c>
      <c r="Z156" s="66">
        <v>101</v>
      </c>
      <c r="AA156" s="66">
        <v>4</v>
      </c>
      <c r="AB156" s="49" t="s">
        <v>956</v>
      </c>
      <c r="AC156" s="66" t="s">
        <v>1991</v>
      </c>
      <c r="AD156" s="66" t="s">
        <v>1944</v>
      </c>
      <c r="AE156" s="296" t="s">
        <v>2239</v>
      </c>
      <c r="AH156" s="130" t="s">
        <v>2017</v>
      </c>
      <c r="AI156" s="130"/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56">
        <v>10</v>
      </c>
      <c r="S157" s="65" t="s">
        <v>353</v>
      </c>
      <c r="T157" s="67">
        <v>3</v>
      </c>
      <c r="U157" s="67">
        <v>8.77</v>
      </c>
      <c r="V157" s="174">
        <v>8.7899999999999991</v>
      </c>
      <c r="W157" s="67">
        <v>8.67</v>
      </c>
      <c r="X157" s="67">
        <v>0.81</v>
      </c>
      <c r="Y157" s="67">
        <v>6</v>
      </c>
      <c r="Z157" s="67">
        <v>34</v>
      </c>
      <c r="AA157" s="67">
        <v>1</v>
      </c>
      <c r="AB157" s="65" t="s">
        <v>1669</v>
      </c>
      <c r="AC157" s="67" t="s">
        <v>1989</v>
      </c>
      <c r="AD157" s="67" t="s">
        <v>1963</v>
      </c>
      <c r="AE157" s="297" t="s">
        <v>2239</v>
      </c>
      <c r="AH157" s="65" t="s">
        <v>2018</v>
      </c>
      <c r="AI157" s="131" t="s">
        <v>2431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6">
        <v>11</v>
      </c>
      <c r="S158" s="49" t="s">
        <v>1718</v>
      </c>
      <c r="T158" s="66">
        <v>2</v>
      </c>
      <c r="U158" s="66">
        <v>8.81</v>
      </c>
      <c r="V158" s="175">
        <v>8.77</v>
      </c>
      <c r="W158" s="66">
        <v>8.5</v>
      </c>
      <c r="X158" s="66">
        <v>0.81</v>
      </c>
      <c r="Y158" s="66">
        <v>3</v>
      </c>
      <c r="Z158" s="66">
        <v>16</v>
      </c>
      <c r="AA158" s="66">
        <v>0</v>
      </c>
      <c r="AB158" s="49" t="s">
        <v>1374</v>
      </c>
      <c r="AC158" s="66" t="s">
        <v>2168</v>
      </c>
      <c r="AD158" s="66" t="s">
        <v>1936</v>
      </c>
      <c r="AE158" s="296" t="s">
        <v>2239</v>
      </c>
      <c r="AH158" s="49" t="s">
        <v>2019</v>
      </c>
      <c r="AI158" s="132" t="s">
        <v>1976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6">
        <v>12</v>
      </c>
      <c r="S159" s="65" t="s">
        <v>1459</v>
      </c>
      <c r="T159" s="67">
        <v>2</v>
      </c>
      <c r="U159" s="67">
        <v>8.77</v>
      </c>
      <c r="V159" s="177">
        <v>8.67</v>
      </c>
      <c r="W159" s="67">
        <v>8.5</v>
      </c>
      <c r="X159" s="67">
        <v>0.62</v>
      </c>
      <c r="Y159" s="67">
        <v>2</v>
      </c>
      <c r="Z159" s="67">
        <v>17</v>
      </c>
      <c r="AA159" s="67">
        <v>1</v>
      </c>
      <c r="AB159" s="65" t="s">
        <v>1719</v>
      </c>
      <c r="AC159" s="67" t="s">
        <v>2308</v>
      </c>
      <c r="AD159" s="67" t="s">
        <v>1990</v>
      </c>
      <c r="AE159" s="297" t="s">
        <v>2239</v>
      </c>
      <c r="AH159" s="65" t="s">
        <v>2020</v>
      </c>
      <c r="AI159" s="131" t="s">
        <v>2149</v>
      </c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6">
        <v>13</v>
      </c>
      <c r="S160" s="49" t="s">
        <v>849</v>
      </c>
      <c r="T160" s="66">
        <v>2</v>
      </c>
      <c r="U160" s="66">
        <v>8.64</v>
      </c>
      <c r="V160" s="218">
        <v>8.6300000000000008</v>
      </c>
      <c r="W160" s="66">
        <v>8.5</v>
      </c>
      <c r="X160" s="66">
        <v>0.68</v>
      </c>
      <c r="Y160" s="66">
        <v>3</v>
      </c>
      <c r="Z160" s="66">
        <v>29</v>
      </c>
      <c r="AA160" s="66">
        <v>0</v>
      </c>
      <c r="AB160" s="49" t="s">
        <v>850</v>
      </c>
      <c r="AC160" s="66" t="s">
        <v>2347</v>
      </c>
      <c r="AD160" s="66" t="s">
        <v>1967</v>
      </c>
      <c r="AE160" s="296" t="s">
        <v>2239</v>
      </c>
      <c r="AH160" s="49" t="s">
        <v>2021</v>
      </c>
      <c r="AI160" s="132" t="s">
        <v>2022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14</v>
      </c>
      <c r="S161" s="65" t="s">
        <v>1543</v>
      </c>
      <c r="T161" s="67">
        <v>2</v>
      </c>
      <c r="U161" s="67">
        <v>8.6300000000000008</v>
      </c>
      <c r="V161" s="243">
        <v>8.59</v>
      </c>
      <c r="W161" s="67">
        <v>8.5</v>
      </c>
      <c r="X161" s="67">
        <v>1.05</v>
      </c>
      <c r="Y161" s="67">
        <v>4</v>
      </c>
      <c r="Z161" s="67">
        <v>22</v>
      </c>
      <c r="AA161" s="67">
        <v>2</v>
      </c>
      <c r="AB161" s="65" t="s">
        <v>1605</v>
      </c>
      <c r="AC161" s="67" t="s">
        <v>1992</v>
      </c>
      <c r="AD161" s="67" t="s">
        <v>1976</v>
      </c>
      <c r="AE161" s="297" t="s">
        <v>2239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15</v>
      </c>
      <c r="S162" s="49" t="s">
        <v>342</v>
      </c>
      <c r="T162" s="66">
        <v>9</v>
      </c>
      <c r="U162" s="66">
        <v>8.6</v>
      </c>
      <c r="V162" s="127">
        <v>8.56</v>
      </c>
      <c r="W162" s="66">
        <v>8.5</v>
      </c>
      <c r="X162" s="66">
        <v>0.74</v>
      </c>
      <c r="Y162" s="66">
        <v>8</v>
      </c>
      <c r="Z162" s="66">
        <v>67</v>
      </c>
      <c r="AA162" s="66">
        <v>2</v>
      </c>
      <c r="AB162" s="49" t="s">
        <v>2050</v>
      </c>
      <c r="AC162" s="66" t="s">
        <v>2051</v>
      </c>
      <c r="AD162" s="66" t="s">
        <v>1973</v>
      </c>
      <c r="AE162" s="296" t="s">
        <v>2239</v>
      </c>
      <c r="AH162" s="130" t="s">
        <v>2023</v>
      </c>
      <c r="AI162" s="130"/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16</v>
      </c>
      <c r="S163" s="65" t="s">
        <v>728</v>
      </c>
      <c r="T163" s="67">
        <v>3</v>
      </c>
      <c r="U163" s="67">
        <v>8.5500000000000007</v>
      </c>
      <c r="V163" s="179">
        <v>8.5500000000000007</v>
      </c>
      <c r="W163" s="67">
        <v>8.17</v>
      </c>
      <c r="X163" s="67">
        <v>0.83</v>
      </c>
      <c r="Y163" s="67">
        <v>6</v>
      </c>
      <c r="Z163" s="67">
        <v>46</v>
      </c>
      <c r="AA163" s="67">
        <v>4</v>
      </c>
      <c r="AB163" s="65" t="s">
        <v>1461</v>
      </c>
      <c r="AC163" s="67" t="s">
        <v>1993</v>
      </c>
      <c r="AD163" s="67" t="s">
        <v>1956</v>
      </c>
      <c r="AE163" s="297" t="s">
        <v>2239</v>
      </c>
      <c r="AH163" s="65" t="s">
        <v>2024</v>
      </c>
      <c r="AI163" s="131"/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17</v>
      </c>
      <c r="S164" s="49" t="s">
        <v>347</v>
      </c>
      <c r="T164" s="66">
        <v>2</v>
      </c>
      <c r="U164" s="66">
        <v>8.5399999999999991</v>
      </c>
      <c r="V164" s="222">
        <v>8.4700000000000006</v>
      </c>
      <c r="W164" s="66">
        <v>8.5</v>
      </c>
      <c r="X164" s="66">
        <v>0.78</v>
      </c>
      <c r="Y164" s="66">
        <v>3</v>
      </c>
      <c r="Z164" s="66">
        <v>20</v>
      </c>
      <c r="AA164" s="66">
        <v>0</v>
      </c>
      <c r="AB164" s="49" t="s">
        <v>1930</v>
      </c>
      <c r="AC164" s="66" t="s">
        <v>1994</v>
      </c>
      <c r="AD164" s="66" t="s">
        <v>1949</v>
      </c>
      <c r="AE164" s="296" t="s">
        <v>2239</v>
      </c>
      <c r="AH164" s="49" t="s">
        <v>1047</v>
      </c>
      <c r="AI164" s="132" t="s">
        <v>2436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18</v>
      </c>
      <c r="S165" s="65" t="s">
        <v>1165</v>
      </c>
      <c r="T165" s="67">
        <v>2</v>
      </c>
      <c r="U165" s="67">
        <v>8.52</v>
      </c>
      <c r="V165" s="246">
        <v>8.4499999999999993</v>
      </c>
      <c r="W165" s="67">
        <v>8.25</v>
      </c>
      <c r="X165" s="67">
        <v>0.96</v>
      </c>
      <c r="Y165" s="67">
        <v>6</v>
      </c>
      <c r="Z165" s="67">
        <v>41</v>
      </c>
      <c r="AA165" s="67">
        <v>2</v>
      </c>
      <c r="AB165" s="65" t="s">
        <v>1769</v>
      </c>
      <c r="AC165" s="67" t="s">
        <v>1995</v>
      </c>
      <c r="AD165" s="67" t="s">
        <v>1996</v>
      </c>
      <c r="AE165" s="297" t="s">
        <v>2239</v>
      </c>
      <c r="AH165" s="65" t="s">
        <v>2025</v>
      </c>
      <c r="AI165" s="131" t="s">
        <v>2437</v>
      </c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19</v>
      </c>
      <c r="S166" s="49" t="s">
        <v>345</v>
      </c>
      <c r="T166" s="66">
        <v>4</v>
      </c>
      <c r="U166" s="66">
        <v>8.4600000000000009</v>
      </c>
      <c r="V166" s="277">
        <v>8.4</v>
      </c>
      <c r="W166" s="66">
        <v>8.25</v>
      </c>
      <c r="X166" s="66">
        <v>0.95</v>
      </c>
      <c r="Y166" s="66">
        <v>8</v>
      </c>
      <c r="Z166" s="66">
        <v>53</v>
      </c>
      <c r="AA166" s="66">
        <v>4</v>
      </c>
      <c r="AB166" s="49" t="s">
        <v>1589</v>
      </c>
      <c r="AC166" s="66" t="s">
        <v>1997</v>
      </c>
      <c r="AD166" s="66" t="s">
        <v>1990</v>
      </c>
      <c r="AE166" s="296" t="s">
        <v>2239</v>
      </c>
      <c r="AH166" s="49" t="s">
        <v>1050</v>
      </c>
      <c r="AI166" s="132" t="s">
        <v>2438</v>
      </c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20</v>
      </c>
      <c r="S167" s="65" t="s">
        <v>346</v>
      </c>
      <c r="T167" s="67">
        <v>2</v>
      </c>
      <c r="U167" s="67">
        <v>8.39</v>
      </c>
      <c r="V167" s="226">
        <v>8.3699999999999992</v>
      </c>
      <c r="W167" s="67">
        <v>8.25</v>
      </c>
      <c r="X167" s="67">
        <v>0.72</v>
      </c>
      <c r="Y167" s="67">
        <v>2</v>
      </c>
      <c r="Z167" s="67">
        <v>20</v>
      </c>
      <c r="AA167" s="67">
        <v>0</v>
      </c>
      <c r="AB167" s="65" t="s">
        <v>787</v>
      </c>
      <c r="AC167" s="67" t="s">
        <v>1998</v>
      </c>
      <c r="AD167" s="67" t="s">
        <v>1935</v>
      </c>
      <c r="AE167" s="297" t="s">
        <v>2239</v>
      </c>
      <c r="AH167" s="65" t="s">
        <v>1056</v>
      </c>
      <c r="AI167" s="131" t="s">
        <v>2439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21</v>
      </c>
      <c r="S168" s="49" t="s">
        <v>343</v>
      </c>
      <c r="T168" s="66">
        <v>6</v>
      </c>
      <c r="U168" s="66">
        <v>8.0399999999999991</v>
      </c>
      <c r="V168" s="312">
        <v>8.0500000000000007</v>
      </c>
      <c r="W168" s="66">
        <v>7.88</v>
      </c>
      <c r="X168" s="66">
        <v>1.02</v>
      </c>
      <c r="Y168" s="66">
        <v>13</v>
      </c>
      <c r="Z168" s="66">
        <v>58</v>
      </c>
      <c r="AA168" s="66">
        <v>0</v>
      </c>
      <c r="AB168" s="49" t="s">
        <v>1830</v>
      </c>
      <c r="AC168" s="66" t="s">
        <v>2350</v>
      </c>
      <c r="AD168" s="66" t="s">
        <v>1951</v>
      </c>
      <c r="AE168" s="296" t="s">
        <v>2239</v>
      </c>
      <c r="AH168" s="49" t="s">
        <v>331</v>
      </c>
      <c r="AI168" s="132" t="s">
        <v>2424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22</v>
      </c>
      <c r="S169" s="65" t="s">
        <v>828</v>
      </c>
      <c r="T169" s="67">
        <v>2</v>
      </c>
      <c r="U169" s="67">
        <v>8.07</v>
      </c>
      <c r="V169" s="281">
        <v>7.99</v>
      </c>
      <c r="W169" s="67">
        <v>8.1300000000000008</v>
      </c>
      <c r="X169" s="67">
        <v>0.8</v>
      </c>
      <c r="Y169" s="67">
        <v>3</v>
      </c>
      <c r="Z169" s="67">
        <v>31</v>
      </c>
      <c r="AA169" s="67">
        <v>2</v>
      </c>
      <c r="AB169" s="65" t="s">
        <v>1999</v>
      </c>
      <c r="AC169" s="67" t="s">
        <v>2000</v>
      </c>
      <c r="AD169" s="67" t="s">
        <v>1976</v>
      </c>
      <c r="AE169" s="297" t="s">
        <v>2239</v>
      </c>
      <c r="AH169" s="65" t="s">
        <v>2026</v>
      </c>
      <c r="AI169" s="131" t="s">
        <v>2440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V170"/>
      <c r="W170"/>
      <c r="X170"/>
      <c r="Y170"/>
      <c r="Z170"/>
      <c r="AH170" s="49" t="s">
        <v>2027</v>
      </c>
      <c r="AI170" s="132" t="s">
        <v>2405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316" t="s">
        <v>1802</v>
      </c>
      <c r="S171" s="316"/>
      <c r="T171" s="316"/>
      <c r="U171" s="316"/>
      <c r="V171" s="316"/>
      <c r="W171"/>
      <c r="X171"/>
      <c r="Y171"/>
      <c r="Z171"/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48" t="s">
        <v>360</v>
      </c>
      <c r="S172" s="48" t="s">
        <v>327</v>
      </c>
      <c r="T172" s="48" t="s">
        <v>328</v>
      </c>
      <c r="U172" s="48" t="s">
        <v>329</v>
      </c>
      <c r="V172" s="48" t="s">
        <v>1014</v>
      </c>
      <c r="W172"/>
      <c r="X172"/>
      <c r="Y172"/>
      <c r="Z172"/>
      <c r="AH172" s="49" t="s">
        <v>2028</v>
      </c>
      <c r="AI172" s="132" t="s">
        <v>2425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7">
        <v>1</v>
      </c>
      <c r="S173" s="49" t="s">
        <v>1008</v>
      </c>
      <c r="T173" s="49" t="s">
        <v>1006</v>
      </c>
      <c r="U173" s="66">
        <v>10.5</v>
      </c>
      <c r="V173" s="121">
        <v>10.85</v>
      </c>
      <c r="W173"/>
      <c r="X173"/>
      <c r="Y173"/>
      <c r="Z173"/>
      <c r="AH173" s="65" t="s">
        <v>2029</v>
      </c>
      <c r="AI173" s="131" t="s">
        <v>2406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8">
        <v>2</v>
      </c>
      <c r="S174" s="65" t="s">
        <v>334</v>
      </c>
      <c r="T174" s="65" t="s">
        <v>7</v>
      </c>
      <c r="U174" s="67">
        <v>9.89</v>
      </c>
      <c r="V174" s="121">
        <v>10.52</v>
      </c>
      <c r="W174"/>
      <c r="X174"/>
      <c r="Y174"/>
      <c r="Z174"/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9">
        <v>3</v>
      </c>
      <c r="S175" s="49" t="s">
        <v>340</v>
      </c>
      <c r="T175" s="49" t="s">
        <v>1039</v>
      </c>
      <c r="U175" s="66">
        <v>10</v>
      </c>
      <c r="V175" s="121">
        <v>10.39</v>
      </c>
      <c r="W175"/>
      <c r="X175"/>
      <c r="Y175"/>
      <c r="Z175"/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4</v>
      </c>
      <c r="S176" s="65" t="s">
        <v>335</v>
      </c>
      <c r="T176" s="65" t="s">
        <v>336</v>
      </c>
      <c r="U176" s="67">
        <v>9.6999999999999993</v>
      </c>
      <c r="V176" s="121">
        <v>10.37</v>
      </c>
      <c r="W176"/>
      <c r="X176"/>
      <c r="Y176"/>
      <c r="Z176"/>
    </row>
    <row r="177" spans="1:26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5</v>
      </c>
      <c r="S177" s="49" t="s">
        <v>684</v>
      </c>
      <c r="T177" s="49" t="s">
        <v>685</v>
      </c>
      <c r="U177" s="66">
        <v>9.8800000000000008</v>
      </c>
      <c r="V177" s="121">
        <v>10.220000000000001</v>
      </c>
      <c r="W177"/>
      <c r="X177"/>
      <c r="Y177"/>
      <c r="Z177"/>
    </row>
    <row r="178" spans="1:26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6</v>
      </c>
      <c r="S178" s="65" t="s">
        <v>338</v>
      </c>
      <c r="T178" s="65" t="s">
        <v>274</v>
      </c>
      <c r="U178" s="67">
        <v>9.3800000000000008</v>
      </c>
      <c r="V178" s="203">
        <v>9.5299999999999994</v>
      </c>
      <c r="W178"/>
      <c r="X178"/>
      <c r="Y178"/>
      <c r="Z178"/>
    </row>
    <row r="179" spans="1:26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7</v>
      </c>
      <c r="S179" s="49" t="s">
        <v>339</v>
      </c>
      <c r="T179" s="49" t="s">
        <v>1196</v>
      </c>
      <c r="U179" s="66">
        <v>9.4</v>
      </c>
      <c r="V179" s="171">
        <v>9.4600000000000009</v>
      </c>
      <c r="W179"/>
      <c r="X179"/>
      <c r="Y179"/>
      <c r="Z179"/>
    </row>
    <row r="180" spans="1:26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8</v>
      </c>
      <c r="S180" s="65" t="s">
        <v>2075</v>
      </c>
      <c r="T180" s="65" t="s">
        <v>2068</v>
      </c>
      <c r="U180" s="67">
        <v>9.31</v>
      </c>
      <c r="V180" s="289">
        <v>9.43</v>
      </c>
      <c r="W180"/>
      <c r="X180"/>
      <c r="Y180"/>
      <c r="Z180"/>
    </row>
    <row r="181" spans="1:26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9</v>
      </c>
      <c r="S181" s="49" t="s">
        <v>343</v>
      </c>
      <c r="T181" s="49" t="s">
        <v>56</v>
      </c>
      <c r="U181" s="66">
        <v>9.25</v>
      </c>
      <c r="V181" s="204">
        <v>9.3699999999999992</v>
      </c>
      <c r="W181"/>
      <c r="X181"/>
      <c r="Y181"/>
      <c r="Z181"/>
    </row>
    <row r="182" spans="1:26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R182" s="56">
        <v>10</v>
      </c>
      <c r="S182" s="65" t="s">
        <v>344</v>
      </c>
      <c r="T182" s="65" t="s">
        <v>188</v>
      </c>
      <c r="U182" s="67">
        <v>9.2100000000000009</v>
      </c>
      <c r="V182" s="206">
        <v>9.34</v>
      </c>
      <c r="W182"/>
      <c r="X182"/>
      <c r="Y182"/>
      <c r="Z182"/>
    </row>
    <row r="183" spans="1:26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56">
        <v>11</v>
      </c>
      <c r="S183" s="49" t="s">
        <v>342</v>
      </c>
      <c r="T183" s="49" t="s">
        <v>132</v>
      </c>
      <c r="U183" s="66">
        <v>9.2100000000000009</v>
      </c>
      <c r="V183" s="207">
        <v>9.2799999999999994</v>
      </c>
      <c r="W183"/>
      <c r="X183"/>
      <c r="Y183"/>
      <c r="Z183"/>
    </row>
    <row r="184" spans="1:26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56">
        <v>12</v>
      </c>
      <c r="S184" s="65" t="s">
        <v>454</v>
      </c>
      <c r="T184" s="65" t="s">
        <v>36</v>
      </c>
      <c r="U184" s="67">
        <v>9.15</v>
      </c>
      <c r="V184" s="125">
        <v>9.23</v>
      </c>
      <c r="W184"/>
      <c r="X184"/>
      <c r="Y184"/>
      <c r="Z184"/>
    </row>
    <row r="185" spans="1:26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1545</v>
      </c>
      <c r="N185" s="13">
        <f>ROUND(SUM(N186:N209)/COUNT(N186:N209), 2)</f>
        <v>8.7200000000000006</v>
      </c>
      <c r="O185" s="19"/>
      <c r="R185" s="56">
        <v>13</v>
      </c>
      <c r="S185" s="49" t="s">
        <v>490</v>
      </c>
      <c r="T185" s="49" t="s">
        <v>508</v>
      </c>
      <c r="U185" s="66">
        <v>9.17</v>
      </c>
      <c r="V185" s="125">
        <v>9.23</v>
      </c>
      <c r="W185"/>
      <c r="X185"/>
      <c r="Y185"/>
      <c r="Z185"/>
    </row>
    <row r="186" spans="1:26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6">
        <v>14</v>
      </c>
      <c r="S186" s="65" t="s">
        <v>920</v>
      </c>
      <c r="T186" s="65" t="s">
        <v>911</v>
      </c>
      <c r="U186" s="67">
        <v>9.06</v>
      </c>
      <c r="V186" s="135">
        <v>9.1</v>
      </c>
      <c r="W186"/>
      <c r="X186"/>
      <c r="Y186"/>
      <c r="Z186"/>
    </row>
    <row r="187" spans="1:26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6">
        <v>15</v>
      </c>
      <c r="S187" s="49" t="s">
        <v>345</v>
      </c>
      <c r="T187" s="49" t="s">
        <v>159</v>
      </c>
      <c r="U187" s="66">
        <v>9</v>
      </c>
      <c r="V187" s="135">
        <v>9.09</v>
      </c>
      <c r="W187"/>
      <c r="X187"/>
      <c r="Y187"/>
      <c r="Z187"/>
    </row>
    <row r="188" spans="1:26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16</v>
      </c>
      <c r="S188" s="65" t="s">
        <v>346</v>
      </c>
      <c r="T188" s="65" t="s">
        <v>264</v>
      </c>
      <c r="U188" s="67">
        <v>9</v>
      </c>
      <c r="V188" s="135">
        <v>9.09</v>
      </c>
      <c r="W188"/>
      <c r="X188"/>
      <c r="Y188"/>
      <c r="Z188"/>
    </row>
    <row r="189" spans="1:26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17</v>
      </c>
      <c r="S189" s="49" t="s">
        <v>353</v>
      </c>
      <c r="T189" s="49" t="s">
        <v>1640</v>
      </c>
      <c r="U189" s="66">
        <v>8.94</v>
      </c>
      <c r="V189" s="212">
        <v>8.9499999999999993</v>
      </c>
      <c r="W189"/>
      <c r="X189"/>
      <c r="Y189"/>
      <c r="Z189"/>
    </row>
    <row r="190" spans="1:26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18</v>
      </c>
      <c r="S190" s="65" t="s">
        <v>354</v>
      </c>
      <c r="T190" s="65" t="s">
        <v>1876</v>
      </c>
      <c r="U190" s="67">
        <v>8.9600000000000009</v>
      </c>
      <c r="V190" s="274">
        <v>8.93</v>
      </c>
      <c r="W190"/>
      <c r="X190"/>
      <c r="Y190"/>
      <c r="Z190"/>
    </row>
    <row r="191" spans="1:26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19</v>
      </c>
      <c r="S191" s="49" t="s">
        <v>1352</v>
      </c>
      <c r="T191" s="49" t="s">
        <v>1343</v>
      </c>
      <c r="U191" s="66">
        <v>8.9499999999999993</v>
      </c>
      <c r="V191" s="282">
        <v>8.91</v>
      </c>
      <c r="W191"/>
      <c r="X191"/>
      <c r="Y191"/>
      <c r="Z191"/>
    </row>
    <row r="192" spans="1:26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20</v>
      </c>
      <c r="S192" s="65" t="s">
        <v>728</v>
      </c>
      <c r="T192" s="65" t="s">
        <v>1447</v>
      </c>
      <c r="U192" s="67">
        <v>8.8800000000000008</v>
      </c>
      <c r="V192" s="50">
        <v>8.89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V193"/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V194"/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V195"/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V196"/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V197"/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V198"/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V199"/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V200"/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V201"/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1274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V202"/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1275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V203"/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1276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V204"/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1277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1278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1279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1280</v>
      </c>
      <c r="H208" s="257">
        <v>8.5</v>
      </c>
      <c r="I208" s="19"/>
      <c r="J208" s="154" t="s">
        <v>1360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1281</v>
      </c>
      <c r="H209" s="257">
        <v>9</v>
      </c>
      <c r="I209" s="3"/>
      <c r="J209" s="12" t="s">
        <v>1288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1282</v>
      </c>
      <c r="H210" s="257">
        <v>8</v>
      </c>
      <c r="I210" s="3"/>
      <c r="J210" s="5" t="s">
        <v>1289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1283</v>
      </c>
      <c r="H211" s="257">
        <v>7.5</v>
      </c>
      <c r="I211" s="3"/>
      <c r="J211" s="5" t="s">
        <v>1290</v>
      </c>
      <c r="K211" s="257">
        <v>10.5</v>
      </c>
      <c r="L211" s="19"/>
      <c r="M211" s="151" t="s">
        <v>1320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1284</v>
      </c>
      <c r="H212" s="257">
        <v>8</v>
      </c>
      <c r="I212" s="3"/>
      <c r="J212" s="5" t="s">
        <v>1291</v>
      </c>
      <c r="K212" s="257">
        <v>7.5</v>
      </c>
      <c r="L212" s="3"/>
      <c r="M212" s="12" t="s">
        <v>1305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1339</v>
      </c>
      <c r="B213" s="13">
        <f>ROUND(SUM(B214:B224)/COUNT(B214:B224), 2)</f>
        <v>8.9499999999999993</v>
      </c>
      <c r="C213" s="3"/>
      <c r="D213" s="152" t="s">
        <v>1324</v>
      </c>
      <c r="E213" s="13">
        <f>ROUND(SUM(E214:E227)/COUNT(E214:E227), 2)</f>
        <v>8.77</v>
      </c>
      <c r="F213" s="3"/>
      <c r="G213" s="8" t="s">
        <v>1285</v>
      </c>
      <c r="H213" s="258">
        <v>7</v>
      </c>
      <c r="I213" s="3"/>
      <c r="J213" s="5" t="s">
        <v>1292</v>
      </c>
      <c r="K213" s="257">
        <v>9</v>
      </c>
      <c r="L213" s="3"/>
      <c r="M213" s="5" t="s">
        <v>1306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1340</v>
      </c>
      <c r="B214" s="256">
        <v>8.5</v>
      </c>
      <c r="C214" s="3"/>
      <c r="D214" s="12" t="s">
        <v>1325</v>
      </c>
      <c r="E214" s="256">
        <v>9</v>
      </c>
      <c r="F214" s="3"/>
      <c r="G214" s="18"/>
      <c r="H214" s="18"/>
      <c r="I214" s="3"/>
      <c r="J214" s="5" t="s">
        <v>1293</v>
      </c>
      <c r="K214" s="257">
        <v>7</v>
      </c>
      <c r="L214" s="3"/>
      <c r="M214" s="5" t="s">
        <v>1307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1341</v>
      </c>
      <c r="B215" s="257">
        <v>10</v>
      </c>
      <c r="C215" s="3"/>
      <c r="D215" s="5" t="s">
        <v>1326</v>
      </c>
      <c r="E215" s="257">
        <v>10</v>
      </c>
      <c r="F215" s="19"/>
      <c r="G215" s="159" t="s">
        <v>1361</v>
      </c>
      <c r="H215" s="13">
        <f>ROUND(SUM(H216:H227)/COUNT(H216:H227), 2)</f>
        <v>8.4600000000000009</v>
      </c>
      <c r="I215" s="3"/>
      <c r="J215" s="5" t="s">
        <v>1294</v>
      </c>
      <c r="K215" s="257">
        <v>8</v>
      </c>
      <c r="L215" s="3"/>
      <c r="M215" s="5" t="s">
        <v>1308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1342</v>
      </c>
      <c r="B216" s="257">
        <v>9.5</v>
      </c>
      <c r="C216" s="3"/>
      <c r="D216" s="5" t="s">
        <v>1327</v>
      </c>
      <c r="E216" s="257">
        <v>9.5</v>
      </c>
      <c r="F216" s="3"/>
      <c r="G216" s="12" t="s">
        <v>1362</v>
      </c>
      <c r="H216" s="256">
        <v>10</v>
      </c>
      <c r="I216" s="3"/>
      <c r="J216" s="5" t="s">
        <v>1295</v>
      </c>
      <c r="K216" s="257">
        <v>9</v>
      </c>
      <c r="L216" s="3"/>
      <c r="M216" s="5" t="s">
        <v>1309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1343</v>
      </c>
      <c r="B217" s="257">
        <v>9</v>
      </c>
      <c r="C217" s="3"/>
      <c r="D217" s="5" t="s">
        <v>1328</v>
      </c>
      <c r="E217" s="257">
        <v>10</v>
      </c>
      <c r="F217" s="3"/>
      <c r="G217" s="5" t="s">
        <v>1363</v>
      </c>
      <c r="H217" s="257">
        <v>9</v>
      </c>
      <c r="I217" s="3"/>
      <c r="J217" s="8" t="s">
        <v>1296</v>
      </c>
      <c r="K217" s="258">
        <v>10</v>
      </c>
      <c r="L217" s="3"/>
      <c r="M217" s="5" t="s">
        <v>1310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1344</v>
      </c>
      <c r="B218" s="257">
        <v>9</v>
      </c>
      <c r="C218" s="3"/>
      <c r="D218" s="5" t="s">
        <v>1329</v>
      </c>
      <c r="E218" s="257">
        <v>8.5</v>
      </c>
      <c r="F218" s="3"/>
      <c r="G218" s="5" t="s">
        <v>1364</v>
      </c>
      <c r="H218" s="257">
        <v>8.5</v>
      </c>
      <c r="I218" s="3"/>
      <c r="J218" s="18"/>
      <c r="K218" s="18"/>
      <c r="L218" s="3"/>
      <c r="M218" s="5" t="s">
        <v>1311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1345</v>
      </c>
      <c r="B219" s="257">
        <v>8.5</v>
      </c>
      <c r="C219" s="3"/>
      <c r="D219" s="5" t="s">
        <v>1330</v>
      </c>
      <c r="E219" s="257"/>
      <c r="F219" s="3"/>
      <c r="G219" s="5" t="s">
        <v>1365</v>
      </c>
      <c r="H219" s="257">
        <v>10.5</v>
      </c>
      <c r="I219" s="19"/>
      <c r="J219" s="155" t="s">
        <v>1375</v>
      </c>
      <c r="K219" s="13">
        <f>ROUND(SUM(K220:K235)/COUNT(K220:K235), 2)</f>
        <v>8.82</v>
      </c>
      <c r="L219" s="3"/>
      <c r="M219" s="5" t="s">
        <v>1312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1346</v>
      </c>
      <c r="B220" s="257">
        <v>8</v>
      </c>
      <c r="C220" s="3"/>
      <c r="D220" s="5" t="s">
        <v>1331</v>
      </c>
      <c r="E220" s="257">
        <v>8</v>
      </c>
      <c r="F220" s="3"/>
      <c r="G220" s="5" t="s">
        <v>1366</v>
      </c>
      <c r="H220" s="257">
        <v>8.5</v>
      </c>
      <c r="I220" s="3"/>
      <c r="J220" s="12" t="s">
        <v>1376</v>
      </c>
      <c r="K220" s="256">
        <v>10</v>
      </c>
      <c r="L220" s="3"/>
      <c r="M220" s="5" t="s">
        <v>1313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1347</v>
      </c>
      <c r="B221" s="257">
        <v>9.5</v>
      </c>
      <c r="C221" s="3"/>
      <c r="D221" s="5" t="s">
        <v>1332</v>
      </c>
      <c r="E221" s="257">
        <v>9.5</v>
      </c>
      <c r="F221" s="3"/>
      <c r="G221" s="5" t="s">
        <v>1367</v>
      </c>
      <c r="H221" s="257">
        <v>9</v>
      </c>
      <c r="I221" s="3"/>
      <c r="J221" s="5" t="s">
        <v>1377</v>
      </c>
      <c r="K221" s="257"/>
      <c r="L221" s="3"/>
      <c r="M221" s="5" t="s">
        <v>1314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1348</v>
      </c>
      <c r="B222" s="257">
        <v>9</v>
      </c>
      <c r="C222" s="3"/>
      <c r="D222" s="5" t="s">
        <v>1333</v>
      </c>
      <c r="E222" s="257">
        <v>8</v>
      </c>
      <c r="F222" s="3"/>
      <c r="G222" s="5" t="s">
        <v>1368</v>
      </c>
      <c r="H222" s="257">
        <v>7.5</v>
      </c>
      <c r="I222" s="3"/>
      <c r="J222" s="5" t="s">
        <v>1378</v>
      </c>
      <c r="K222" s="257">
        <v>10.5</v>
      </c>
      <c r="L222" s="3"/>
      <c r="M222" s="5" t="s">
        <v>1315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1349</v>
      </c>
      <c r="B223" s="257">
        <v>9</v>
      </c>
      <c r="C223" s="3"/>
      <c r="D223" s="5" t="s">
        <v>1334</v>
      </c>
      <c r="E223" s="257">
        <v>8</v>
      </c>
      <c r="F223" s="3"/>
      <c r="G223" s="5" t="s">
        <v>1369</v>
      </c>
      <c r="H223" s="257">
        <v>10.5</v>
      </c>
      <c r="I223" s="3"/>
      <c r="J223" s="5" t="s">
        <v>1379</v>
      </c>
      <c r="K223" s="257">
        <v>8.5</v>
      </c>
      <c r="L223" s="3"/>
      <c r="M223" s="5" t="s">
        <v>1316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1350</v>
      </c>
      <c r="B224" s="258">
        <v>8.5</v>
      </c>
      <c r="C224" s="3"/>
      <c r="D224" s="5" t="s">
        <v>1335</v>
      </c>
      <c r="E224" s="257">
        <v>8</v>
      </c>
      <c r="F224" s="3"/>
      <c r="G224" s="5" t="s">
        <v>1370</v>
      </c>
      <c r="H224" s="257">
        <v>7</v>
      </c>
      <c r="I224" s="3"/>
      <c r="J224" s="5" t="s">
        <v>1380</v>
      </c>
      <c r="K224" s="257">
        <v>9</v>
      </c>
      <c r="L224" s="3"/>
      <c r="M224" s="5" t="s">
        <v>1317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1336</v>
      </c>
      <c r="E225" s="257">
        <v>8</v>
      </c>
      <c r="F225" s="3"/>
      <c r="G225" s="5" t="s">
        <v>1371</v>
      </c>
      <c r="H225" s="257">
        <v>7.5</v>
      </c>
      <c r="I225" s="3"/>
      <c r="J225" s="5" t="s">
        <v>1381</v>
      </c>
      <c r="K225" s="257">
        <v>8</v>
      </c>
      <c r="L225" s="3"/>
      <c r="M225" s="5" t="s">
        <v>1318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1395</v>
      </c>
      <c r="B226" s="13">
        <f>ROUND(SUM(B227:B233)/COUNT(B227:B233), 2)</f>
        <v>8.86</v>
      </c>
      <c r="C226" s="38"/>
      <c r="D226" s="4" t="s">
        <v>1337</v>
      </c>
      <c r="E226" s="257">
        <v>8.5</v>
      </c>
      <c r="F226" s="3"/>
      <c r="G226" s="5" t="s">
        <v>1372</v>
      </c>
      <c r="H226" s="257">
        <v>6.5</v>
      </c>
      <c r="I226" s="3"/>
      <c r="J226" s="5" t="s">
        <v>1382</v>
      </c>
      <c r="K226" s="257">
        <v>9.5</v>
      </c>
      <c r="L226" s="3"/>
      <c r="M226" s="8" t="s">
        <v>1319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1396</v>
      </c>
      <c r="B227" s="256">
        <v>10</v>
      </c>
      <c r="C227" s="3"/>
      <c r="D227" s="8" t="s">
        <v>1338</v>
      </c>
      <c r="E227" s="258">
        <v>9</v>
      </c>
      <c r="F227" s="3"/>
      <c r="G227" s="8" t="s">
        <v>1373</v>
      </c>
      <c r="H227" s="258">
        <v>7</v>
      </c>
      <c r="I227" s="3"/>
      <c r="J227" s="5" t="s">
        <v>1383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1397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1384</v>
      </c>
      <c r="K228" s="257">
        <v>8</v>
      </c>
      <c r="L228" s="19"/>
      <c r="M228" s="158" t="s">
        <v>1431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1398</v>
      </c>
      <c r="B229" s="257">
        <v>9</v>
      </c>
      <c r="C229" s="3"/>
      <c r="D229" s="156" t="s">
        <v>1406</v>
      </c>
      <c r="E229" s="13">
        <f>ROUND(SUM(E230:E235)/COUNT(E230:E235), 2)</f>
        <v>8.83</v>
      </c>
      <c r="F229" s="19"/>
      <c r="G229" s="157" t="s">
        <v>1432</v>
      </c>
      <c r="H229" s="13">
        <f>ROUND(SUM(H230:H244)/COUNT(H230:H244), 2)</f>
        <v>8.8800000000000008</v>
      </c>
      <c r="I229" s="3"/>
      <c r="J229" s="5" t="s">
        <v>1385</v>
      </c>
      <c r="K229" s="257">
        <v>8</v>
      </c>
      <c r="L229" s="3"/>
      <c r="M229" s="12" t="s">
        <v>1419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1399</v>
      </c>
      <c r="B230" s="257">
        <v>8</v>
      </c>
      <c r="C230" s="3"/>
      <c r="D230" s="12" t="s">
        <v>1407</v>
      </c>
      <c r="E230" s="256">
        <v>8.5</v>
      </c>
      <c r="F230" s="3"/>
      <c r="G230" s="12" t="s">
        <v>1433</v>
      </c>
      <c r="H230" s="256"/>
      <c r="I230" s="3"/>
      <c r="J230" s="5" t="s">
        <v>1386</v>
      </c>
      <c r="K230" s="257">
        <v>10</v>
      </c>
      <c r="L230" s="3"/>
      <c r="M230" s="5" t="s">
        <v>1420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1400</v>
      </c>
      <c r="B231" s="257">
        <v>9</v>
      </c>
      <c r="C231" s="3"/>
      <c r="D231" s="5" t="s">
        <v>1408</v>
      </c>
      <c r="E231" s="257">
        <v>8.5</v>
      </c>
      <c r="F231" s="3"/>
      <c r="G231" s="5" t="s">
        <v>1434</v>
      </c>
      <c r="H231" s="257">
        <v>8.5</v>
      </c>
      <c r="I231" s="3"/>
      <c r="J231" s="5" t="s">
        <v>1387</v>
      </c>
      <c r="K231" s="257">
        <v>7.5</v>
      </c>
      <c r="L231" s="3"/>
      <c r="M231" s="5" t="s">
        <v>1421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1401</v>
      </c>
      <c r="B232" s="257">
        <v>8.5</v>
      </c>
      <c r="C232" s="3"/>
      <c r="D232" s="5" t="s">
        <v>1409</v>
      </c>
      <c r="E232" s="257">
        <v>8</v>
      </c>
      <c r="F232" s="3"/>
      <c r="G232" s="5" t="s">
        <v>1435</v>
      </c>
      <c r="H232" s="257">
        <v>9.5</v>
      </c>
      <c r="I232" s="3"/>
      <c r="J232" s="5" t="s">
        <v>1388</v>
      </c>
      <c r="K232" s="257">
        <v>9.5</v>
      </c>
      <c r="L232" s="3"/>
      <c r="M232" s="5" t="s">
        <v>1422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1402</v>
      </c>
      <c r="B233" s="258">
        <v>8</v>
      </c>
      <c r="C233" s="3"/>
      <c r="D233" s="5" t="s">
        <v>1410</v>
      </c>
      <c r="E233" s="257">
        <v>9</v>
      </c>
      <c r="F233" s="3"/>
      <c r="G233" s="5" t="s">
        <v>1436</v>
      </c>
      <c r="H233" s="257">
        <v>8.5</v>
      </c>
      <c r="I233" s="3"/>
      <c r="J233" s="5" t="s">
        <v>1389</v>
      </c>
      <c r="K233" s="257">
        <v>8</v>
      </c>
      <c r="L233" s="3"/>
      <c r="M233" s="5" t="s">
        <v>1423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1411</v>
      </c>
      <c r="E234" s="257">
        <v>9</v>
      </c>
      <c r="F234" s="3"/>
      <c r="G234" s="5" t="s">
        <v>1437</v>
      </c>
      <c r="H234" s="257">
        <v>10</v>
      </c>
      <c r="I234" s="3"/>
      <c r="J234" s="5" t="s">
        <v>1390</v>
      </c>
      <c r="K234" s="257">
        <v>9</v>
      </c>
      <c r="L234" s="3"/>
      <c r="M234" s="5" t="s">
        <v>1424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1449</v>
      </c>
      <c r="B235" s="13">
        <f>ROUND(SUM(B236:B244)/COUNT(B236:B244), 2)</f>
        <v>8.83</v>
      </c>
      <c r="C235" s="3"/>
      <c r="D235" s="8" t="s">
        <v>1412</v>
      </c>
      <c r="E235" s="258">
        <v>10</v>
      </c>
      <c r="F235" s="3"/>
      <c r="G235" s="5" t="s">
        <v>1438</v>
      </c>
      <c r="H235" s="259">
        <v>10.5</v>
      </c>
      <c r="I235" s="3"/>
      <c r="J235" s="8" t="s">
        <v>1391</v>
      </c>
      <c r="K235" s="258">
        <v>8</v>
      </c>
      <c r="L235" s="3"/>
      <c r="M235" s="5" t="s">
        <v>1425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1450</v>
      </c>
      <c r="B236" s="256">
        <v>9</v>
      </c>
      <c r="C236" s="3"/>
      <c r="D236" s="18"/>
      <c r="E236" s="18"/>
      <c r="F236" s="3"/>
      <c r="G236" s="5" t="s">
        <v>1439</v>
      </c>
      <c r="H236" s="257">
        <v>9</v>
      </c>
      <c r="I236" s="3"/>
      <c r="J236" s="18"/>
      <c r="K236" s="18"/>
      <c r="L236" s="3"/>
      <c r="M236" s="5" t="s">
        <v>1426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1451</v>
      </c>
      <c r="B237" s="257">
        <v>10</v>
      </c>
      <c r="C237" s="3"/>
      <c r="D237" s="162" t="s">
        <v>1483</v>
      </c>
      <c r="E237" s="2">
        <f>ROUND(SUM(E238:E252)/COUNT(E238:E252), 2)</f>
        <v>8.8000000000000007</v>
      </c>
      <c r="F237" s="3"/>
      <c r="G237" s="5" t="s">
        <v>1440</v>
      </c>
      <c r="H237" s="257">
        <v>8.5</v>
      </c>
      <c r="I237" s="19"/>
      <c r="J237" s="164" t="s">
        <v>1485</v>
      </c>
      <c r="K237" s="13">
        <f>ROUND(SUM(K238:K250)/COUNT(K238:K250), 2)</f>
        <v>8.73</v>
      </c>
      <c r="L237" s="3"/>
      <c r="M237" s="5" t="s">
        <v>1427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1452</v>
      </c>
      <c r="B238" s="257">
        <v>8.5</v>
      </c>
      <c r="C238" s="3"/>
      <c r="D238" s="12" t="s">
        <v>1464</v>
      </c>
      <c r="E238" s="256">
        <v>8</v>
      </c>
      <c r="F238" s="3"/>
      <c r="G238" s="5" t="s">
        <v>1441</v>
      </c>
      <c r="H238" s="257">
        <v>8.5</v>
      </c>
      <c r="I238" s="3"/>
      <c r="J238" s="12" t="s">
        <v>1498</v>
      </c>
      <c r="K238" s="256">
        <v>10.5</v>
      </c>
      <c r="L238" s="3"/>
      <c r="M238" s="8" t="s">
        <v>1428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1453</v>
      </c>
      <c r="B239" s="257">
        <v>8.5</v>
      </c>
      <c r="C239" s="3"/>
      <c r="D239" s="5" t="s">
        <v>1465</v>
      </c>
      <c r="E239" s="257">
        <v>8.5</v>
      </c>
      <c r="F239" s="3"/>
      <c r="G239" s="5" t="s">
        <v>1442</v>
      </c>
      <c r="H239" s="257">
        <v>8</v>
      </c>
      <c r="I239" s="3"/>
      <c r="J239" s="5" t="s">
        <v>1486</v>
      </c>
      <c r="K239" s="257">
        <v>9.5</v>
      </c>
      <c r="L239" s="3"/>
      <c r="M239" s="18"/>
      <c r="N239" s="18"/>
      <c r="O239" s="3"/>
      <c r="V239"/>
      <c r="W239"/>
      <c r="X239"/>
      <c r="Y239"/>
      <c r="Z239"/>
    </row>
    <row r="240" spans="1:26" ht="16.05" customHeight="1" thickBot="1">
      <c r="A240" s="5" t="s">
        <v>1454</v>
      </c>
      <c r="B240" s="257">
        <v>9.5</v>
      </c>
      <c r="C240" s="3"/>
      <c r="D240" s="5" t="s">
        <v>1466</v>
      </c>
      <c r="E240" s="257">
        <v>9.5</v>
      </c>
      <c r="F240" s="3"/>
      <c r="G240" s="5" t="s">
        <v>1443</v>
      </c>
      <c r="H240" s="257"/>
      <c r="I240" s="3"/>
      <c r="J240" s="5" t="s">
        <v>1487</v>
      </c>
      <c r="K240" s="257">
        <v>9</v>
      </c>
      <c r="L240" s="3"/>
      <c r="M240" s="266" t="s">
        <v>1502</v>
      </c>
      <c r="N240" s="2">
        <f>ROUND(SUM(N241:N247)/COUNT(N241:N247), 2)</f>
        <v>8.93</v>
      </c>
      <c r="O240" s="3"/>
      <c r="V240"/>
      <c r="W240"/>
      <c r="X240"/>
      <c r="Y240"/>
      <c r="Z240"/>
    </row>
    <row r="241" spans="1:26" ht="16.05" customHeight="1">
      <c r="A241" s="5" t="s">
        <v>1455</v>
      </c>
      <c r="B241" s="257">
        <v>8</v>
      </c>
      <c r="C241" s="3"/>
      <c r="D241" s="5" t="s">
        <v>1467</v>
      </c>
      <c r="E241" s="257">
        <v>10</v>
      </c>
      <c r="F241" s="3"/>
      <c r="G241" s="5" t="s">
        <v>1444</v>
      </c>
      <c r="H241" s="257">
        <v>9.5</v>
      </c>
      <c r="I241" s="3"/>
      <c r="J241" s="5" t="s">
        <v>1488</v>
      </c>
      <c r="K241" s="257">
        <v>9.5</v>
      </c>
      <c r="L241" s="3"/>
      <c r="M241" s="12" t="s">
        <v>1503</v>
      </c>
      <c r="N241" s="256">
        <v>9.5</v>
      </c>
      <c r="O241" s="3"/>
      <c r="V241"/>
      <c r="W241"/>
      <c r="X241"/>
      <c r="Y241"/>
      <c r="Z241"/>
    </row>
    <row r="242" spans="1:26" ht="16.05" customHeight="1">
      <c r="A242" s="5" t="s">
        <v>1456</v>
      </c>
      <c r="B242" s="257">
        <v>8.5</v>
      </c>
      <c r="C242" s="3"/>
      <c r="D242" s="5" t="s">
        <v>1468</v>
      </c>
      <c r="E242" s="257">
        <v>8.5</v>
      </c>
      <c r="F242" s="3"/>
      <c r="G242" s="5" t="s">
        <v>1445</v>
      </c>
      <c r="H242" s="257">
        <v>8</v>
      </c>
      <c r="I242" s="3"/>
      <c r="J242" s="5" t="s">
        <v>1489</v>
      </c>
      <c r="K242" s="257">
        <v>9</v>
      </c>
      <c r="L242" s="3"/>
      <c r="M242" s="5" t="s">
        <v>1504</v>
      </c>
      <c r="N242" s="257">
        <v>8</v>
      </c>
      <c r="O242" s="3"/>
      <c r="V242"/>
      <c r="W242"/>
      <c r="X242"/>
      <c r="Y242"/>
      <c r="Z242"/>
    </row>
    <row r="243" spans="1:26" ht="16.05" customHeight="1">
      <c r="A243" s="5" t="s">
        <v>1457</v>
      </c>
      <c r="B243" s="257">
        <v>9</v>
      </c>
      <c r="C243" s="3"/>
      <c r="D243" s="5" t="s">
        <v>1469</v>
      </c>
      <c r="E243" s="257">
        <v>9.5</v>
      </c>
      <c r="F243" s="3"/>
      <c r="G243" s="5" t="s">
        <v>1446</v>
      </c>
      <c r="H243" s="257">
        <v>8.5</v>
      </c>
      <c r="I243" s="3"/>
      <c r="J243" s="5" t="s">
        <v>1490</v>
      </c>
      <c r="K243" s="257">
        <v>8</v>
      </c>
      <c r="L243" s="3"/>
      <c r="M243" s="5" t="s">
        <v>1505</v>
      </c>
      <c r="N243" s="257">
        <v>10</v>
      </c>
      <c r="O243" s="3"/>
      <c r="V243"/>
      <c r="W243"/>
      <c r="X243"/>
      <c r="Y243"/>
      <c r="Z243"/>
    </row>
    <row r="244" spans="1:26" ht="16.05" customHeight="1" thickBot="1">
      <c r="A244" s="8" t="s">
        <v>1458</v>
      </c>
      <c r="B244" s="258">
        <v>8.5</v>
      </c>
      <c r="C244" s="3"/>
      <c r="D244" s="5" t="s">
        <v>1470</v>
      </c>
      <c r="E244" s="257">
        <v>9.5</v>
      </c>
      <c r="F244" s="3"/>
      <c r="G244" s="8" t="s">
        <v>1447</v>
      </c>
      <c r="H244" s="258">
        <v>8.5</v>
      </c>
      <c r="I244" s="3"/>
      <c r="J244" s="5" t="s">
        <v>1491</v>
      </c>
      <c r="K244" s="257">
        <v>9</v>
      </c>
      <c r="L244" s="3"/>
      <c r="M244" s="5" t="s">
        <v>1506</v>
      </c>
      <c r="N244" s="257">
        <v>8</v>
      </c>
      <c r="O244" s="3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1471</v>
      </c>
      <c r="E245" s="257">
        <v>8</v>
      </c>
      <c r="F245" s="3"/>
      <c r="G245" s="18"/>
      <c r="H245" s="18"/>
      <c r="I245" s="3"/>
      <c r="J245" s="5" t="s">
        <v>1492</v>
      </c>
      <c r="K245" s="257">
        <v>8.5</v>
      </c>
      <c r="L245" s="3"/>
      <c r="M245" s="5" t="s">
        <v>1507</v>
      </c>
      <c r="N245" s="257">
        <v>9</v>
      </c>
      <c r="O245" s="3"/>
      <c r="V245"/>
      <c r="W245"/>
      <c r="X245"/>
      <c r="Y245"/>
      <c r="Z245"/>
    </row>
    <row r="246" spans="1:26" ht="16.05" customHeight="1" thickBot="1">
      <c r="A246" s="166" t="s">
        <v>1542</v>
      </c>
      <c r="B246" s="13">
        <f>ROUND(SUM(B247:B258)/COUNT(B247:B258), 2)</f>
        <v>8.82</v>
      </c>
      <c r="C246" s="3"/>
      <c r="D246" s="5" t="s">
        <v>1472</v>
      </c>
      <c r="E246" s="257">
        <v>8</v>
      </c>
      <c r="F246" s="3"/>
      <c r="G246" s="165" t="s">
        <v>1524</v>
      </c>
      <c r="H246" s="2">
        <f>ROUND(SUM(H247:H256)/COUNT(H247:H256), 2)</f>
        <v>8.75</v>
      </c>
      <c r="I246" s="3"/>
      <c r="J246" s="5" t="s">
        <v>1493</v>
      </c>
      <c r="K246" s="257">
        <v>8</v>
      </c>
      <c r="L246" s="3"/>
      <c r="M246" s="5" t="s">
        <v>1508</v>
      </c>
      <c r="N246" s="257">
        <v>8.5</v>
      </c>
      <c r="O246" s="3"/>
      <c r="V246"/>
      <c r="W246"/>
      <c r="X246"/>
      <c r="Y246"/>
      <c r="Z246"/>
    </row>
    <row r="247" spans="1:26" ht="16.05" customHeight="1" thickBot="1">
      <c r="A247" s="12" t="s">
        <v>1530</v>
      </c>
      <c r="B247" s="256">
        <v>9.5</v>
      </c>
      <c r="C247" s="3"/>
      <c r="D247" s="5" t="s">
        <v>1473</v>
      </c>
      <c r="E247" s="257">
        <v>8.5</v>
      </c>
      <c r="F247" s="3"/>
      <c r="G247" s="5" t="s">
        <v>1515</v>
      </c>
      <c r="H247" s="257">
        <v>10</v>
      </c>
      <c r="I247" s="3"/>
      <c r="J247" s="5" t="s">
        <v>1494</v>
      </c>
      <c r="K247" s="257">
        <v>8</v>
      </c>
      <c r="L247" s="3"/>
      <c r="M247" s="8" t="s">
        <v>1509</v>
      </c>
      <c r="N247" s="258">
        <v>9.5</v>
      </c>
      <c r="O247" s="3"/>
      <c r="V247"/>
      <c r="W247"/>
      <c r="X247"/>
      <c r="Y247"/>
      <c r="Z247"/>
    </row>
    <row r="248" spans="1:26" ht="16.05" customHeight="1" thickBot="1">
      <c r="A248" s="5" t="s">
        <v>1531</v>
      </c>
      <c r="B248" s="257">
        <v>8.5</v>
      </c>
      <c r="C248" s="3"/>
      <c r="D248" s="5" t="s">
        <v>1474</v>
      </c>
      <c r="E248" s="257">
        <v>10</v>
      </c>
      <c r="F248" s="3"/>
      <c r="G248" s="5" t="s">
        <v>1516</v>
      </c>
      <c r="H248" s="257">
        <v>9</v>
      </c>
      <c r="I248" s="3"/>
      <c r="J248" s="5" t="s">
        <v>1495</v>
      </c>
      <c r="K248" s="257">
        <v>8</v>
      </c>
      <c r="L248" s="3"/>
      <c r="M248" s="3"/>
      <c r="N248" s="3"/>
      <c r="O248" s="3"/>
      <c r="V248"/>
      <c r="W248"/>
      <c r="X248"/>
      <c r="Y248"/>
      <c r="Z248"/>
    </row>
    <row r="249" spans="1:26" ht="16.05" customHeight="1" thickBot="1">
      <c r="A249" s="5" t="s">
        <v>1532</v>
      </c>
      <c r="B249" s="257">
        <v>8.5</v>
      </c>
      <c r="C249" s="3"/>
      <c r="D249" s="5" t="s">
        <v>1475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1496</v>
      </c>
      <c r="K249" s="257">
        <v>8.5</v>
      </c>
      <c r="L249" s="3"/>
      <c r="M249" s="267" t="s">
        <v>1547</v>
      </c>
      <c r="N249" s="13">
        <f>ROUND(SUM(N250:N275)/COUNT(N250:N275), 2)</f>
        <v>8.67</v>
      </c>
      <c r="O249" s="3"/>
      <c r="V249"/>
      <c r="W249"/>
      <c r="X249"/>
      <c r="Y249"/>
      <c r="Z249"/>
    </row>
    <row r="250" spans="1:26" ht="16.05" customHeight="1" thickBot="1">
      <c r="A250" s="5" t="s">
        <v>1533</v>
      </c>
      <c r="B250" s="257"/>
      <c r="C250" s="3"/>
      <c r="D250" s="5" t="s">
        <v>1476</v>
      </c>
      <c r="E250" s="257">
        <v>9</v>
      </c>
      <c r="F250" s="3"/>
      <c r="G250" s="5" t="s">
        <v>1517</v>
      </c>
      <c r="H250" s="257">
        <v>9</v>
      </c>
      <c r="I250" s="3"/>
      <c r="J250" s="8" t="s">
        <v>1497</v>
      </c>
      <c r="K250" s="258">
        <v>8</v>
      </c>
      <c r="L250" s="3"/>
      <c r="M250" s="12" t="s">
        <v>1546</v>
      </c>
      <c r="N250" s="256">
        <v>10</v>
      </c>
      <c r="O250" s="3"/>
      <c r="V250"/>
      <c r="W250"/>
      <c r="X250"/>
      <c r="Y250"/>
      <c r="Z250"/>
    </row>
    <row r="251" spans="1:26" ht="16.05" customHeight="1" thickBot="1">
      <c r="A251" s="5" t="s">
        <v>1534</v>
      </c>
      <c r="B251" s="257">
        <v>8</v>
      </c>
      <c r="C251" s="3"/>
      <c r="D251" s="5" t="s">
        <v>1477</v>
      </c>
      <c r="E251" s="257">
        <v>8.5</v>
      </c>
      <c r="F251" s="3"/>
      <c r="G251" s="5" t="s">
        <v>1518</v>
      </c>
      <c r="H251" s="257">
        <v>8.5</v>
      </c>
      <c r="I251" s="3"/>
      <c r="J251" s="3"/>
      <c r="K251" s="3"/>
      <c r="L251" s="3"/>
      <c r="M251" s="5" t="s">
        <v>1548</v>
      </c>
      <c r="N251" s="257">
        <v>9</v>
      </c>
      <c r="O251" s="3"/>
      <c r="V251"/>
      <c r="W251"/>
      <c r="X251"/>
      <c r="Y251"/>
      <c r="Z251"/>
    </row>
    <row r="252" spans="1:26" ht="16.05" customHeight="1" thickBot="1">
      <c r="A252" s="5" t="s">
        <v>1535</v>
      </c>
      <c r="B252" s="257">
        <v>10</v>
      </c>
      <c r="C252" s="3"/>
      <c r="D252" s="8" t="s">
        <v>1478</v>
      </c>
      <c r="E252" s="258">
        <v>8</v>
      </c>
      <c r="F252" s="3"/>
      <c r="G252" s="5" t="s">
        <v>1519</v>
      </c>
      <c r="H252" s="257">
        <v>8</v>
      </c>
      <c r="I252" s="3"/>
      <c r="J252" s="168" t="s">
        <v>1587</v>
      </c>
      <c r="K252" s="2">
        <f>ROUND(SUM(K253:K262)/COUNT(K253:K262), 2)</f>
        <v>8</v>
      </c>
      <c r="L252" s="3"/>
      <c r="M252" s="5" t="s">
        <v>1549</v>
      </c>
      <c r="N252" s="257">
        <v>8.5</v>
      </c>
      <c r="O252" s="3"/>
      <c r="V252"/>
      <c r="W252"/>
      <c r="X252"/>
      <c r="Y252"/>
      <c r="Z252"/>
    </row>
    <row r="253" spans="1:26" ht="16.05" customHeight="1" thickBot="1">
      <c r="A253" s="5" t="s">
        <v>1536</v>
      </c>
      <c r="B253" s="257">
        <v>10.5</v>
      </c>
      <c r="C253" s="3"/>
      <c r="D253" s="3"/>
      <c r="E253" s="3"/>
      <c r="F253" s="3"/>
      <c r="G253" s="5" t="s">
        <v>1520</v>
      </c>
      <c r="H253" s="257">
        <v>9</v>
      </c>
      <c r="I253" s="3"/>
      <c r="J253" s="12" t="s">
        <v>1577</v>
      </c>
      <c r="K253" s="256">
        <v>8.5</v>
      </c>
      <c r="L253" s="3"/>
      <c r="M253" s="5" t="s">
        <v>1550</v>
      </c>
      <c r="N253" s="257">
        <v>8</v>
      </c>
      <c r="O253" s="3"/>
      <c r="V253"/>
      <c r="W253"/>
      <c r="X253"/>
      <c r="Y253"/>
      <c r="Z253"/>
    </row>
    <row r="254" spans="1:26" ht="16.05" customHeight="1" thickBot="1">
      <c r="A254" s="5" t="s">
        <v>1537</v>
      </c>
      <c r="B254" s="257">
        <v>9</v>
      </c>
      <c r="C254" s="3"/>
      <c r="D254" s="169" t="s">
        <v>1593</v>
      </c>
      <c r="E254" s="2">
        <f>ROUND(SUM(E255:E264)/COUNT(E255:E264), 2)</f>
        <v>8.44</v>
      </c>
      <c r="F254" s="3"/>
      <c r="G254" s="5" t="s">
        <v>1521</v>
      </c>
      <c r="H254" s="257">
        <v>8</v>
      </c>
      <c r="I254" s="3"/>
      <c r="J254" s="5" t="s">
        <v>1578</v>
      </c>
      <c r="K254" s="257">
        <v>7.5</v>
      </c>
      <c r="L254" s="3"/>
      <c r="M254" s="5" t="s">
        <v>1551</v>
      </c>
      <c r="N254" s="257">
        <v>10.5</v>
      </c>
      <c r="O254" s="3"/>
      <c r="V254"/>
      <c r="W254"/>
      <c r="X254"/>
      <c r="Y254"/>
      <c r="Z254"/>
    </row>
    <row r="255" spans="1:26" ht="16.05" customHeight="1">
      <c r="A255" s="5" t="s">
        <v>1538</v>
      </c>
      <c r="B255" s="257">
        <v>8</v>
      </c>
      <c r="C255" s="3"/>
      <c r="D255" s="12" t="s">
        <v>1594</v>
      </c>
      <c r="E255" s="256">
        <v>8.5</v>
      </c>
      <c r="F255" s="3"/>
      <c r="G255" s="5" t="s">
        <v>1522</v>
      </c>
      <c r="H255" s="257">
        <v>8</v>
      </c>
      <c r="I255" s="3"/>
      <c r="J255" s="5" t="s">
        <v>1579</v>
      </c>
      <c r="K255" s="257">
        <v>9.5</v>
      </c>
      <c r="L255" s="3"/>
      <c r="M255" s="5" t="s">
        <v>1552</v>
      </c>
      <c r="N255" s="257">
        <v>9.5</v>
      </c>
      <c r="O255" s="3"/>
      <c r="V255"/>
      <c r="W255"/>
      <c r="X255"/>
      <c r="Y255"/>
      <c r="Z255"/>
    </row>
    <row r="256" spans="1:26" ht="16.05" customHeight="1" thickBot="1">
      <c r="A256" s="5" t="s">
        <v>1539</v>
      </c>
      <c r="B256" s="257">
        <v>8</v>
      </c>
      <c r="C256" s="3"/>
      <c r="D256" s="5" t="s">
        <v>1595</v>
      </c>
      <c r="E256" s="257">
        <v>10</v>
      </c>
      <c r="F256" s="3"/>
      <c r="G256" s="8" t="s">
        <v>1523</v>
      </c>
      <c r="H256" s="258">
        <v>8</v>
      </c>
      <c r="I256" s="3"/>
      <c r="J256" s="5" t="s">
        <v>1580</v>
      </c>
      <c r="K256" s="257">
        <v>7.5</v>
      </c>
      <c r="L256" s="3"/>
      <c r="M256" s="5" t="s">
        <v>9</v>
      </c>
      <c r="N256" s="257">
        <v>8</v>
      </c>
      <c r="O256" s="3"/>
      <c r="V256"/>
      <c r="W256"/>
      <c r="X256"/>
      <c r="Y256"/>
      <c r="Z256"/>
    </row>
    <row r="257" spans="1:26" ht="16.05" customHeight="1" thickBot="1">
      <c r="A257" s="5" t="s">
        <v>1540</v>
      </c>
      <c r="B257" s="257">
        <v>8.5</v>
      </c>
      <c r="C257" s="3"/>
      <c r="D257" s="5" t="s">
        <v>1596</v>
      </c>
      <c r="E257" s="257">
        <v>9.5</v>
      </c>
      <c r="F257" s="3"/>
      <c r="G257" s="3"/>
      <c r="H257" s="3"/>
      <c r="I257" s="3"/>
      <c r="J257" s="5" t="s">
        <v>1581</v>
      </c>
      <c r="K257" s="257">
        <v>9</v>
      </c>
      <c r="L257" s="3"/>
      <c r="M257" s="5" t="s">
        <v>1553</v>
      </c>
      <c r="N257" s="257">
        <v>10.5</v>
      </c>
      <c r="O257" s="3"/>
      <c r="V257"/>
      <c r="W257"/>
      <c r="X257"/>
      <c r="Y257"/>
      <c r="Z257"/>
    </row>
    <row r="258" spans="1:26" ht="16.05" customHeight="1" thickBot="1">
      <c r="A258" s="8" t="s">
        <v>1541</v>
      </c>
      <c r="B258" s="258">
        <v>8.5</v>
      </c>
      <c r="C258" s="3"/>
      <c r="D258" s="5" t="s">
        <v>1597</v>
      </c>
      <c r="E258" s="257">
        <v>10</v>
      </c>
      <c r="F258" s="3"/>
      <c r="G258" s="186" t="s">
        <v>1608</v>
      </c>
      <c r="H258" s="13">
        <f>ROUND(SUM(H259:H263)/COUNT(H259:H263), 2)</f>
        <v>8.9</v>
      </c>
      <c r="I258" s="3"/>
      <c r="J258" s="5" t="s">
        <v>1582</v>
      </c>
      <c r="K258" s="257">
        <v>6.5</v>
      </c>
      <c r="L258" s="3"/>
      <c r="M258" s="5" t="s">
        <v>1554</v>
      </c>
      <c r="N258" s="257">
        <v>10.5</v>
      </c>
      <c r="O258" s="3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1598</v>
      </c>
      <c r="E259" s="257"/>
      <c r="F259" s="3"/>
      <c r="G259" s="12" t="s">
        <v>1609</v>
      </c>
      <c r="H259" s="256">
        <v>9</v>
      </c>
      <c r="I259" s="3"/>
      <c r="J259" s="5" t="s">
        <v>1583</v>
      </c>
      <c r="K259" s="257"/>
      <c r="L259" s="3"/>
      <c r="M259" s="5" t="s">
        <v>1555</v>
      </c>
      <c r="N259" s="257">
        <v>9</v>
      </c>
      <c r="O259" s="3"/>
      <c r="V259"/>
      <c r="W259"/>
      <c r="X259"/>
      <c r="Y259"/>
      <c r="Z259"/>
    </row>
    <row r="260" spans="1:26" ht="16.05" customHeight="1" thickBot="1">
      <c r="A260" s="187" t="s">
        <v>1617</v>
      </c>
      <c r="B260" s="2">
        <f>ROUND(SUM(B261:B270)/COUNT(B261:B270), 2)</f>
        <v>8.75</v>
      </c>
      <c r="C260" s="3"/>
      <c r="D260" s="5" t="s">
        <v>1599</v>
      </c>
      <c r="E260" s="257">
        <v>8</v>
      </c>
      <c r="F260" s="3"/>
      <c r="G260" s="5" t="s">
        <v>1610</v>
      </c>
      <c r="H260" s="257">
        <v>8.5</v>
      </c>
      <c r="I260" s="3"/>
      <c r="J260" s="5" t="s">
        <v>1584</v>
      </c>
      <c r="K260" s="257">
        <v>7.5</v>
      </c>
      <c r="L260" s="3"/>
      <c r="M260" s="5" t="s">
        <v>1556</v>
      </c>
      <c r="N260" s="257">
        <v>8.5</v>
      </c>
      <c r="O260" s="3"/>
      <c r="V260"/>
      <c r="W260"/>
      <c r="X260"/>
      <c r="Y260"/>
      <c r="Z260"/>
    </row>
    <row r="261" spans="1:26" ht="16.05" customHeight="1">
      <c r="A261" s="5" t="s">
        <v>1618</v>
      </c>
      <c r="B261" s="257">
        <v>8</v>
      </c>
      <c r="C261" s="3"/>
      <c r="D261" s="5" t="s">
        <v>1600</v>
      </c>
      <c r="E261" s="257">
        <v>9</v>
      </c>
      <c r="F261" s="3"/>
      <c r="G261" s="5" t="s">
        <v>1611</v>
      </c>
      <c r="H261" s="257">
        <v>9</v>
      </c>
      <c r="I261" s="3"/>
      <c r="J261" s="5" t="s">
        <v>1585</v>
      </c>
      <c r="K261" s="257">
        <v>8.5</v>
      </c>
      <c r="L261" s="3"/>
      <c r="M261" s="5" t="s">
        <v>1557</v>
      </c>
      <c r="N261" s="257">
        <v>8</v>
      </c>
      <c r="O261" s="3"/>
      <c r="V261"/>
      <c r="W261"/>
      <c r="X261"/>
      <c r="Y261"/>
      <c r="Z261"/>
    </row>
    <row r="262" spans="1:26" ht="16.05" customHeight="1" thickBot="1">
      <c r="A262" s="5" t="s">
        <v>1619</v>
      </c>
      <c r="B262" s="257">
        <v>9.5</v>
      </c>
      <c r="C262" s="3"/>
      <c r="D262" s="5" t="s">
        <v>1601</v>
      </c>
      <c r="E262" s="257">
        <v>8</v>
      </c>
      <c r="F262" s="3"/>
      <c r="G262" s="5" t="s">
        <v>1612</v>
      </c>
      <c r="H262" s="257">
        <v>8</v>
      </c>
      <c r="I262" s="3"/>
      <c r="J262" s="8" t="s">
        <v>1586</v>
      </c>
      <c r="K262" s="258">
        <v>7.5</v>
      </c>
      <c r="L262" s="3"/>
      <c r="M262" s="5" t="s">
        <v>1558</v>
      </c>
      <c r="N262" s="257">
        <v>8</v>
      </c>
      <c r="O262" s="3"/>
      <c r="V262"/>
      <c r="W262"/>
      <c r="X262"/>
      <c r="Y262"/>
      <c r="Z262"/>
    </row>
    <row r="263" spans="1:26" ht="16.05" customHeight="1" thickBot="1">
      <c r="A263" s="5" t="s">
        <v>1620</v>
      </c>
      <c r="B263" s="257">
        <v>10</v>
      </c>
      <c r="C263" s="3"/>
      <c r="D263" s="5" t="s">
        <v>1602</v>
      </c>
      <c r="E263" s="257">
        <v>7</v>
      </c>
      <c r="F263" s="3"/>
      <c r="G263" s="8" t="s">
        <v>1613</v>
      </c>
      <c r="H263" s="258">
        <v>10</v>
      </c>
      <c r="I263" s="3"/>
      <c r="J263" s="3"/>
      <c r="K263" s="3"/>
      <c r="L263" s="3"/>
      <c r="M263" s="5" t="s">
        <v>1559</v>
      </c>
      <c r="N263" s="257">
        <v>7.5</v>
      </c>
      <c r="O263" s="3"/>
      <c r="V263"/>
      <c r="W263"/>
      <c r="X263"/>
      <c r="Y263"/>
      <c r="Z263"/>
    </row>
    <row r="264" spans="1:26" ht="16.05" customHeight="1" thickBot="1">
      <c r="A264" s="5" t="s">
        <v>1621</v>
      </c>
      <c r="B264" s="257">
        <v>9.5</v>
      </c>
      <c r="C264" s="3"/>
      <c r="D264" s="8" t="s">
        <v>1603</v>
      </c>
      <c r="E264" s="258">
        <v>6</v>
      </c>
      <c r="F264" s="3"/>
      <c r="G264" s="3"/>
      <c r="H264" s="3"/>
      <c r="I264" s="3"/>
      <c r="J264" s="188" t="s">
        <v>1633</v>
      </c>
      <c r="K264" s="2">
        <f>ROUND(SUM(K265:K274)/COUNT(K265:K274), 2)</f>
        <v>8.94</v>
      </c>
      <c r="L264" s="3"/>
      <c r="M264" s="5" t="s">
        <v>1560</v>
      </c>
      <c r="N264" s="257">
        <v>8</v>
      </c>
      <c r="O264" s="3"/>
      <c r="V264"/>
      <c r="W264"/>
      <c r="X264"/>
      <c r="Y264"/>
      <c r="Z264"/>
    </row>
    <row r="265" spans="1:26" ht="16.05" customHeight="1" thickBot="1">
      <c r="A265" s="5" t="s">
        <v>1622</v>
      </c>
      <c r="B265" s="257">
        <v>8</v>
      </c>
      <c r="C265" s="3"/>
      <c r="D265" s="3"/>
      <c r="E265" s="3"/>
      <c r="F265" s="3"/>
      <c r="G265" s="190" t="s">
        <v>1667</v>
      </c>
      <c r="H265" s="13">
        <f>ROUND(SUM(H266:H274)/COUNT(H266:H274), 2)</f>
        <v>8.75</v>
      </c>
      <c r="I265" s="3"/>
      <c r="J265" s="12" t="s">
        <v>1634</v>
      </c>
      <c r="K265" s="256">
        <v>8</v>
      </c>
      <c r="L265" s="3"/>
      <c r="M265" s="5" t="s">
        <v>1561</v>
      </c>
      <c r="N265" s="257">
        <v>9</v>
      </c>
      <c r="O265" s="3"/>
      <c r="V265"/>
      <c r="W265"/>
      <c r="X265"/>
      <c r="Y265"/>
      <c r="Z265"/>
    </row>
    <row r="266" spans="1:26" ht="16.05" customHeight="1" thickBot="1">
      <c r="A266" s="5" t="s">
        <v>1623</v>
      </c>
      <c r="B266" s="257">
        <v>8.5</v>
      </c>
      <c r="C266" s="3"/>
      <c r="D266" s="189" t="s">
        <v>1644</v>
      </c>
      <c r="E266" s="13">
        <f>ROUND(SUM(E267:E276)/COUNT(E267:E276), 2)</f>
        <v>8.6</v>
      </c>
      <c r="F266" s="3"/>
      <c r="G266" s="12" t="s">
        <v>1658</v>
      </c>
      <c r="H266" s="256">
        <v>8.5</v>
      </c>
      <c r="I266" s="3"/>
      <c r="J266" s="5" t="s">
        <v>1635</v>
      </c>
      <c r="K266" s="257">
        <v>8.5</v>
      </c>
      <c r="L266" s="3"/>
      <c r="M266" s="5" t="s">
        <v>1562</v>
      </c>
      <c r="N266" s="257">
        <v>8</v>
      </c>
      <c r="O266" s="3"/>
      <c r="V266"/>
      <c r="W266"/>
      <c r="X266"/>
      <c r="Y266"/>
      <c r="Z266"/>
    </row>
    <row r="267" spans="1:26" ht="16.05" customHeight="1">
      <c r="A267" s="5" t="s">
        <v>1624</v>
      </c>
      <c r="B267" s="257">
        <v>8.5</v>
      </c>
      <c r="C267" s="3"/>
      <c r="D267" s="12" t="s">
        <v>1645</v>
      </c>
      <c r="E267" s="256">
        <v>9.5</v>
      </c>
      <c r="F267" s="3"/>
      <c r="G267" s="5" t="s">
        <v>1659</v>
      </c>
      <c r="H267" s="257">
        <v>10</v>
      </c>
      <c r="I267" s="3"/>
      <c r="J267" s="5" t="s">
        <v>1636</v>
      </c>
      <c r="K267" s="257">
        <v>8.5</v>
      </c>
      <c r="L267" s="3"/>
      <c r="M267" s="5" t="s">
        <v>1563</v>
      </c>
      <c r="N267" s="257">
        <v>7.5</v>
      </c>
      <c r="O267" s="3"/>
      <c r="V267"/>
      <c r="W267"/>
      <c r="X267"/>
      <c r="Y267"/>
      <c r="Z267"/>
    </row>
    <row r="268" spans="1:26" ht="16.05" customHeight="1">
      <c r="A268" s="5" t="s">
        <v>1625</v>
      </c>
      <c r="B268" s="257">
        <v>8</v>
      </c>
      <c r="C268" s="3"/>
      <c r="D268" s="5" t="s">
        <v>1646</v>
      </c>
      <c r="E268" s="257">
        <v>8.5</v>
      </c>
      <c r="F268" s="3"/>
      <c r="G268" s="5" t="s">
        <v>1666</v>
      </c>
      <c r="H268" s="257">
        <v>9</v>
      </c>
      <c r="I268" s="3"/>
      <c r="J268" s="5" t="s">
        <v>1637</v>
      </c>
      <c r="K268" s="257">
        <v>9</v>
      </c>
      <c r="L268" s="3"/>
      <c r="M268" s="5" t="s">
        <v>1564</v>
      </c>
      <c r="N268" s="257">
        <v>8</v>
      </c>
      <c r="O268" s="3"/>
      <c r="V268"/>
      <c r="W268"/>
      <c r="X268"/>
      <c r="Y268"/>
      <c r="Z268"/>
    </row>
    <row r="269" spans="1:26" ht="16.05" customHeight="1">
      <c r="A269" s="5" t="s">
        <v>1626</v>
      </c>
      <c r="B269" s="257">
        <v>7.5</v>
      </c>
      <c r="C269" s="3"/>
      <c r="D269" s="5" t="s">
        <v>1647</v>
      </c>
      <c r="E269" s="257">
        <v>8.5</v>
      </c>
      <c r="F269" s="3"/>
      <c r="G269" s="5" t="s">
        <v>1660</v>
      </c>
      <c r="H269" s="257">
        <v>8.5</v>
      </c>
      <c r="I269" s="3"/>
      <c r="J269" s="5" t="s">
        <v>1638</v>
      </c>
      <c r="K269" s="257">
        <v>10</v>
      </c>
      <c r="L269" s="3"/>
      <c r="M269" s="5" t="s">
        <v>1565</v>
      </c>
      <c r="N269" s="257">
        <v>7.5</v>
      </c>
      <c r="O269" s="3"/>
      <c r="V269"/>
      <c r="W269"/>
      <c r="X269"/>
      <c r="Y269"/>
      <c r="Z269"/>
    </row>
    <row r="270" spans="1:26" ht="16.05" customHeight="1" thickBot="1">
      <c r="A270" s="8" t="s">
        <v>1627</v>
      </c>
      <c r="B270" s="258">
        <v>10</v>
      </c>
      <c r="C270" s="3"/>
      <c r="D270" s="5" t="s">
        <v>1648</v>
      </c>
      <c r="E270" s="257">
        <v>8</v>
      </c>
      <c r="F270" s="3"/>
      <c r="G270" s="5" t="s">
        <v>1661</v>
      </c>
      <c r="H270" s="257">
        <v>8.5</v>
      </c>
      <c r="I270" s="3"/>
      <c r="J270" s="5" t="s">
        <v>1639</v>
      </c>
      <c r="K270" s="257">
        <v>10.5</v>
      </c>
      <c r="L270" s="3"/>
      <c r="M270" s="5" t="s">
        <v>1566</v>
      </c>
      <c r="N270" s="257">
        <v>7.5</v>
      </c>
      <c r="O270" s="3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1649</v>
      </c>
      <c r="E271" s="257">
        <v>7.5</v>
      </c>
      <c r="F271" s="3"/>
      <c r="G271" s="5" t="s">
        <v>1662</v>
      </c>
      <c r="H271" s="257"/>
      <c r="I271" s="3"/>
      <c r="J271" s="5" t="s">
        <v>1640</v>
      </c>
      <c r="K271" s="257"/>
      <c r="L271" s="3"/>
      <c r="M271" s="5" t="s">
        <v>1567</v>
      </c>
      <c r="N271" s="257">
        <v>7.5</v>
      </c>
      <c r="O271" s="3"/>
      <c r="V271"/>
      <c r="W271"/>
      <c r="X271"/>
      <c r="Y271"/>
      <c r="Z271"/>
    </row>
    <row r="272" spans="1:26" ht="16.05" customHeight="1" thickBot="1">
      <c r="A272" s="192" t="s">
        <v>1674</v>
      </c>
      <c r="B272" s="13">
        <f>ROUND(SUM(B273:B277)/COUNT(B273:B277), 2)</f>
        <v>8.4</v>
      </c>
      <c r="C272" s="3"/>
      <c r="D272" s="5" t="s">
        <v>1650</v>
      </c>
      <c r="E272" s="257">
        <v>9.5</v>
      </c>
      <c r="F272" s="3"/>
      <c r="G272" s="5" t="s">
        <v>1663</v>
      </c>
      <c r="H272" s="257">
        <v>8.5</v>
      </c>
      <c r="I272" s="3"/>
      <c r="J272" s="5" t="s">
        <v>1641</v>
      </c>
      <c r="K272" s="257">
        <v>9</v>
      </c>
      <c r="L272" s="3"/>
      <c r="M272" s="5" t="s">
        <v>1568</v>
      </c>
      <c r="N272" s="257">
        <v>9</v>
      </c>
      <c r="O272" s="3"/>
      <c r="V272"/>
      <c r="W272"/>
      <c r="X272"/>
      <c r="Y272"/>
      <c r="Z272"/>
    </row>
    <row r="273" spans="1:26" ht="16.05" customHeight="1">
      <c r="A273" s="5" t="s">
        <v>1675</v>
      </c>
      <c r="B273" s="257">
        <v>8.5</v>
      </c>
      <c r="C273" s="3"/>
      <c r="D273" s="5" t="s">
        <v>1651</v>
      </c>
      <c r="E273" s="257">
        <v>10</v>
      </c>
      <c r="F273" s="3"/>
      <c r="G273" s="5" t="s">
        <v>1664</v>
      </c>
      <c r="H273" s="257">
        <v>9</v>
      </c>
      <c r="I273" s="3"/>
      <c r="J273" s="5" t="s">
        <v>1642</v>
      </c>
      <c r="K273" s="257">
        <v>8.5</v>
      </c>
      <c r="L273" s="3"/>
      <c r="M273" s="5" t="s">
        <v>1569</v>
      </c>
      <c r="N273" s="257">
        <v>10</v>
      </c>
      <c r="O273" s="3"/>
      <c r="V273"/>
      <c r="W273"/>
      <c r="X273"/>
      <c r="Y273"/>
      <c r="Z273"/>
    </row>
    <row r="274" spans="1:26" ht="16.05" customHeight="1" thickBot="1">
      <c r="A274" s="5" t="s">
        <v>1676</v>
      </c>
      <c r="B274" s="257">
        <v>9</v>
      </c>
      <c r="C274" s="3"/>
      <c r="D274" s="5" t="s">
        <v>1652</v>
      </c>
      <c r="E274" s="257">
        <v>8</v>
      </c>
      <c r="F274" s="3"/>
      <c r="G274" s="8" t="s">
        <v>1665</v>
      </c>
      <c r="H274" s="258">
        <v>8</v>
      </c>
      <c r="I274" s="3"/>
      <c r="J274" s="8" t="s">
        <v>1643</v>
      </c>
      <c r="K274" s="258">
        <v>8.5</v>
      </c>
      <c r="L274" s="3"/>
      <c r="M274" s="5" t="s">
        <v>1570</v>
      </c>
      <c r="N274" s="257">
        <v>9</v>
      </c>
      <c r="O274" s="3"/>
      <c r="V274"/>
      <c r="W274"/>
      <c r="X274"/>
      <c r="Y274"/>
      <c r="Z274"/>
    </row>
    <row r="275" spans="1:26" ht="16.05" customHeight="1" thickBot="1">
      <c r="A275" s="5" t="s">
        <v>1677</v>
      </c>
      <c r="B275" s="257">
        <v>8.5</v>
      </c>
      <c r="C275" s="3"/>
      <c r="D275" s="5" t="s">
        <v>1653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1571</v>
      </c>
      <c r="N275" s="258">
        <v>9</v>
      </c>
      <c r="O275" s="3"/>
      <c r="V275"/>
      <c r="W275"/>
      <c r="X275"/>
      <c r="Y275"/>
      <c r="Z275"/>
    </row>
    <row r="276" spans="1:26" ht="16.05" customHeight="1" thickBot="1">
      <c r="A276" s="5" t="s">
        <v>1678</v>
      </c>
      <c r="B276" s="257">
        <v>8</v>
      </c>
      <c r="C276" s="3"/>
      <c r="D276" s="8" t="s">
        <v>1654</v>
      </c>
      <c r="E276" s="258">
        <v>9</v>
      </c>
      <c r="F276" s="3"/>
      <c r="G276" s="194" t="s">
        <v>1684</v>
      </c>
      <c r="H276" s="2">
        <f>ROUND(SUM(H277:H286)/COUNT(H277:H286), 2)</f>
        <v>8.85</v>
      </c>
      <c r="I276" s="3"/>
      <c r="J276" s="195" t="s">
        <v>1708</v>
      </c>
      <c r="K276" s="2">
        <f>ROUND(SUM(K277:K284)/COUNT(K277:K284), 2)</f>
        <v>8.7100000000000009</v>
      </c>
      <c r="L276" s="3"/>
      <c r="M276" s="3"/>
      <c r="N276" s="3"/>
      <c r="O276" s="3"/>
      <c r="V276"/>
      <c r="W276"/>
      <c r="X276"/>
      <c r="Y276"/>
      <c r="Z276"/>
    </row>
    <row r="277" spans="1:26" ht="16.05" customHeight="1" thickBot="1">
      <c r="A277" s="8" t="s">
        <v>1679</v>
      </c>
      <c r="B277" s="258">
        <v>8</v>
      </c>
      <c r="C277" s="3"/>
      <c r="D277" s="3"/>
      <c r="E277" s="3"/>
      <c r="F277" s="3"/>
      <c r="G277" s="12" t="s">
        <v>1685</v>
      </c>
      <c r="H277" s="256">
        <v>9.5</v>
      </c>
      <c r="I277" s="3"/>
      <c r="J277" s="12" t="s">
        <v>1698</v>
      </c>
      <c r="K277" s="256">
        <v>8.5</v>
      </c>
      <c r="L277" s="3"/>
      <c r="M277" s="244" t="s">
        <v>1720</v>
      </c>
      <c r="N277" s="2">
        <f>ROUND(SUM(N278:N282)/COUNT(N278:N282), 2)</f>
        <v>8.4</v>
      </c>
      <c r="O277" s="3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1709</v>
      </c>
      <c r="E278" s="13">
        <f>ROUND(SUM(E279:E286)/COUNT(E279:E286), 2)</f>
        <v>8.81</v>
      </c>
      <c r="F278" s="3"/>
      <c r="G278" s="5" t="s">
        <v>1686</v>
      </c>
      <c r="H278" s="257">
        <v>9</v>
      </c>
      <c r="I278" s="3"/>
      <c r="J278" s="5" t="s">
        <v>1699</v>
      </c>
      <c r="K278" s="257">
        <v>9</v>
      </c>
      <c r="L278" s="3"/>
      <c r="M278" s="5" t="s">
        <v>1721</v>
      </c>
      <c r="N278" s="257">
        <v>8</v>
      </c>
      <c r="O278" s="3"/>
      <c r="V278"/>
      <c r="W278"/>
      <c r="X278"/>
      <c r="Y278"/>
      <c r="Z278"/>
    </row>
    <row r="279" spans="1:26" ht="16.05" customHeight="1" thickBot="1">
      <c r="A279" s="245" t="s">
        <v>1727</v>
      </c>
      <c r="B279" s="13">
        <f>ROUND(SUM(B280:B307)/COUNT(B280:B307), 2)</f>
        <v>8.57</v>
      </c>
      <c r="C279" s="3"/>
      <c r="D279" s="12" t="s">
        <v>1710</v>
      </c>
      <c r="E279" s="256">
        <v>8</v>
      </c>
      <c r="F279" s="3"/>
      <c r="G279" s="5" t="s">
        <v>1687</v>
      </c>
      <c r="H279" s="257">
        <v>10</v>
      </c>
      <c r="I279" s="3"/>
      <c r="J279" s="5" t="s">
        <v>1700</v>
      </c>
      <c r="K279" s="257"/>
      <c r="L279" s="3"/>
      <c r="M279" s="5" t="s">
        <v>1722</v>
      </c>
      <c r="N279" s="257">
        <v>7.5</v>
      </c>
      <c r="O279" s="3"/>
      <c r="V279"/>
      <c r="W279"/>
      <c r="X279"/>
      <c r="Y279"/>
      <c r="Z279"/>
    </row>
    <row r="280" spans="1:26" ht="16.05" customHeight="1">
      <c r="A280" s="12" t="s">
        <v>1728</v>
      </c>
      <c r="B280" s="256"/>
      <c r="C280" s="3"/>
      <c r="D280" s="5" t="s">
        <v>1711</v>
      </c>
      <c r="E280" s="257">
        <v>8.5</v>
      </c>
      <c r="F280" s="3"/>
      <c r="G280" s="5" t="s">
        <v>1688</v>
      </c>
      <c r="H280" s="257">
        <v>8.5</v>
      </c>
      <c r="I280" s="3"/>
      <c r="J280" s="5" t="s">
        <v>1701</v>
      </c>
      <c r="K280" s="257">
        <v>8.5</v>
      </c>
      <c r="L280" s="3"/>
      <c r="M280" s="5" t="s">
        <v>1723</v>
      </c>
      <c r="N280" s="257">
        <v>8</v>
      </c>
      <c r="O280" s="3"/>
      <c r="V280"/>
      <c r="W280"/>
      <c r="X280"/>
      <c r="Y280"/>
      <c r="Z280"/>
    </row>
    <row r="281" spans="1:26" ht="16.05" customHeight="1">
      <c r="A281" s="5" t="s">
        <v>1729</v>
      </c>
      <c r="B281" s="257">
        <v>10</v>
      </c>
      <c r="C281" s="3"/>
      <c r="D281" s="5" t="s">
        <v>1712</v>
      </c>
      <c r="E281" s="257">
        <v>8</v>
      </c>
      <c r="F281" s="3"/>
      <c r="G281" s="5" t="s">
        <v>1689</v>
      </c>
      <c r="H281" s="257">
        <v>8</v>
      </c>
      <c r="I281" s="3"/>
      <c r="J281" s="5" t="s">
        <v>1702</v>
      </c>
      <c r="K281" s="257">
        <v>10</v>
      </c>
      <c r="L281" s="3"/>
      <c r="M281" s="5" t="s">
        <v>1724</v>
      </c>
      <c r="N281" s="257">
        <v>8.5</v>
      </c>
      <c r="O281" s="3"/>
      <c r="V281"/>
      <c r="W281"/>
      <c r="X281"/>
      <c r="Y281"/>
      <c r="Z281"/>
    </row>
    <row r="282" spans="1:26" ht="16.05" customHeight="1" thickBot="1">
      <c r="A282" s="5" t="s">
        <v>1730</v>
      </c>
      <c r="B282" s="257">
        <v>8</v>
      </c>
      <c r="C282" s="3"/>
      <c r="D282" s="5" t="s">
        <v>1713</v>
      </c>
      <c r="E282" s="257">
        <v>8.5</v>
      </c>
      <c r="F282" s="3"/>
      <c r="G282" s="5" t="s">
        <v>1690</v>
      </c>
      <c r="H282" s="257">
        <v>8.5</v>
      </c>
      <c r="I282" s="3"/>
      <c r="J282" s="5" t="s">
        <v>1703</v>
      </c>
      <c r="K282" s="257">
        <v>8</v>
      </c>
      <c r="L282" s="3"/>
      <c r="M282" s="8" t="s">
        <v>1725</v>
      </c>
      <c r="N282" s="258">
        <v>10</v>
      </c>
      <c r="O282" s="3"/>
      <c r="V282"/>
      <c r="W282"/>
      <c r="X282"/>
      <c r="Y282"/>
      <c r="Z282"/>
    </row>
    <row r="283" spans="1:26" ht="16.05" customHeight="1" thickBot="1">
      <c r="A283" s="5" t="s">
        <v>1731</v>
      </c>
      <c r="B283" s="257">
        <v>9.5</v>
      </c>
      <c r="C283" s="3"/>
      <c r="D283" s="5" t="s">
        <v>1714</v>
      </c>
      <c r="E283" s="257">
        <v>10</v>
      </c>
      <c r="F283" s="3"/>
      <c r="G283" s="5" t="s">
        <v>1691</v>
      </c>
      <c r="H283" s="257">
        <v>8.5</v>
      </c>
      <c r="I283" s="3"/>
      <c r="J283" s="5" t="s">
        <v>1704</v>
      </c>
      <c r="K283" s="257">
        <v>9</v>
      </c>
      <c r="L283" s="3"/>
      <c r="M283" s="3"/>
      <c r="N283" s="3"/>
      <c r="O283" s="3"/>
      <c r="V283"/>
      <c r="W283"/>
      <c r="X283"/>
      <c r="Y283"/>
      <c r="Z283"/>
    </row>
    <row r="284" spans="1:26" ht="16.05" customHeight="1" thickBot="1">
      <c r="A284" s="5" t="s">
        <v>1732</v>
      </c>
      <c r="B284" s="257">
        <v>8</v>
      </c>
      <c r="C284" s="3"/>
      <c r="D284" s="5" t="s">
        <v>1715</v>
      </c>
      <c r="E284" s="257">
        <v>9.5</v>
      </c>
      <c r="F284" s="3"/>
      <c r="G284" s="5" t="s">
        <v>1692</v>
      </c>
      <c r="H284" s="257">
        <v>9</v>
      </c>
      <c r="I284" s="3"/>
      <c r="J284" s="8" t="s">
        <v>1705</v>
      </c>
      <c r="K284" s="258">
        <v>8</v>
      </c>
      <c r="L284" s="3"/>
      <c r="M284" s="255" t="s">
        <v>1756</v>
      </c>
      <c r="N284" s="247">
        <f>ROUND(SUM(N285:N295)/COUNT(N285:N295), 2)</f>
        <v>8.91</v>
      </c>
      <c r="O284" s="3"/>
      <c r="V284"/>
      <c r="W284"/>
      <c r="X284"/>
      <c r="Y284"/>
      <c r="Z284"/>
    </row>
    <row r="285" spans="1:26" ht="16.05" customHeight="1" thickBot="1">
      <c r="A285" s="5" t="s">
        <v>1733</v>
      </c>
      <c r="B285" s="257">
        <v>10</v>
      </c>
      <c r="C285" s="3"/>
      <c r="D285" s="5" t="s">
        <v>1716</v>
      </c>
      <c r="E285" s="257">
        <v>8</v>
      </c>
      <c r="F285" s="3"/>
      <c r="G285" s="5" t="s">
        <v>1693</v>
      </c>
      <c r="H285" s="257">
        <v>8.5</v>
      </c>
      <c r="I285" s="3"/>
      <c r="J285" s="3"/>
      <c r="K285" s="3"/>
      <c r="L285" s="3"/>
      <c r="M285" s="12" t="s">
        <v>1757</v>
      </c>
      <c r="N285" s="256">
        <v>9</v>
      </c>
      <c r="O285" s="3"/>
      <c r="V285"/>
      <c r="W285"/>
      <c r="X285"/>
      <c r="Y285"/>
      <c r="Z285"/>
    </row>
    <row r="286" spans="1:26" ht="16.05" customHeight="1" thickBot="1">
      <c r="A286" s="5" t="s">
        <v>1734</v>
      </c>
      <c r="B286" s="257">
        <v>9</v>
      </c>
      <c r="C286" s="3"/>
      <c r="D286" s="8" t="s">
        <v>1717</v>
      </c>
      <c r="E286" s="258">
        <v>10</v>
      </c>
      <c r="F286" s="3"/>
      <c r="G286" s="8" t="s">
        <v>1694</v>
      </c>
      <c r="H286" s="258">
        <v>9</v>
      </c>
      <c r="I286" s="3"/>
      <c r="J286" s="248" t="s">
        <v>1779</v>
      </c>
      <c r="K286" s="2">
        <f>ROUND(SUM(K287:K294)/COUNT(K287:K294), 2)</f>
        <v>8.06</v>
      </c>
      <c r="L286" s="3"/>
      <c r="M286" s="5" t="s">
        <v>1758</v>
      </c>
      <c r="N286" s="257">
        <v>9.5</v>
      </c>
      <c r="O286" s="3"/>
      <c r="V286"/>
      <c r="W286"/>
      <c r="X286"/>
      <c r="Y286"/>
      <c r="Z286"/>
    </row>
    <row r="287" spans="1:26" ht="16.05" customHeight="1" thickBot="1">
      <c r="A287" s="5" t="s">
        <v>1735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1771</v>
      </c>
      <c r="K287" s="257">
        <v>9</v>
      </c>
      <c r="L287" s="3"/>
      <c r="M287" s="5" t="s">
        <v>1759</v>
      </c>
      <c r="N287" s="257">
        <v>9</v>
      </c>
      <c r="O287" s="3"/>
      <c r="V287"/>
      <c r="W287"/>
      <c r="X287"/>
      <c r="Y287"/>
      <c r="Z287"/>
    </row>
    <row r="288" spans="1:26" ht="16.05" customHeight="1" thickBot="1">
      <c r="A288" s="5" t="s">
        <v>1736</v>
      </c>
      <c r="B288" s="257">
        <v>7.5</v>
      </c>
      <c r="C288" s="3"/>
      <c r="D288" s="249" t="s">
        <v>1781</v>
      </c>
      <c r="E288" s="13">
        <f>ROUND(SUM(E289:E297)/COUNT(E289:E297), 2)</f>
        <v>8.5</v>
      </c>
      <c r="F288" s="3"/>
      <c r="G288" s="254" t="s">
        <v>1793</v>
      </c>
      <c r="H288" s="13">
        <f>ROUND(SUM(H289:H294)/COUNT(H289:H294), 2)</f>
        <v>8.83</v>
      </c>
      <c r="I288" s="3"/>
      <c r="J288" s="5" t="s">
        <v>1772</v>
      </c>
      <c r="K288" s="257">
        <v>9</v>
      </c>
      <c r="L288" s="3"/>
      <c r="M288" s="5" t="s">
        <v>1760</v>
      </c>
      <c r="N288" s="257">
        <v>8.5</v>
      </c>
      <c r="O288" s="3"/>
      <c r="V288"/>
      <c r="W288"/>
      <c r="X288"/>
      <c r="Y288"/>
      <c r="Z288"/>
    </row>
    <row r="289" spans="1:26" ht="16.05" customHeight="1">
      <c r="A289" s="5" t="s">
        <v>1737</v>
      </c>
      <c r="B289" s="257">
        <v>8.5</v>
      </c>
      <c r="C289" s="3"/>
      <c r="D289" s="12" t="s">
        <v>1782</v>
      </c>
      <c r="E289" s="256">
        <v>8</v>
      </c>
      <c r="F289" s="3"/>
      <c r="G289" s="12" t="s">
        <v>1794</v>
      </c>
      <c r="H289" s="256">
        <v>9</v>
      </c>
      <c r="I289" s="3"/>
      <c r="J289" s="5" t="s">
        <v>1773</v>
      </c>
      <c r="K289" s="257">
        <v>8</v>
      </c>
      <c r="L289" s="3"/>
      <c r="M289" s="5" t="s">
        <v>1761</v>
      </c>
      <c r="N289" s="257">
        <v>8.5</v>
      </c>
      <c r="O289" s="3"/>
      <c r="V289"/>
      <c r="W289"/>
      <c r="X289"/>
      <c r="Y289"/>
      <c r="Z289"/>
    </row>
    <row r="290" spans="1:26" ht="16.05" customHeight="1">
      <c r="A290" s="5" t="s">
        <v>1738</v>
      </c>
      <c r="B290" s="257">
        <v>8.5</v>
      </c>
      <c r="C290" s="3"/>
      <c r="D290" s="5" t="s">
        <v>1783</v>
      </c>
      <c r="E290" s="257">
        <v>9</v>
      </c>
      <c r="F290" s="3"/>
      <c r="G290" s="5" t="s">
        <v>1795</v>
      </c>
      <c r="H290" s="257">
        <v>8.5</v>
      </c>
      <c r="I290" s="3"/>
      <c r="J290" s="5" t="s">
        <v>1774</v>
      </c>
      <c r="K290" s="257">
        <v>7</v>
      </c>
      <c r="L290" s="3"/>
      <c r="M290" s="5" t="s">
        <v>1762</v>
      </c>
      <c r="N290" s="257">
        <v>9</v>
      </c>
      <c r="O290" s="3"/>
      <c r="V290"/>
      <c r="W290"/>
      <c r="X290"/>
      <c r="Y290"/>
      <c r="Z290"/>
    </row>
    <row r="291" spans="1:26" ht="16.05" customHeight="1">
      <c r="A291" s="5" t="s">
        <v>1739</v>
      </c>
      <c r="B291" s="257">
        <v>8</v>
      </c>
      <c r="C291" s="3"/>
      <c r="D291" s="5" t="s">
        <v>1784</v>
      </c>
      <c r="E291" s="257">
        <v>8.5</v>
      </c>
      <c r="F291" s="3"/>
      <c r="G291" s="5" t="s">
        <v>1796</v>
      </c>
      <c r="H291" s="257">
        <v>8</v>
      </c>
      <c r="I291" s="3"/>
      <c r="J291" s="5" t="s">
        <v>1775</v>
      </c>
      <c r="K291" s="257">
        <v>7.5</v>
      </c>
      <c r="L291" s="3"/>
      <c r="M291" s="5" t="s">
        <v>575</v>
      </c>
      <c r="N291" s="257">
        <v>8</v>
      </c>
      <c r="O291" s="3"/>
      <c r="V291"/>
      <c r="W291"/>
      <c r="X291"/>
      <c r="Y291"/>
      <c r="Z291"/>
    </row>
    <row r="292" spans="1:26" ht="16.05" customHeight="1">
      <c r="A292" s="5" t="s">
        <v>1740</v>
      </c>
      <c r="B292" s="257">
        <v>9</v>
      </c>
      <c r="C292" s="3"/>
      <c r="D292" s="5" t="s">
        <v>1785</v>
      </c>
      <c r="E292" s="257">
        <v>8.5</v>
      </c>
      <c r="F292" s="3"/>
      <c r="G292" s="5" t="s">
        <v>1797</v>
      </c>
      <c r="H292" s="257">
        <v>9</v>
      </c>
      <c r="I292" s="3"/>
      <c r="J292" s="5" t="s">
        <v>1776</v>
      </c>
      <c r="K292" s="257">
        <v>8</v>
      </c>
      <c r="L292" s="3"/>
      <c r="M292" s="5" t="s">
        <v>1763</v>
      </c>
      <c r="N292" s="257">
        <v>10</v>
      </c>
      <c r="O292" s="3"/>
      <c r="V292"/>
      <c r="W292"/>
      <c r="X292"/>
      <c r="Y292"/>
      <c r="Z292"/>
    </row>
    <row r="293" spans="1:26" ht="16.05" customHeight="1">
      <c r="A293" s="5" t="s">
        <v>1741</v>
      </c>
      <c r="B293" s="257">
        <v>8.5</v>
      </c>
      <c r="C293" s="3"/>
      <c r="D293" s="5" t="s">
        <v>1786</v>
      </c>
      <c r="E293" s="257">
        <v>9</v>
      </c>
      <c r="F293" s="3"/>
      <c r="G293" s="5" t="s">
        <v>1798</v>
      </c>
      <c r="H293" s="257">
        <v>8.5</v>
      </c>
      <c r="I293" s="3"/>
      <c r="J293" s="5" t="s">
        <v>1777</v>
      </c>
      <c r="K293" s="257">
        <v>7</v>
      </c>
      <c r="L293" s="3"/>
      <c r="M293" s="5" t="s">
        <v>1764</v>
      </c>
      <c r="N293" s="257">
        <v>8</v>
      </c>
      <c r="O293" s="3"/>
      <c r="V293"/>
      <c r="W293"/>
      <c r="X293"/>
      <c r="Y293"/>
      <c r="Z293"/>
    </row>
    <row r="294" spans="1:26" ht="16.05" customHeight="1" thickBot="1">
      <c r="A294" s="5" t="s">
        <v>1742</v>
      </c>
      <c r="B294" s="257">
        <v>8</v>
      </c>
      <c r="C294" s="3"/>
      <c r="D294" s="5" t="s">
        <v>1787</v>
      </c>
      <c r="E294" s="257">
        <v>8</v>
      </c>
      <c r="F294" s="3"/>
      <c r="G294" s="8" t="s">
        <v>1799</v>
      </c>
      <c r="H294" s="258">
        <v>10</v>
      </c>
      <c r="I294" s="3"/>
      <c r="J294" s="8" t="s">
        <v>1778</v>
      </c>
      <c r="K294" s="258">
        <v>9</v>
      </c>
      <c r="L294" s="3"/>
      <c r="M294" s="5" t="s">
        <v>1765</v>
      </c>
      <c r="N294" s="257">
        <v>8.5</v>
      </c>
      <c r="O294" s="3"/>
      <c r="V294"/>
      <c r="W294"/>
      <c r="X294"/>
      <c r="Y294"/>
      <c r="Z294"/>
    </row>
    <row r="295" spans="1:26" ht="16.05" customHeight="1" thickBot="1">
      <c r="A295" s="5" t="s">
        <v>1743</v>
      </c>
      <c r="B295" s="257">
        <v>8</v>
      </c>
      <c r="C295" s="3"/>
      <c r="D295" s="5" t="s">
        <v>1788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1766</v>
      </c>
      <c r="N295" s="258">
        <v>10</v>
      </c>
      <c r="O295" s="3"/>
      <c r="V295"/>
      <c r="W295"/>
      <c r="X295"/>
      <c r="Y295"/>
      <c r="Z295"/>
    </row>
    <row r="296" spans="1:26" ht="16.05" customHeight="1" thickBot="1">
      <c r="A296" s="5" t="s">
        <v>1744</v>
      </c>
      <c r="B296" s="257">
        <v>9</v>
      </c>
      <c r="C296" s="3"/>
      <c r="D296" s="5" t="s">
        <v>1789</v>
      </c>
      <c r="E296" s="257">
        <v>8.5</v>
      </c>
      <c r="F296" s="3"/>
      <c r="G296" s="250" t="s">
        <v>1814</v>
      </c>
      <c r="H296" s="13">
        <f>ROUND(SUM(H297:H307)/COUNT(H297:H307), 2)</f>
        <v>3.68</v>
      </c>
      <c r="I296" s="3"/>
      <c r="J296" s="269" t="s">
        <v>1833</v>
      </c>
      <c r="K296" s="13">
        <f>ROUND(SUM(K297:K302)/COUNT(K297:K302), 2)</f>
        <v>8.92</v>
      </c>
      <c r="L296" s="3"/>
      <c r="M296" s="3"/>
      <c r="N296" s="3"/>
      <c r="O296" s="3"/>
      <c r="V296"/>
      <c r="W296"/>
      <c r="X296"/>
      <c r="Y296"/>
      <c r="Z296"/>
    </row>
    <row r="297" spans="1:26" ht="16.05" customHeight="1" thickBot="1">
      <c r="A297" s="5" t="s">
        <v>1745</v>
      </c>
      <c r="B297" s="257">
        <v>8</v>
      </c>
      <c r="C297" s="3"/>
      <c r="D297" s="8" t="s">
        <v>1790</v>
      </c>
      <c r="E297" s="258">
        <v>8</v>
      </c>
      <c r="F297" s="3"/>
      <c r="G297" s="12" t="s">
        <v>1815</v>
      </c>
      <c r="H297" s="256">
        <v>6.5</v>
      </c>
      <c r="I297" s="3"/>
      <c r="J297" s="12" t="s">
        <v>1834</v>
      </c>
      <c r="K297" s="256">
        <v>9</v>
      </c>
      <c r="L297" s="3"/>
      <c r="M297" s="271" t="s">
        <v>1848</v>
      </c>
      <c r="N297" s="13">
        <f>ROUND(SUM(N298:N304)/COUNT(N298:N304), 2)</f>
        <v>8.2899999999999991</v>
      </c>
      <c r="O297" s="3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1816</v>
      </c>
      <c r="H298" s="257">
        <v>5</v>
      </c>
      <c r="I298" s="3"/>
      <c r="J298" s="5" t="s">
        <v>1835</v>
      </c>
      <c r="K298" s="257">
        <v>8.5</v>
      </c>
      <c r="L298" s="3"/>
      <c r="M298" s="12" t="s">
        <v>1841</v>
      </c>
      <c r="N298" s="256">
        <v>8</v>
      </c>
      <c r="O298" s="3"/>
      <c r="V298"/>
      <c r="W298"/>
      <c r="X298"/>
      <c r="Y298"/>
      <c r="Z298"/>
    </row>
    <row r="299" spans="1:26" ht="16.05" customHeight="1" thickBot="1">
      <c r="A299" s="5" t="s">
        <v>1746</v>
      </c>
      <c r="B299" s="257">
        <v>7</v>
      </c>
      <c r="C299" s="3"/>
      <c r="D299" s="272" t="s">
        <v>1851</v>
      </c>
      <c r="E299" s="13">
        <f>ROUND(SUM(E300:E309)/COUNT(E300:E309), 2)</f>
        <v>8.2899999999999991</v>
      </c>
      <c r="F299" s="3"/>
      <c r="G299" s="5" t="s">
        <v>1817</v>
      </c>
      <c r="H299" s="257">
        <v>5.5</v>
      </c>
      <c r="I299" s="3"/>
      <c r="J299" s="5" t="s">
        <v>1836</v>
      </c>
      <c r="K299" s="257">
        <v>9</v>
      </c>
      <c r="L299" s="3"/>
      <c r="M299" s="5" t="s">
        <v>1842</v>
      </c>
      <c r="N299" s="257">
        <v>7.5</v>
      </c>
      <c r="O299" s="3"/>
      <c r="V299"/>
      <c r="W299"/>
      <c r="X299"/>
      <c r="Y299"/>
      <c r="Z299"/>
    </row>
    <row r="300" spans="1:26" ht="16.05" customHeight="1">
      <c r="A300" s="5" t="s">
        <v>1747</v>
      </c>
      <c r="B300" s="257">
        <v>8.5</v>
      </c>
      <c r="C300" s="3"/>
      <c r="D300" s="12" t="s">
        <v>1852</v>
      </c>
      <c r="E300" s="256"/>
      <c r="F300" s="3"/>
      <c r="G300" s="5" t="s">
        <v>1818</v>
      </c>
      <c r="H300" s="257">
        <v>4</v>
      </c>
      <c r="I300" s="3"/>
      <c r="J300" s="5" t="s">
        <v>1837</v>
      </c>
      <c r="K300" s="257">
        <v>8.5</v>
      </c>
      <c r="L300" s="3"/>
      <c r="M300" s="5" t="s">
        <v>1843</v>
      </c>
      <c r="N300" s="257">
        <v>9</v>
      </c>
      <c r="O300" s="3"/>
      <c r="V300"/>
      <c r="W300"/>
      <c r="X300"/>
      <c r="Y300"/>
      <c r="Z300"/>
    </row>
    <row r="301" spans="1:26" ht="16.05" customHeight="1">
      <c r="A301" s="5" t="s">
        <v>1748</v>
      </c>
      <c r="B301" s="257">
        <v>8.5</v>
      </c>
      <c r="C301" s="3"/>
      <c r="D301" s="5" t="s">
        <v>1853</v>
      </c>
      <c r="E301" s="257">
        <v>8.5</v>
      </c>
      <c r="F301" s="3"/>
      <c r="G301" s="5" t="s">
        <v>1819</v>
      </c>
      <c r="H301" s="257">
        <v>3</v>
      </c>
      <c r="I301" s="3"/>
      <c r="J301" s="5" t="s">
        <v>1838</v>
      </c>
      <c r="K301" s="257">
        <v>8</v>
      </c>
      <c r="L301" s="3"/>
      <c r="M301" s="5" t="s">
        <v>1844</v>
      </c>
      <c r="N301" s="257">
        <v>8</v>
      </c>
      <c r="O301" s="3"/>
      <c r="V301"/>
      <c r="W301"/>
      <c r="X301"/>
      <c r="Y301"/>
      <c r="Z301"/>
    </row>
    <row r="302" spans="1:26" ht="16.05" customHeight="1" thickBot="1">
      <c r="A302" s="5" t="s">
        <v>1749</v>
      </c>
      <c r="B302" s="257">
        <v>7.5</v>
      </c>
      <c r="C302" s="3"/>
      <c r="D302" s="5" t="s">
        <v>1854</v>
      </c>
      <c r="E302" s="257">
        <v>9</v>
      </c>
      <c r="F302" s="3"/>
      <c r="G302" s="5" t="s">
        <v>1820</v>
      </c>
      <c r="H302" s="257">
        <v>3</v>
      </c>
      <c r="I302" s="3"/>
      <c r="J302" s="8" t="s">
        <v>1839</v>
      </c>
      <c r="K302" s="258">
        <v>10.5</v>
      </c>
      <c r="L302" s="3"/>
      <c r="M302" s="5" t="s">
        <v>1845</v>
      </c>
      <c r="N302" s="257">
        <v>8.5</v>
      </c>
      <c r="O302" s="3"/>
      <c r="V302"/>
      <c r="W302"/>
      <c r="X302"/>
      <c r="Y302"/>
      <c r="Z302"/>
    </row>
    <row r="303" spans="1:26" ht="16.05" customHeight="1" thickBot="1">
      <c r="A303" s="5" t="s">
        <v>1750</v>
      </c>
      <c r="B303" s="257">
        <v>8.5</v>
      </c>
      <c r="C303" s="3"/>
      <c r="D303" s="5" t="s">
        <v>1855</v>
      </c>
      <c r="E303" s="257"/>
      <c r="F303" s="3"/>
      <c r="G303" s="5" t="s">
        <v>1821</v>
      </c>
      <c r="H303" s="257">
        <v>3</v>
      </c>
      <c r="I303" s="3"/>
      <c r="J303" s="3"/>
      <c r="K303" s="3"/>
      <c r="L303" s="3"/>
      <c r="M303" s="5" t="s">
        <v>1846</v>
      </c>
      <c r="N303" s="257">
        <v>8</v>
      </c>
      <c r="O303" s="3"/>
      <c r="V303"/>
      <c r="W303"/>
      <c r="X303"/>
      <c r="Y303"/>
      <c r="Z303"/>
    </row>
    <row r="304" spans="1:26" ht="16.05" customHeight="1" thickBot="1">
      <c r="A304" s="5" t="s">
        <v>1751</v>
      </c>
      <c r="B304" s="257">
        <v>9</v>
      </c>
      <c r="C304" s="3"/>
      <c r="D304" s="5" t="s">
        <v>1856</v>
      </c>
      <c r="E304" s="257">
        <v>7.5</v>
      </c>
      <c r="F304" s="3"/>
      <c r="G304" s="5" t="s">
        <v>1822</v>
      </c>
      <c r="H304" s="257">
        <v>3.5</v>
      </c>
      <c r="I304" s="3"/>
      <c r="J304" s="273" t="s">
        <v>1875</v>
      </c>
      <c r="K304" s="13">
        <f>ROUND(SUM(K305:K316)/COUNT(K305:K316), 2)</f>
        <v>8.9600000000000009</v>
      </c>
      <c r="L304" s="3"/>
      <c r="M304" s="8" t="s">
        <v>1847</v>
      </c>
      <c r="N304" s="258">
        <v>9</v>
      </c>
      <c r="O304" s="3"/>
      <c r="V304"/>
      <c r="W304"/>
      <c r="X304"/>
      <c r="Y304"/>
      <c r="Z304"/>
    </row>
    <row r="305" spans="1:26" ht="16.05" customHeight="1" thickBot="1">
      <c r="A305" s="5" t="s">
        <v>1752</v>
      </c>
      <c r="B305" s="257">
        <v>8.5</v>
      </c>
      <c r="C305" s="3"/>
      <c r="D305" s="5" t="s">
        <v>1857</v>
      </c>
      <c r="E305" s="257">
        <v>8.5</v>
      </c>
      <c r="F305" s="3"/>
      <c r="G305" s="5" t="s">
        <v>1823</v>
      </c>
      <c r="H305" s="257">
        <v>3</v>
      </c>
      <c r="I305" s="3"/>
      <c r="J305" s="12" t="s">
        <v>1863</v>
      </c>
      <c r="K305" s="256">
        <v>8.5</v>
      </c>
      <c r="L305" s="3"/>
      <c r="M305" s="3"/>
      <c r="N305" s="3"/>
      <c r="O305" s="3"/>
      <c r="V305"/>
      <c r="W305"/>
      <c r="X305"/>
      <c r="Y305"/>
      <c r="Z305"/>
    </row>
    <row r="306" spans="1:26" ht="16.05" customHeight="1" thickBot="1">
      <c r="A306" s="5" t="s">
        <v>1753</v>
      </c>
      <c r="B306" s="257">
        <v>9</v>
      </c>
      <c r="C306" s="3"/>
      <c r="D306" s="5" t="s">
        <v>1858</v>
      </c>
      <c r="E306" s="257">
        <v>8</v>
      </c>
      <c r="F306" s="3"/>
      <c r="G306" s="5" t="s">
        <v>1824</v>
      </c>
      <c r="H306" s="257">
        <v>2</v>
      </c>
      <c r="I306" s="3"/>
      <c r="J306" s="5" t="s">
        <v>1864</v>
      </c>
      <c r="K306" s="257">
        <v>10</v>
      </c>
      <c r="L306" s="3"/>
      <c r="M306" s="275" t="s">
        <v>1881</v>
      </c>
      <c r="N306" s="13">
        <f>ROUND(SUM(N307:N316)/COUNT(N307:N316), 2)</f>
        <v>8.6</v>
      </c>
      <c r="O306" s="3"/>
      <c r="V306"/>
      <c r="W306"/>
      <c r="X306"/>
      <c r="Y306"/>
      <c r="Z306"/>
    </row>
    <row r="307" spans="1:26" ht="16.05" customHeight="1" thickBot="1">
      <c r="A307" s="8" t="s">
        <v>1754</v>
      </c>
      <c r="B307" s="258">
        <v>8.5</v>
      </c>
      <c r="C307" s="3"/>
      <c r="D307" s="5" t="s">
        <v>1859</v>
      </c>
      <c r="E307" s="257">
        <v>8</v>
      </c>
      <c r="F307" s="3"/>
      <c r="G307" s="8" t="s">
        <v>1825</v>
      </c>
      <c r="H307" s="258">
        <v>2</v>
      </c>
      <c r="I307" s="3"/>
      <c r="J307" s="5" t="s">
        <v>1865</v>
      </c>
      <c r="K307" s="257">
        <v>9</v>
      </c>
      <c r="L307" s="3"/>
      <c r="M307" s="12" t="s">
        <v>1882</v>
      </c>
      <c r="N307" s="256">
        <v>8</v>
      </c>
      <c r="O307" s="3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1860</v>
      </c>
      <c r="E308" s="258">
        <v>8.5</v>
      </c>
      <c r="F308" s="3"/>
      <c r="G308" s="3"/>
      <c r="H308" s="3"/>
      <c r="I308" s="3"/>
      <c r="J308" s="5" t="s">
        <v>1866</v>
      </c>
      <c r="K308" s="257">
        <v>9</v>
      </c>
      <c r="L308" s="3"/>
      <c r="M308" s="5" t="s">
        <v>1883</v>
      </c>
      <c r="N308" s="257">
        <v>9</v>
      </c>
      <c r="O308" s="3"/>
      <c r="V308"/>
      <c r="W308"/>
      <c r="X308"/>
      <c r="Y308"/>
      <c r="Z308"/>
    </row>
    <row r="309" spans="1:26" ht="16.05" customHeight="1" thickBot="1">
      <c r="A309" s="278" t="s">
        <v>1899</v>
      </c>
      <c r="B309" s="13">
        <f>ROUND(SUM(B310:B320)/COUNT(B310:B320), 2)</f>
        <v>8.18</v>
      </c>
      <c r="C309" s="3"/>
      <c r="D309" s="3"/>
      <c r="E309" s="3"/>
      <c r="F309" s="3"/>
      <c r="G309" s="279" t="s">
        <v>1929</v>
      </c>
      <c r="H309" s="13">
        <f>ROUND(SUM(H310:H327)/COUNT(H310:H327), 2)</f>
        <v>7.31</v>
      </c>
      <c r="I309" s="3"/>
      <c r="J309" s="5" t="s">
        <v>1867</v>
      </c>
      <c r="K309" s="257">
        <v>9</v>
      </c>
      <c r="L309" s="3"/>
      <c r="M309" s="5" t="s">
        <v>1884</v>
      </c>
      <c r="N309" s="257">
        <v>9</v>
      </c>
      <c r="O309" s="3"/>
      <c r="V309"/>
      <c r="W309"/>
      <c r="X309"/>
      <c r="Y309"/>
      <c r="Z309"/>
    </row>
    <row r="310" spans="1:26" ht="16.05" customHeight="1" thickBot="1">
      <c r="A310" s="12" t="s">
        <v>1900</v>
      </c>
      <c r="B310" s="256">
        <v>7.5</v>
      </c>
      <c r="C310" s="3"/>
      <c r="D310" s="283" t="s">
        <v>2030</v>
      </c>
      <c r="E310" s="13">
        <f>ROUND(SUM(E311:E318)/COUNT(E311:E318), 2)</f>
        <v>8.5</v>
      </c>
      <c r="F310" s="3"/>
      <c r="G310" s="12" t="s">
        <v>1911</v>
      </c>
      <c r="H310" s="256">
        <v>8.5</v>
      </c>
      <c r="I310" s="3"/>
      <c r="J310" s="5" t="s">
        <v>1868</v>
      </c>
      <c r="K310" s="257">
        <v>10</v>
      </c>
      <c r="L310" s="3"/>
      <c r="M310" s="5" t="s">
        <v>1885</v>
      </c>
      <c r="N310" s="257">
        <v>10</v>
      </c>
      <c r="O310" s="3"/>
      <c r="V310"/>
      <c r="W310"/>
      <c r="X310"/>
      <c r="Y310"/>
      <c r="Z310"/>
    </row>
    <row r="311" spans="1:26" ht="16.05" customHeight="1">
      <c r="A311" s="5" t="s">
        <v>1901</v>
      </c>
      <c r="B311" s="257">
        <v>8.5</v>
      </c>
      <c r="C311" s="3"/>
      <c r="D311" s="12" t="s">
        <v>2031</v>
      </c>
      <c r="E311" s="256">
        <v>8.5</v>
      </c>
      <c r="F311" s="3"/>
      <c r="G311" s="5" t="s">
        <v>1912</v>
      </c>
      <c r="H311" s="257">
        <v>7.5</v>
      </c>
      <c r="I311" s="3"/>
      <c r="J311" s="5" t="s">
        <v>1869</v>
      </c>
      <c r="K311" s="257">
        <v>8</v>
      </c>
      <c r="L311" s="3"/>
      <c r="M311" s="5" t="s">
        <v>1886</v>
      </c>
      <c r="N311" s="257">
        <v>8.5</v>
      </c>
      <c r="O311" s="3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2032</v>
      </c>
      <c r="E312" s="257">
        <v>8.5</v>
      </c>
      <c r="F312" s="3"/>
      <c r="G312" s="5" t="s">
        <v>1913</v>
      </c>
      <c r="H312" s="257">
        <v>8.5</v>
      </c>
      <c r="I312" s="3"/>
      <c r="J312" s="5" t="s">
        <v>1870</v>
      </c>
      <c r="K312" s="257">
        <v>8.5</v>
      </c>
      <c r="L312" s="3"/>
      <c r="M312" s="5" t="s">
        <v>1887</v>
      </c>
      <c r="N312" s="257">
        <v>8.5</v>
      </c>
      <c r="O312" s="3"/>
      <c r="V312"/>
      <c r="W312"/>
      <c r="X312"/>
      <c r="Y312"/>
      <c r="Z312"/>
    </row>
    <row r="313" spans="1:26" ht="16.05" customHeight="1">
      <c r="A313" s="5" t="s">
        <v>1902</v>
      </c>
      <c r="B313" s="257">
        <v>8</v>
      </c>
      <c r="C313" s="3"/>
      <c r="D313" s="5" t="s">
        <v>2033</v>
      </c>
      <c r="E313" s="257">
        <v>9</v>
      </c>
      <c r="F313" s="3"/>
      <c r="G313" s="5" t="s">
        <v>1914</v>
      </c>
      <c r="H313" s="257">
        <v>8.5</v>
      </c>
      <c r="I313" s="3"/>
      <c r="J313" s="5" t="s">
        <v>1871</v>
      </c>
      <c r="K313" s="257">
        <v>8.5</v>
      </c>
      <c r="L313" s="3"/>
      <c r="M313" s="5" t="s">
        <v>1888</v>
      </c>
      <c r="N313" s="257">
        <v>8</v>
      </c>
      <c r="O313" s="3"/>
      <c r="V313"/>
      <c r="W313"/>
      <c r="X313"/>
      <c r="Y313"/>
      <c r="Z313"/>
    </row>
    <row r="314" spans="1:26" ht="16.05" customHeight="1">
      <c r="A314" s="5" t="s">
        <v>1903</v>
      </c>
      <c r="B314" s="257">
        <v>9.5</v>
      </c>
      <c r="C314" s="3"/>
      <c r="D314" s="5" t="s">
        <v>2034</v>
      </c>
      <c r="E314" s="257">
        <v>9</v>
      </c>
      <c r="F314" s="3"/>
      <c r="G314" s="5" t="s">
        <v>1915</v>
      </c>
      <c r="H314" s="257">
        <v>7.5</v>
      </c>
      <c r="I314" s="3"/>
      <c r="J314" s="5" t="s">
        <v>1872</v>
      </c>
      <c r="K314" s="257">
        <v>9</v>
      </c>
      <c r="L314" s="3"/>
      <c r="M314" s="5" t="s">
        <v>1889</v>
      </c>
      <c r="N314" s="257">
        <v>8.5</v>
      </c>
      <c r="O314" s="3"/>
      <c r="V314"/>
      <c r="W314"/>
      <c r="X314"/>
      <c r="Y314"/>
      <c r="Z314"/>
    </row>
    <row r="315" spans="1:26" ht="16.05" customHeight="1">
      <c r="A315" s="5" t="s">
        <v>1904</v>
      </c>
      <c r="B315" s="257">
        <v>7</v>
      </c>
      <c r="C315" s="3"/>
      <c r="D315" s="5" t="s">
        <v>2035</v>
      </c>
      <c r="E315" s="257">
        <v>8</v>
      </c>
      <c r="F315" s="3"/>
      <c r="G315" s="5" t="s">
        <v>1916</v>
      </c>
      <c r="H315" s="257">
        <v>7</v>
      </c>
      <c r="I315" s="3"/>
      <c r="J315" s="5" t="s">
        <v>1873</v>
      </c>
      <c r="K315" s="257">
        <v>9.5</v>
      </c>
      <c r="L315" s="3"/>
      <c r="M315" s="5" t="s">
        <v>1890</v>
      </c>
      <c r="N315" s="257">
        <v>7.5</v>
      </c>
      <c r="O315" s="3"/>
      <c r="V315"/>
      <c r="W315"/>
      <c r="X315"/>
      <c r="Y315"/>
      <c r="Z315"/>
    </row>
    <row r="316" spans="1:26" ht="16.05" customHeight="1" thickBot="1">
      <c r="A316" s="5" t="s">
        <v>1905</v>
      </c>
      <c r="B316" s="257">
        <v>10</v>
      </c>
      <c r="C316" s="3"/>
      <c r="D316" s="5" t="s">
        <v>2036</v>
      </c>
      <c r="E316" s="257">
        <v>8</v>
      </c>
      <c r="F316" s="3"/>
      <c r="G316" s="5" t="s">
        <v>1917</v>
      </c>
      <c r="H316" s="257">
        <v>7</v>
      </c>
      <c r="I316" s="3"/>
      <c r="J316" s="8" t="s">
        <v>1874</v>
      </c>
      <c r="K316" s="258">
        <v>8.5</v>
      </c>
      <c r="L316" s="3"/>
      <c r="M316" s="8" t="s">
        <v>1891</v>
      </c>
      <c r="N316" s="258">
        <v>9</v>
      </c>
      <c r="O316" s="3"/>
      <c r="V316"/>
      <c r="W316"/>
      <c r="X316"/>
      <c r="Y316"/>
      <c r="Z316"/>
    </row>
    <row r="317" spans="1:26" ht="16.05" customHeight="1" thickBot="1">
      <c r="A317" s="5" t="s">
        <v>1906</v>
      </c>
      <c r="B317" s="257">
        <v>8.5</v>
      </c>
      <c r="C317" s="3"/>
      <c r="D317" s="5" t="s">
        <v>2037</v>
      </c>
      <c r="E317" s="257">
        <v>8.5</v>
      </c>
      <c r="F317" s="3"/>
      <c r="G317" s="5" t="s">
        <v>1918</v>
      </c>
      <c r="H317" s="257">
        <v>7.5</v>
      </c>
      <c r="I317" s="3"/>
      <c r="J317" s="3"/>
      <c r="K317" s="3"/>
      <c r="L317" s="3"/>
      <c r="M317" s="3"/>
      <c r="N317" s="3"/>
      <c r="O317" s="3"/>
      <c r="V317"/>
      <c r="W317"/>
      <c r="X317"/>
      <c r="Y317"/>
      <c r="Z317"/>
    </row>
    <row r="318" spans="1:26" ht="16.05" customHeight="1" thickBot="1">
      <c r="A318" s="5" t="s">
        <v>1907</v>
      </c>
      <c r="B318" s="257">
        <v>7.5</v>
      </c>
      <c r="C318" s="3"/>
      <c r="D318" s="8" t="s">
        <v>2038</v>
      </c>
      <c r="E318" s="258">
        <v>8.5</v>
      </c>
      <c r="F318" s="3"/>
      <c r="G318" s="5" t="s">
        <v>1919</v>
      </c>
      <c r="H318" s="257">
        <v>7</v>
      </c>
      <c r="I318" s="3"/>
      <c r="J318" s="287" t="s">
        <v>2054</v>
      </c>
      <c r="K318" s="13">
        <f>ROUND(SUM(K319:K326)/COUNT(K319:K326), 2)</f>
        <v>8.43</v>
      </c>
      <c r="L318" s="3"/>
      <c r="M318" s="288" t="s">
        <v>2066</v>
      </c>
      <c r="N318" s="13">
        <f>ROUND(SUM(N319:N326)/COUNT(N319:N326), 2)</f>
        <v>9.31</v>
      </c>
      <c r="O318" s="3"/>
      <c r="V318"/>
      <c r="W318"/>
      <c r="X318"/>
      <c r="Y318"/>
      <c r="Z318"/>
    </row>
    <row r="319" spans="1:26" ht="16.05" customHeight="1" thickBot="1">
      <c r="A319" s="5" t="s">
        <v>1908</v>
      </c>
      <c r="B319" s="257">
        <v>7.5</v>
      </c>
      <c r="C319" s="3"/>
      <c r="D319" s="3"/>
      <c r="E319" s="3"/>
      <c r="F319" s="3"/>
      <c r="G319" s="5" t="s">
        <v>1920</v>
      </c>
      <c r="H319" s="257">
        <v>7</v>
      </c>
      <c r="I319" s="3"/>
      <c r="J319" s="12" t="s">
        <v>2055</v>
      </c>
      <c r="K319" s="256"/>
      <c r="L319" s="3"/>
      <c r="M319" s="12" t="s">
        <v>2067</v>
      </c>
      <c r="N319" s="256">
        <v>10</v>
      </c>
      <c r="O319" s="3"/>
      <c r="V319"/>
      <c r="W319"/>
      <c r="X319"/>
      <c r="Y319"/>
      <c r="Z319"/>
    </row>
    <row r="320" spans="1:26" ht="16.05" customHeight="1" thickBot="1">
      <c r="A320" s="8" t="s">
        <v>1909</v>
      </c>
      <c r="B320" s="258">
        <v>8</v>
      </c>
      <c r="C320" s="3"/>
      <c r="D320" s="285" t="s">
        <v>2041</v>
      </c>
      <c r="E320" s="13">
        <f>ROUND(SUM(E321:E326)/COUNT(E321:E326), 2)</f>
        <v>8.67</v>
      </c>
      <c r="F320" s="3"/>
      <c r="G320" s="5" t="s">
        <v>1921</v>
      </c>
      <c r="H320" s="257">
        <v>7.5</v>
      </c>
      <c r="I320" s="3"/>
      <c r="J320" s="5" t="s">
        <v>2056</v>
      </c>
      <c r="K320" s="257">
        <v>8.5</v>
      </c>
      <c r="L320" s="3"/>
      <c r="M320" s="5" t="s">
        <v>2068</v>
      </c>
      <c r="N320" s="257">
        <v>10.5</v>
      </c>
      <c r="O320" s="3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2042</v>
      </c>
      <c r="E321" s="256">
        <v>8.5</v>
      </c>
      <c r="F321" s="3"/>
      <c r="G321" s="5" t="s">
        <v>1922</v>
      </c>
      <c r="H321" s="257">
        <v>6</v>
      </c>
      <c r="I321" s="3"/>
      <c r="J321" s="5" t="s">
        <v>2057</v>
      </c>
      <c r="K321" s="257">
        <v>9</v>
      </c>
      <c r="L321" s="3"/>
      <c r="M321" s="5" t="s">
        <v>2069</v>
      </c>
      <c r="N321" s="257">
        <v>9.5</v>
      </c>
      <c r="O321" s="3"/>
      <c r="V321"/>
      <c r="W321"/>
      <c r="X321"/>
      <c r="Y321"/>
      <c r="Z321"/>
    </row>
    <row r="322" spans="1:26" ht="16.05" customHeight="1" thickBot="1">
      <c r="A322" s="290" t="s">
        <v>2078</v>
      </c>
      <c r="B322" s="13">
        <f>ROUND(SUM(B323:B341)/COUNT(B323:B341), 2)</f>
        <v>8.3800000000000008</v>
      </c>
      <c r="C322" s="3"/>
      <c r="D322" s="5" t="s">
        <v>2043</v>
      </c>
      <c r="E322" s="257">
        <v>9</v>
      </c>
      <c r="F322" s="3"/>
      <c r="G322" s="5" t="s">
        <v>1923</v>
      </c>
      <c r="H322" s="257">
        <v>7</v>
      </c>
      <c r="I322" s="3"/>
      <c r="J322" s="5" t="s">
        <v>2058</v>
      </c>
      <c r="K322" s="257">
        <v>8.5</v>
      </c>
      <c r="L322" s="3"/>
      <c r="M322" s="5" t="s">
        <v>2070</v>
      </c>
      <c r="N322" s="257">
        <v>10</v>
      </c>
      <c r="O322" s="3"/>
      <c r="V322"/>
      <c r="W322"/>
      <c r="X322"/>
      <c r="Y322"/>
      <c r="Z322"/>
    </row>
    <row r="323" spans="1:26" ht="16.05" customHeight="1">
      <c r="A323" s="12" t="s">
        <v>1433</v>
      </c>
      <c r="B323" s="256"/>
      <c r="C323" s="3"/>
      <c r="D323" s="5" t="s">
        <v>2044</v>
      </c>
      <c r="E323" s="257">
        <v>8.5</v>
      </c>
      <c r="F323" s="3"/>
      <c r="G323" s="5" t="s">
        <v>1924</v>
      </c>
      <c r="H323" s="257">
        <v>8</v>
      </c>
      <c r="I323" s="3"/>
      <c r="J323" s="5" t="s">
        <v>2059</v>
      </c>
      <c r="K323" s="257">
        <v>8.5</v>
      </c>
      <c r="L323" s="3"/>
      <c r="M323" s="5" t="s">
        <v>2071</v>
      </c>
      <c r="N323" s="257">
        <v>9</v>
      </c>
      <c r="O323" s="3"/>
      <c r="V323"/>
      <c r="W323"/>
      <c r="X323"/>
      <c r="Y323"/>
      <c r="Z323"/>
    </row>
    <row r="324" spans="1:26" ht="16.05" customHeight="1">
      <c r="A324" s="5" t="s">
        <v>2079</v>
      </c>
      <c r="B324" s="257">
        <v>8</v>
      </c>
      <c r="C324" s="3"/>
      <c r="D324" s="5" t="s">
        <v>2045</v>
      </c>
      <c r="E324" s="257">
        <v>7.5</v>
      </c>
      <c r="F324" s="3"/>
      <c r="G324" s="5" t="s">
        <v>1925</v>
      </c>
      <c r="H324" s="257">
        <v>7.5</v>
      </c>
      <c r="I324" s="3"/>
      <c r="J324" s="5" t="s">
        <v>2060</v>
      </c>
      <c r="K324" s="257">
        <v>7.5</v>
      </c>
      <c r="L324" s="3"/>
      <c r="M324" s="5" t="s">
        <v>2072</v>
      </c>
      <c r="N324" s="257">
        <v>8.5</v>
      </c>
      <c r="O324" s="3"/>
      <c r="V324"/>
      <c r="W324"/>
      <c r="X324"/>
      <c r="Y324"/>
      <c r="Z324"/>
    </row>
    <row r="325" spans="1:26" ht="16.05" customHeight="1">
      <c r="A325" s="5" t="s">
        <v>2080</v>
      </c>
      <c r="B325" s="257">
        <v>8</v>
      </c>
      <c r="C325" s="3"/>
      <c r="D325" s="5" t="s">
        <v>2046</v>
      </c>
      <c r="E325" s="257">
        <v>9</v>
      </c>
      <c r="F325" s="3"/>
      <c r="G325" s="5" t="s">
        <v>1926</v>
      </c>
      <c r="H325" s="257">
        <v>7</v>
      </c>
      <c r="I325" s="3"/>
      <c r="J325" s="5" t="s">
        <v>2061</v>
      </c>
      <c r="K325" s="257">
        <v>8</v>
      </c>
      <c r="L325" s="3"/>
      <c r="M325" s="5" t="s">
        <v>2073</v>
      </c>
      <c r="N325" s="257">
        <v>8.5</v>
      </c>
      <c r="O325" s="3"/>
      <c r="V325"/>
      <c r="W325"/>
      <c r="X325"/>
      <c r="Y325"/>
      <c r="Z325"/>
    </row>
    <row r="326" spans="1:26" ht="16.05" customHeight="1" thickBot="1">
      <c r="A326" s="5" t="s">
        <v>2081</v>
      </c>
      <c r="B326" s="257">
        <v>8.5</v>
      </c>
      <c r="C326" s="3"/>
      <c r="D326" s="8" t="s">
        <v>2047</v>
      </c>
      <c r="E326" s="258">
        <v>9.5</v>
      </c>
      <c r="F326" s="3"/>
      <c r="G326" s="5" t="s">
        <v>1927</v>
      </c>
      <c r="H326" s="257">
        <v>6</v>
      </c>
      <c r="I326" s="3"/>
      <c r="J326" s="8" t="s">
        <v>2062</v>
      </c>
      <c r="K326" s="258">
        <v>9</v>
      </c>
      <c r="L326" s="3"/>
      <c r="M326" s="8" t="s">
        <v>2074</v>
      </c>
      <c r="N326" s="258">
        <v>8.5</v>
      </c>
      <c r="O326" s="3"/>
      <c r="V326"/>
      <c r="W326"/>
      <c r="X326"/>
      <c r="Y326"/>
      <c r="Z326"/>
    </row>
    <row r="327" spans="1:26" ht="16.05" customHeight="1" thickBot="1">
      <c r="A327" s="5" t="s">
        <v>2082</v>
      </c>
      <c r="B327" s="257">
        <v>8</v>
      </c>
      <c r="C327" s="3"/>
      <c r="D327" s="3"/>
      <c r="E327" s="3"/>
      <c r="F327" s="3"/>
      <c r="G327" s="8" t="s">
        <v>1928</v>
      </c>
      <c r="H327" s="258">
        <v>6.5</v>
      </c>
      <c r="I327" s="3"/>
      <c r="J327" s="3"/>
      <c r="K327" s="3"/>
      <c r="L327" s="3"/>
      <c r="M327" s="3"/>
      <c r="N327" s="3"/>
      <c r="O327" s="3"/>
      <c r="V327"/>
      <c r="W327"/>
      <c r="X327"/>
      <c r="Y327"/>
      <c r="Z327"/>
    </row>
    <row r="328" spans="1:26" ht="16.05" customHeight="1" thickBot="1">
      <c r="A328" s="5" t="s">
        <v>2083</v>
      </c>
      <c r="B328" s="257">
        <v>9</v>
      </c>
      <c r="C328" s="3"/>
      <c r="D328" s="293" t="s">
        <v>2101</v>
      </c>
      <c r="E328" s="13">
        <f>ROUND(SUM(E329:E358)/COUNT(E329:E358), 2)</f>
        <v>8.7200000000000006</v>
      </c>
      <c r="F328" s="3"/>
      <c r="G328" s="3"/>
      <c r="H328" s="3"/>
      <c r="I328" s="3"/>
      <c r="J328" s="298" t="s">
        <v>2241</v>
      </c>
      <c r="K328" s="13">
        <f>ROUND(SUM(K329:K338)/COUNT(K329:K338), 2)</f>
        <v>8.6</v>
      </c>
      <c r="L328" s="3"/>
      <c r="M328" s="295" t="s">
        <v>2155</v>
      </c>
      <c r="N328" s="13">
        <f>ROUND(SUM(N329:N336)/COUNT(N329:N336), 2)</f>
        <v>8.81</v>
      </c>
      <c r="O328" s="3"/>
      <c r="V328"/>
      <c r="W328"/>
      <c r="X328"/>
      <c r="Y328"/>
      <c r="Z328"/>
    </row>
    <row r="329" spans="1:26" ht="16.05" customHeight="1" thickBot="1">
      <c r="A329" s="5" t="s">
        <v>2084</v>
      </c>
      <c r="B329" s="257">
        <v>8.5</v>
      </c>
      <c r="C329" s="3"/>
      <c r="D329" s="12" t="s">
        <v>2102</v>
      </c>
      <c r="E329" s="256">
        <v>8.5</v>
      </c>
      <c r="F329" s="3"/>
      <c r="G329" s="299" t="s">
        <v>2240</v>
      </c>
      <c r="H329" s="13">
        <f>ROUND(SUM(H330:H337)/COUNT(H330:H337), 2)</f>
        <v>8.75</v>
      </c>
      <c r="I329" s="3"/>
      <c r="J329" s="12" t="s">
        <v>2135</v>
      </c>
      <c r="K329" s="256">
        <v>10.5</v>
      </c>
      <c r="L329" s="3"/>
      <c r="M329" s="12" t="s">
        <v>111</v>
      </c>
      <c r="N329" s="256">
        <v>9</v>
      </c>
      <c r="O329" s="3"/>
      <c r="V329"/>
      <c r="W329"/>
      <c r="X329"/>
      <c r="Y329"/>
      <c r="Z329"/>
    </row>
    <row r="330" spans="1:26" ht="16.05" customHeight="1">
      <c r="A330" s="5" t="s">
        <v>2085</v>
      </c>
      <c r="B330" s="257"/>
      <c r="C330" s="3"/>
      <c r="D330" s="5" t="s">
        <v>2103</v>
      </c>
      <c r="E330" s="257">
        <v>10.5</v>
      </c>
      <c r="F330" s="3"/>
      <c r="G330" s="12" t="s">
        <v>2242</v>
      </c>
      <c r="H330" s="256">
        <v>9.5</v>
      </c>
      <c r="I330" s="3"/>
      <c r="J330" s="5" t="s">
        <v>2136</v>
      </c>
      <c r="K330" s="257">
        <v>8</v>
      </c>
      <c r="L330" s="3"/>
      <c r="M330" s="5" t="s">
        <v>2156</v>
      </c>
      <c r="N330" s="257">
        <v>8.5</v>
      </c>
      <c r="O330" s="3"/>
      <c r="V330"/>
      <c r="W330"/>
      <c r="X330"/>
      <c r="Y330"/>
      <c r="Z330"/>
    </row>
    <row r="331" spans="1:26" ht="16.05" customHeight="1">
      <c r="A331" s="5" t="s">
        <v>2086</v>
      </c>
      <c r="B331" s="257">
        <v>8.5</v>
      </c>
      <c r="C331" s="3"/>
      <c r="D331" s="5" t="s">
        <v>2104</v>
      </c>
      <c r="E331" s="257">
        <v>9.5</v>
      </c>
      <c r="F331" s="3"/>
      <c r="G331" s="5" t="s">
        <v>2243</v>
      </c>
      <c r="H331" s="257">
        <v>8.5</v>
      </c>
      <c r="I331" s="3"/>
      <c r="J331" s="5" t="s">
        <v>2137</v>
      </c>
      <c r="K331" s="257">
        <v>7.5</v>
      </c>
      <c r="L331" s="3"/>
      <c r="M331" s="5" t="s">
        <v>2157</v>
      </c>
      <c r="N331" s="257">
        <v>9.5</v>
      </c>
      <c r="O331" s="3"/>
      <c r="V331"/>
      <c r="W331"/>
      <c r="X331"/>
      <c r="Y331"/>
      <c r="Z331"/>
    </row>
    <row r="332" spans="1:26" ht="16.05" customHeight="1">
      <c r="A332" s="5" t="s">
        <v>2087</v>
      </c>
      <c r="B332" s="257">
        <v>10</v>
      </c>
      <c r="C332" s="3"/>
      <c r="D332" s="5" t="s">
        <v>2105</v>
      </c>
      <c r="E332" s="257">
        <v>9</v>
      </c>
      <c r="F332" s="3"/>
      <c r="G332" s="5" t="s">
        <v>2244</v>
      </c>
      <c r="H332" s="257">
        <v>8.5</v>
      </c>
      <c r="I332" s="3"/>
      <c r="J332" s="5" t="s">
        <v>2138</v>
      </c>
      <c r="K332" s="257">
        <v>9.5</v>
      </c>
      <c r="L332" s="3"/>
      <c r="M332" s="5" t="s">
        <v>2158</v>
      </c>
      <c r="N332" s="257">
        <v>10.5</v>
      </c>
      <c r="O332" s="3"/>
      <c r="V332"/>
      <c r="W332"/>
      <c r="X332"/>
      <c r="Y332"/>
      <c r="Z332"/>
    </row>
    <row r="333" spans="1:26" ht="16.05" customHeight="1">
      <c r="A333" s="5" t="s">
        <v>2088</v>
      </c>
      <c r="B333" s="257">
        <v>8.5</v>
      </c>
      <c r="C333" s="3"/>
      <c r="D333" s="5" t="s">
        <v>2106</v>
      </c>
      <c r="E333" s="257">
        <v>8.5</v>
      </c>
      <c r="F333" s="3"/>
      <c r="G333" s="5" t="s">
        <v>2245</v>
      </c>
      <c r="H333" s="257">
        <v>8</v>
      </c>
      <c r="I333" s="3"/>
      <c r="J333" s="5" t="s">
        <v>2139</v>
      </c>
      <c r="K333" s="257">
        <v>7.5</v>
      </c>
      <c r="L333" s="3"/>
      <c r="M333" s="5" t="s">
        <v>2159</v>
      </c>
      <c r="N333" s="257">
        <v>8.5</v>
      </c>
      <c r="O333" s="3"/>
      <c r="V333"/>
      <c r="W333"/>
      <c r="X333"/>
      <c r="Y333"/>
      <c r="Z333"/>
    </row>
    <row r="334" spans="1:26" ht="16.05" customHeight="1">
      <c r="A334" s="5" t="s">
        <v>2089</v>
      </c>
      <c r="B334" s="257">
        <v>7.5</v>
      </c>
      <c r="C334" s="3"/>
      <c r="D334" s="5" t="s">
        <v>2107</v>
      </c>
      <c r="E334" s="257">
        <v>9</v>
      </c>
      <c r="F334" s="3"/>
      <c r="G334" s="5" t="s">
        <v>2246</v>
      </c>
      <c r="H334" s="257">
        <v>9</v>
      </c>
      <c r="I334" s="3"/>
      <c r="J334" s="5" t="s">
        <v>2140</v>
      </c>
      <c r="K334" s="257">
        <v>8</v>
      </c>
      <c r="L334" s="3"/>
      <c r="M334" s="5" t="s">
        <v>2160</v>
      </c>
      <c r="N334" s="257">
        <v>8</v>
      </c>
      <c r="O334" s="3"/>
      <c r="V334"/>
      <c r="W334"/>
      <c r="X334"/>
      <c r="Y334"/>
      <c r="Z334"/>
    </row>
    <row r="335" spans="1:26" ht="16.05" customHeight="1">
      <c r="A335" s="5" t="s">
        <v>2090</v>
      </c>
      <c r="B335" s="257">
        <v>10</v>
      </c>
      <c r="C335" s="3"/>
      <c r="D335" s="5" t="s">
        <v>2108</v>
      </c>
      <c r="E335" s="257">
        <v>8.5</v>
      </c>
      <c r="F335" s="3"/>
      <c r="G335" s="5" t="s">
        <v>2247</v>
      </c>
      <c r="H335" s="257">
        <v>8.5</v>
      </c>
      <c r="I335" s="3"/>
      <c r="J335" s="5" t="s">
        <v>2141</v>
      </c>
      <c r="K335" s="257">
        <v>10</v>
      </c>
      <c r="L335" s="3"/>
      <c r="M335" s="5" t="s">
        <v>2161</v>
      </c>
      <c r="N335" s="257">
        <v>8.5</v>
      </c>
      <c r="O335" s="3"/>
      <c r="V335"/>
      <c r="W335"/>
      <c r="X335"/>
      <c r="Y335"/>
      <c r="Z335"/>
    </row>
    <row r="336" spans="1:26" ht="16.05" customHeight="1" thickBot="1">
      <c r="A336" s="5" t="s">
        <v>2091</v>
      </c>
      <c r="B336" s="257">
        <v>8</v>
      </c>
      <c r="C336" s="3"/>
      <c r="D336" s="5" t="s">
        <v>2109</v>
      </c>
      <c r="E336" s="257">
        <v>8.5</v>
      </c>
      <c r="F336" s="3"/>
      <c r="G336" s="5" t="s">
        <v>2248</v>
      </c>
      <c r="H336" s="257">
        <v>10</v>
      </c>
      <c r="I336" s="3"/>
      <c r="J336" s="5" t="s">
        <v>2142</v>
      </c>
      <c r="K336" s="257">
        <v>9</v>
      </c>
      <c r="L336" s="3"/>
      <c r="M336" s="8" t="s">
        <v>2162</v>
      </c>
      <c r="N336" s="258">
        <v>8</v>
      </c>
      <c r="O336" s="3"/>
      <c r="V336"/>
      <c r="W336"/>
      <c r="X336"/>
      <c r="Y336"/>
      <c r="Z336"/>
    </row>
    <row r="337" spans="1:26" ht="16.05" customHeight="1" thickBot="1">
      <c r="A337" s="5" t="s">
        <v>2092</v>
      </c>
      <c r="B337" s="257">
        <v>7</v>
      </c>
      <c r="C337" s="3"/>
      <c r="D337" s="5" t="s">
        <v>2110</v>
      </c>
      <c r="E337" s="257">
        <v>10</v>
      </c>
      <c r="F337" s="3"/>
      <c r="G337" s="8" t="s">
        <v>2249</v>
      </c>
      <c r="H337" s="258">
        <v>8</v>
      </c>
      <c r="I337" s="3"/>
      <c r="J337" s="5" t="s">
        <v>2143</v>
      </c>
      <c r="K337" s="257">
        <v>8</v>
      </c>
      <c r="L337" s="3"/>
      <c r="M337" s="3"/>
      <c r="N337" s="3"/>
      <c r="O337" s="3"/>
      <c r="V337"/>
      <c r="W337"/>
      <c r="X337"/>
      <c r="Y337"/>
      <c r="Z337"/>
    </row>
    <row r="338" spans="1:26" ht="16.05" customHeight="1" thickBot="1">
      <c r="A338" s="5" t="s">
        <v>2093</v>
      </c>
      <c r="B338" s="257">
        <v>8</v>
      </c>
      <c r="C338" s="3"/>
      <c r="D338" s="5" t="s">
        <v>2111</v>
      </c>
      <c r="E338" s="257">
        <v>8.5</v>
      </c>
      <c r="F338" s="3"/>
      <c r="G338" s="3"/>
      <c r="H338" s="3"/>
      <c r="I338" s="3"/>
      <c r="J338" s="8" t="s">
        <v>2144</v>
      </c>
      <c r="K338" s="258">
        <v>8</v>
      </c>
      <c r="L338" s="3"/>
      <c r="M338" s="300" t="s">
        <v>2253</v>
      </c>
      <c r="N338" s="13">
        <f>ROUND(SUM(N339:N353)/COUNT(N339:N353), 2)</f>
        <v>8.73</v>
      </c>
      <c r="O338" s="3"/>
      <c r="V338"/>
      <c r="W338"/>
      <c r="X338"/>
      <c r="Y338"/>
      <c r="Z338"/>
    </row>
    <row r="339" spans="1:26" ht="16.05" customHeight="1" thickBot="1">
      <c r="A339" s="5" t="s">
        <v>2094</v>
      </c>
      <c r="B339" s="257">
        <v>9</v>
      </c>
      <c r="C339" s="3"/>
      <c r="D339" s="5" t="s">
        <v>2112</v>
      </c>
      <c r="E339" s="257">
        <v>8.5</v>
      </c>
      <c r="F339" s="3"/>
      <c r="G339" s="301" t="s">
        <v>2273</v>
      </c>
      <c r="H339" s="13">
        <f>ROUND(SUM(H340:H351)/COUNT(H340:H351), 2)</f>
        <v>8.58</v>
      </c>
      <c r="I339" s="3"/>
      <c r="J339" s="3"/>
      <c r="K339" s="3"/>
      <c r="L339" s="3"/>
      <c r="M339" s="12" t="s">
        <v>2254</v>
      </c>
      <c r="N339" s="256">
        <v>8</v>
      </c>
      <c r="O339" s="3"/>
      <c r="V339"/>
      <c r="W339"/>
      <c r="X339"/>
      <c r="Y339"/>
      <c r="Z339"/>
    </row>
    <row r="340" spans="1:26" ht="16.05" customHeight="1" thickBot="1">
      <c r="A340" s="5" t="s">
        <v>2095</v>
      </c>
      <c r="B340" s="257">
        <v>8.5</v>
      </c>
      <c r="C340" s="3"/>
      <c r="D340" s="5" t="s">
        <v>2113</v>
      </c>
      <c r="E340" s="257">
        <v>7.5</v>
      </c>
      <c r="F340" s="3"/>
      <c r="G340" s="12" t="s">
        <v>2274</v>
      </c>
      <c r="H340" s="256">
        <v>8</v>
      </c>
      <c r="I340" s="3"/>
      <c r="J340" s="302" t="s">
        <v>2305</v>
      </c>
      <c r="K340" s="13">
        <f>ROUND(SUM(K341:K354)/COUNT(K341:K354), 2)</f>
        <v>8.5399999999999991</v>
      </c>
      <c r="L340" s="3"/>
      <c r="M340" s="5" t="s">
        <v>2255</v>
      </c>
      <c r="N340" s="257">
        <v>9</v>
      </c>
      <c r="O340" s="3"/>
      <c r="V340"/>
      <c r="W340"/>
      <c r="X340"/>
      <c r="Y340"/>
      <c r="Z340"/>
    </row>
    <row r="341" spans="1:26" ht="16.05" customHeight="1" thickBot="1">
      <c r="A341" s="8" t="s">
        <v>2096</v>
      </c>
      <c r="B341" s="258">
        <v>7.5</v>
      </c>
      <c r="C341" s="3"/>
      <c r="D341" s="5" t="s">
        <v>2114</v>
      </c>
      <c r="E341" s="257">
        <v>10.5</v>
      </c>
      <c r="F341" s="3"/>
      <c r="G341" s="5" t="s">
        <v>2275</v>
      </c>
      <c r="H341" s="257">
        <v>9</v>
      </c>
      <c r="I341" s="3"/>
      <c r="J341" s="12" t="s">
        <v>2291</v>
      </c>
      <c r="K341" s="256">
        <v>8.5</v>
      </c>
      <c r="L341" s="3"/>
      <c r="M341" s="5" t="s">
        <v>2256</v>
      </c>
      <c r="N341" s="257"/>
      <c r="O341" s="3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2115</v>
      </c>
      <c r="E342" s="257">
        <v>8</v>
      </c>
      <c r="F342" s="3"/>
      <c r="G342" s="5" t="s">
        <v>2276</v>
      </c>
      <c r="H342" s="257">
        <v>9.5</v>
      </c>
      <c r="I342" s="3"/>
      <c r="J342" s="5" t="s">
        <v>2292</v>
      </c>
      <c r="K342" s="257">
        <v>9</v>
      </c>
      <c r="L342" s="3"/>
      <c r="M342" s="5" t="s">
        <v>2257</v>
      </c>
      <c r="N342" s="257">
        <v>10</v>
      </c>
      <c r="O342" s="3"/>
      <c r="V342"/>
      <c r="W342"/>
      <c r="X342"/>
      <c r="Y342"/>
      <c r="Z342"/>
    </row>
    <row r="343" spans="1:26" ht="16.05" customHeight="1" thickBot="1">
      <c r="A343" s="304" t="s">
        <v>2312</v>
      </c>
      <c r="B343" s="13">
        <f>ROUND(SUM(B344:B358)/COUNT(B344:B358), 2)</f>
        <v>8.57</v>
      </c>
      <c r="C343" s="3"/>
      <c r="D343" s="5" t="s">
        <v>2116</v>
      </c>
      <c r="E343" s="257">
        <v>7.5</v>
      </c>
      <c r="F343" s="3"/>
      <c r="G343" s="5" t="s">
        <v>2277</v>
      </c>
      <c r="H343" s="257">
        <v>8.5</v>
      </c>
      <c r="I343" s="3"/>
      <c r="J343" s="5" t="s">
        <v>2293</v>
      </c>
      <c r="K343" s="257">
        <v>8</v>
      </c>
      <c r="L343" s="3"/>
      <c r="M343" s="5" t="s">
        <v>2258</v>
      </c>
      <c r="N343" s="257">
        <v>8</v>
      </c>
      <c r="O343" s="3"/>
      <c r="V343"/>
      <c r="W343"/>
      <c r="X343"/>
      <c r="Y343"/>
      <c r="Z343"/>
    </row>
    <row r="344" spans="1:26" ht="16.05" customHeight="1">
      <c r="A344" s="12" t="s">
        <v>2313</v>
      </c>
      <c r="B344" s="256">
        <v>9</v>
      </c>
      <c r="C344" s="3"/>
      <c r="D344" s="5" t="s">
        <v>2117</v>
      </c>
      <c r="E344" s="257">
        <v>10</v>
      </c>
      <c r="F344" s="3"/>
      <c r="G344" s="5" t="s">
        <v>2278</v>
      </c>
      <c r="H344" s="257">
        <v>9</v>
      </c>
      <c r="I344" s="3"/>
      <c r="J344" s="5" t="s">
        <v>2294</v>
      </c>
      <c r="K344" s="257">
        <v>8.5</v>
      </c>
      <c r="L344" s="3"/>
      <c r="M344" s="5" t="s">
        <v>2259</v>
      </c>
      <c r="N344" s="257">
        <v>8.5</v>
      </c>
      <c r="O344" s="3"/>
      <c r="V344"/>
      <c r="W344"/>
      <c r="X344"/>
      <c r="Y344"/>
      <c r="Z344"/>
    </row>
    <row r="345" spans="1:26" ht="16.05" customHeight="1">
      <c r="A345" s="5" t="s">
        <v>2314</v>
      </c>
      <c r="B345" s="257">
        <v>8</v>
      </c>
      <c r="C345" s="3"/>
      <c r="D345" s="5" t="s">
        <v>2118</v>
      </c>
      <c r="E345" s="257">
        <v>9.5</v>
      </c>
      <c r="F345" s="3"/>
      <c r="G345" s="5" t="s">
        <v>2279</v>
      </c>
      <c r="H345" s="257">
        <v>10</v>
      </c>
      <c r="I345" s="3"/>
      <c r="J345" s="5" t="s">
        <v>2295</v>
      </c>
      <c r="K345" s="257">
        <v>9</v>
      </c>
      <c r="L345" s="3"/>
      <c r="M345" s="5" t="s">
        <v>2260</v>
      </c>
      <c r="N345" s="257">
        <v>8.5</v>
      </c>
      <c r="O345" s="3"/>
      <c r="V345"/>
      <c r="W345"/>
      <c r="X345"/>
      <c r="Y345"/>
      <c r="Z345"/>
    </row>
    <row r="346" spans="1:26" ht="16.05" customHeight="1">
      <c r="A346" s="5" t="s">
        <v>2315</v>
      </c>
      <c r="B346" s="257">
        <v>10</v>
      </c>
      <c r="C346" s="3"/>
      <c r="D346" s="5" t="s">
        <v>2119</v>
      </c>
      <c r="E346" s="257">
        <v>10</v>
      </c>
      <c r="F346" s="3"/>
      <c r="G346" s="5" t="s">
        <v>2280</v>
      </c>
      <c r="H346" s="257">
        <v>8.5</v>
      </c>
      <c r="I346" s="3"/>
      <c r="J346" s="5" t="s">
        <v>2296</v>
      </c>
      <c r="K346" s="257">
        <v>8</v>
      </c>
      <c r="L346" s="3"/>
      <c r="M346" s="5" t="s">
        <v>2261</v>
      </c>
      <c r="N346" s="257">
        <v>9</v>
      </c>
      <c r="O346" s="3"/>
      <c r="V346"/>
      <c r="W346"/>
      <c r="X346"/>
      <c r="Y346"/>
      <c r="Z346"/>
    </row>
    <row r="347" spans="1:26" ht="16.05" customHeight="1">
      <c r="A347" s="5" t="s">
        <v>2316</v>
      </c>
      <c r="B347" s="257">
        <v>9</v>
      </c>
      <c r="C347" s="3"/>
      <c r="D347" s="5" t="s">
        <v>2120</v>
      </c>
      <c r="E347" s="257">
        <v>8</v>
      </c>
      <c r="F347" s="3"/>
      <c r="G347" s="5" t="s">
        <v>2281</v>
      </c>
      <c r="H347" s="257">
        <v>8.5</v>
      </c>
      <c r="I347" s="3"/>
      <c r="J347" s="5" t="s">
        <v>2297</v>
      </c>
      <c r="K347" s="257">
        <v>8</v>
      </c>
      <c r="L347" s="3"/>
      <c r="M347" s="5" t="s">
        <v>2262</v>
      </c>
      <c r="N347" s="257">
        <v>8.5</v>
      </c>
      <c r="O347" s="3"/>
      <c r="V347"/>
      <c r="W347"/>
      <c r="X347"/>
      <c r="Y347"/>
      <c r="Z347"/>
    </row>
    <row r="348" spans="1:26" ht="16.05" customHeight="1">
      <c r="A348" s="5" t="s">
        <v>2317</v>
      </c>
      <c r="B348" s="257">
        <v>9</v>
      </c>
      <c r="C348" s="3"/>
      <c r="D348" s="5" t="s">
        <v>2121</v>
      </c>
      <c r="E348" s="257">
        <v>8.5</v>
      </c>
      <c r="F348" s="3"/>
      <c r="G348" s="5" t="s">
        <v>2282</v>
      </c>
      <c r="H348" s="257">
        <v>8</v>
      </c>
      <c r="I348" s="3"/>
      <c r="J348" s="5" t="s">
        <v>2298</v>
      </c>
      <c r="K348" s="257">
        <v>7.5</v>
      </c>
      <c r="L348" s="3"/>
      <c r="M348" s="5" t="s">
        <v>2263</v>
      </c>
      <c r="N348" s="257">
        <v>8</v>
      </c>
      <c r="O348" s="3"/>
      <c r="V348"/>
      <c r="W348"/>
      <c r="X348"/>
      <c r="Y348"/>
      <c r="Z348"/>
    </row>
    <row r="349" spans="1:26" ht="16.05" customHeight="1">
      <c r="A349" s="5" t="s">
        <v>2318</v>
      </c>
      <c r="B349" s="257">
        <v>8.5</v>
      </c>
      <c r="C349" s="3"/>
      <c r="D349" s="5" t="s">
        <v>2122</v>
      </c>
      <c r="E349" s="257">
        <v>8</v>
      </c>
      <c r="F349" s="3"/>
      <c r="G349" s="5" t="s">
        <v>2283</v>
      </c>
      <c r="H349" s="257">
        <v>8</v>
      </c>
      <c r="I349" s="3"/>
      <c r="J349" s="5" t="s">
        <v>2299</v>
      </c>
      <c r="K349" s="257">
        <v>9.5</v>
      </c>
      <c r="L349" s="3"/>
      <c r="M349" s="5" t="s">
        <v>2264</v>
      </c>
      <c r="N349" s="257"/>
      <c r="O349" s="3"/>
      <c r="V349"/>
      <c r="W349"/>
      <c r="X349"/>
      <c r="Y349"/>
      <c r="Z349"/>
    </row>
    <row r="350" spans="1:26" ht="16.05" customHeight="1">
      <c r="A350" s="5" t="s">
        <v>2319</v>
      </c>
      <c r="B350" s="257">
        <v>9</v>
      </c>
      <c r="C350" s="3"/>
      <c r="D350" s="5" t="s">
        <v>2123</v>
      </c>
      <c r="E350" s="257">
        <v>7.5</v>
      </c>
      <c r="F350" s="3"/>
      <c r="G350" s="5" t="s">
        <v>2284</v>
      </c>
      <c r="H350" s="257">
        <v>8.5</v>
      </c>
      <c r="I350" s="3"/>
      <c r="J350" s="5" t="s">
        <v>2300</v>
      </c>
      <c r="K350" s="257">
        <v>8</v>
      </c>
      <c r="L350" s="3"/>
      <c r="M350" s="5" t="s">
        <v>2265</v>
      </c>
      <c r="N350" s="257">
        <v>9</v>
      </c>
      <c r="O350" s="3"/>
      <c r="V350"/>
      <c r="W350"/>
      <c r="X350"/>
      <c r="Y350"/>
      <c r="Z350"/>
    </row>
    <row r="351" spans="1:26" ht="16.05" customHeight="1" thickBot="1">
      <c r="A351" s="5" t="s">
        <v>2320</v>
      </c>
      <c r="B351" s="257">
        <v>8.5</v>
      </c>
      <c r="C351" s="3"/>
      <c r="D351" s="5" t="s">
        <v>2124</v>
      </c>
      <c r="E351" s="257">
        <v>9</v>
      </c>
      <c r="F351" s="3"/>
      <c r="G351" s="8" t="s">
        <v>2285</v>
      </c>
      <c r="H351" s="258">
        <v>7.5</v>
      </c>
      <c r="I351" s="3"/>
      <c r="J351" s="5" t="s">
        <v>2301</v>
      </c>
      <c r="K351" s="257">
        <v>10</v>
      </c>
      <c r="L351" s="3"/>
      <c r="M351" s="5" t="s">
        <v>2266</v>
      </c>
      <c r="N351" s="257">
        <v>10</v>
      </c>
      <c r="O351" s="3"/>
      <c r="V351"/>
      <c r="W351"/>
      <c r="X351"/>
      <c r="Y351"/>
      <c r="Z351"/>
    </row>
    <row r="352" spans="1:26" ht="16.05" customHeight="1" thickBot="1">
      <c r="A352" s="5" t="s">
        <v>2321</v>
      </c>
      <c r="B352" s="257">
        <v>8</v>
      </c>
      <c r="C352" s="3"/>
      <c r="D352" s="5" t="s">
        <v>2125</v>
      </c>
      <c r="E352" s="257">
        <v>8</v>
      </c>
      <c r="F352" s="3"/>
      <c r="G352" s="3"/>
      <c r="H352" s="3"/>
      <c r="I352" s="3"/>
      <c r="J352" s="5" t="s">
        <v>2302</v>
      </c>
      <c r="K352" s="257">
        <v>8</v>
      </c>
      <c r="L352" s="3"/>
      <c r="M352" s="5" t="s">
        <v>2267</v>
      </c>
      <c r="N352" s="257">
        <v>8</v>
      </c>
      <c r="O352" s="3"/>
      <c r="V352"/>
      <c r="W352"/>
      <c r="X352"/>
      <c r="Y352"/>
      <c r="Z352"/>
    </row>
    <row r="353" spans="1:26" ht="16.05" customHeight="1" thickBot="1">
      <c r="A353" s="5" t="s">
        <v>2322</v>
      </c>
      <c r="B353" s="257">
        <v>8</v>
      </c>
      <c r="C353" s="3"/>
      <c r="D353" s="5" t="s">
        <v>2126</v>
      </c>
      <c r="E353" s="257"/>
      <c r="F353" s="3"/>
      <c r="G353" s="309" t="s">
        <v>2335</v>
      </c>
      <c r="H353" s="13">
        <f>ROUND(SUM(H354:H363)/COUNT(H354:H363), 2)</f>
        <v>8.6999999999999993</v>
      </c>
      <c r="I353" s="3"/>
      <c r="J353" s="5" t="s">
        <v>2303</v>
      </c>
      <c r="K353" s="257">
        <v>7.5</v>
      </c>
      <c r="L353" s="3"/>
      <c r="M353" s="8" t="s">
        <v>2268</v>
      </c>
      <c r="N353" s="258">
        <v>9</v>
      </c>
      <c r="O353" s="3"/>
      <c r="V353"/>
      <c r="W353"/>
      <c r="X353"/>
      <c r="Y353"/>
      <c r="Z353"/>
    </row>
    <row r="354" spans="1:26" ht="16.05" customHeight="1" thickBot="1">
      <c r="A354" s="5" t="s">
        <v>2323</v>
      </c>
      <c r="B354" s="257">
        <v>7.5</v>
      </c>
      <c r="C354" s="3"/>
      <c r="D354" s="5" t="s">
        <v>2127</v>
      </c>
      <c r="E354" s="257">
        <v>8</v>
      </c>
      <c r="F354" s="3"/>
      <c r="G354" s="12" t="s">
        <v>2336</v>
      </c>
      <c r="H354" s="256">
        <v>9</v>
      </c>
      <c r="I354" s="3"/>
      <c r="J354" s="8" t="s">
        <v>2304</v>
      </c>
      <c r="K354" s="258">
        <v>10</v>
      </c>
      <c r="L354" s="3"/>
      <c r="M354" s="3"/>
      <c r="N354" s="3"/>
      <c r="O354" s="3"/>
      <c r="V354"/>
      <c r="W354"/>
      <c r="X354"/>
      <c r="Y354"/>
      <c r="Z354"/>
    </row>
    <row r="355" spans="1:26" ht="16.05" customHeight="1" thickBot="1">
      <c r="A355" s="5" t="s">
        <v>2324</v>
      </c>
      <c r="B355" s="257">
        <v>8.5</v>
      </c>
      <c r="C355" s="3"/>
      <c r="D355" s="5" t="s">
        <v>2128</v>
      </c>
      <c r="E355" s="257">
        <v>8.5</v>
      </c>
      <c r="F355" s="3"/>
      <c r="G355" s="5" t="s">
        <v>2337</v>
      </c>
      <c r="H355" s="257">
        <v>10</v>
      </c>
      <c r="I355" s="3"/>
      <c r="J355" s="3"/>
      <c r="K355" s="3"/>
      <c r="L355" s="3"/>
      <c r="M355" s="310" t="s">
        <v>2361</v>
      </c>
      <c r="N355" s="13">
        <f>ROUND(SUM(N356:N365)/COUNT(N356:N365), 2)</f>
        <v>8</v>
      </c>
      <c r="O355" s="3"/>
      <c r="V355"/>
      <c r="W355"/>
      <c r="X355"/>
      <c r="Y355"/>
      <c r="Z355"/>
    </row>
    <row r="356" spans="1:26" ht="16.05" customHeight="1" thickBot="1">
      <c r="A356" s="5" t="s">
        <v>2325</v>
      </c>
      <c r="B356" s="257">
        <v>8</v>
      </c>
      <c r="C356" s="3"/>
      <c r="D356" s="5" t="s">
        <v>2129</v>
      </c>
      <c r="E356" s="257">
        <v>8</v>
      </c>
      <c r="F356" s="3"/>
      <c r="G356" s="5" t="s">
        <v>2338</v>
      </c>
      <c r="H356" s="257">
        <v>8</v>
      </c>
      <c r="I356" s="3"/>
      <c r="J356" s="311" t="s">
        <v>2364</v>
      </c>
      <c r="K356" s="13">
        <f>ROUND(SUM(K357:K363)/COUNT(K357:K363), 2)</f>
        <v>8.5</v>
      </c>
      <c r="L356" s="3"/>
      <c r="M356" s="12" t="s">
        <v>2351</v>
      </c>
      <c r="N356" s="256">
        <v>9</v>
      </c>
      <c r="O356" s="3"/>
      <c r="V356"/>
      <c r="W356"/>
      <c r="X356"/>
      <c r="Y356"/>
      <c r="Z356"/>
    </row>
    <row r="357" spans="1:26" ht="16.05" customHeight="1">
      <c r="A357" s="5" t="s">
        <v>2326</v>
      </c>
      <c r="B357" s="257">
        <v>9</v>
      </c>
      <c r="C357" s="3"/>
      <c r="D357" s="5" t="s">
        <v>2130</v>
      </c>
      <c r="E357" s="257">
        <v>8.5</v>
      </c>
      <c r="F357" s="3"/>
      <c r="G357" s="5" t="s">
        <v>2339</v>
      </c>
      <c r="H357" s="257">
        <v>9</v>
      </c>
      <c r="I357" s="3"/>
      <c r="J357" s="12" t="s">
        <v>2365</v>
      </c>
      <c r="K357" s="256">
        <v>8</v>
      </c>
      <c r="L357" s="3"/>
      <c r="M357" s="5" t="s">
        <v>2352</v>
      </c>
      <c r="N357" s="257">
        <v>8.5</v>
      </c>
      <c r="O357" s="3"/>
      <c r="V357"/>
      <c r="W357"/>
      <c r="X357"/>
      <c r="Y357"/>
      <c r="Z357"/>
    </row>
    <row r="358" spans="1:26" ht="16.05" customHeight="1" thickBot="1">
      <c r="A358" s="8" t="s">
        <v>2327</v>
      </c>
      <c r="B358" s="258">
        <v>8.5</v>
      </c>
      <c r="C358" s="3"/>
      <c r="D358" s="8" t="s">
        <v>1433</v>
      </c>
      <c r="E358" s="258">
        <v>9</v>
      </c>
      <c r="F358" s="3"/>
      <c r="G358" s="5" t="s">
        <v>2340</v>
      </c>
      <c r="H358" s="257">
        <v>8</v>
      </c>
      <c r="I358" s="3"/>
      <c r="J358" s="5" t="s">
        <v>2366</v>
      </c>
      <c r="K358" s="257">
        <v>9</v>
      </c>
      <c r="L358" s="3"/>
      <c r="M358" s="5" t="s">
        <v>2353</v>
      </c>
      <c r="N358" s="257">
        <v>8</v>
      </c>
      <c r="O358" s="3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2341</v>
      </c>
      <c r="H359" s="257">
        <v>8.5</v>
      </c>
      <c r="I359" s="3"/>
      <c r="J359" s="5" t="s">
        <v>2367</v>
      </c>
      <c r="K359" s="257">
        <v>8.5</v>
      </c>
      <c r="L359" s="3"/>
      <c r="M359" s="5" t="s">
        <v>2354</v>
      </c>
      <c r="N359" s="257">
        <v>7.5</v>
      </c>
      <c r="O359" s="3"/>
      <c r="V359"/>
      <c r="W359"/>
      <c r="X359"/>
      <c r="Y359"/>
      <c r="Z359"/>
    </row>
    <row r="360" spans="1:26" ht="16.05" customHeight="1" thickBot="1">
      <c r="A360" s="313" t="s">
        <v>2377</v>
      </c>
      <c r="B360" s="13">
        <f>ROUND(SUM(B361:B377)/COUNT(B361:B377), 2)</f>
        <v>8.81</v>
      </c>
      <c r="C360" s="3"/>
      <c r="D360" s="315" t="s">
        <v>2407</v>
      </c>
      <c r="E360" s="13">
        <f>ROUND(SUM(E361:E370)/COUNT(E361:E370), 2)</f>
        <v>8.61</v>
      </c>
      <c r="F360" s="3"/>
      <c r="G360" s="5" t="s">
        <v>2342</v>
      </c>
      <c r="H360" s="257">
        <v>8</v>
      </c>
      <c r="I360" s="3"/>
      <c r="J360" s="5" t="s">
        <v>2368</v>
      </c>
      <c r="K360" s="257">
        <v>10</v>
      </c>
      <c r="L360" s="3"/>
      <c r="M360" s="5" t="s">
        <v>2355</v>
      </c>
      <c r="N360" s="257">
        <v>7.5</v>
      </c>
      <c r="O360" s="3"/>
      <c r="V360"/>
      <c r="W360"/>
      <c r="X360"/>
      <c r="Y360"/>
      <c r="Z360"/>
    </row>
    <row r="361" spans="1:26" ht="16.05" customHeight="1">
      <c r="A361" s="12" t="s">
        <v>2378</v>
      </c>
      <c r="B361" s="256">
        <v>10</v>
      </c>
      <c r="C361" s="3"/>
      <c r="D361" s="12" t="s">
        <v>2408</v>
      </c>
      <c r="E361" s="256">
        <v>8.5</v>
      </c>
      <c r="F361" s="3"/>
      <c r="G361" s="5" t="s">
        <v>2343</v>
      </c>
      <c r="H361" s="257">
        <v>8</v>
      </c>
      <c r="I361" s="3"/>
      <c r="J361" s="5" t="s">
        <v>2369</v>
      </c>
      <c r="K361" s="257">
        <v>8</v>
      </c>
      <c r="L361" s="3"/>
      <c r="M361" s="5" t="s">
        <v>2356</v>
      </c>
      <c r="N361" s="257">
        <v>8</v>
      </c>
      <c r="O361" s="3"/>
      <c r="V361"/>
      <c r="W361"/>
      <c r="X361"/>
      <c r="Y361"/>
      <c r="Z361"/>
    </row>
    <row r="362" spans="1:26" ht="16.05" customHeight="1">
      <c r="A362" s="5" t="s">
        <v>2379</v>
      </c>
      <c r="B362" s="257">
        <v>9</v>
      </c>
      <c r="C362" s="3"/>
      <c r="D362" s="5" t="s">
        <v>2409</v>
      </c>
      <c r="E362" s="257">
        <v>8</v>
      </c>
      <c r="F362" s="3"/>
      <c r="G362" s="5" t="s">
        <v>2344</v>
      </c>
      <c r="H362" s="257">
        <v>10</v>
      </c>
      <c r="I362" s="3"/>
      <c r="J362" s="5" t="s">
        <v>2370</v>
      </c>
      <c r="K362" s="257">
        <v>8.5</v>
      </c>
      <c r="L362" s="3"/>
      <c r="M362" s="5" t="s">
        <v>2357</v>
      </c>
      <c r="N362" s="257">
        <v>8</v>
      </c>
      <c r="O362" s="3"/>
      <c r="V362"/>
      <c r="W362"/>
      <c r="X362"/>
      <c r="Y362"/>
      <c r="Z362"/>
    </row>
    <row r="363" spans="1:26" ht="16.05" customHeight="1" thickBot="1">
      <c r="A363" s="5" t="s">
        <v>2380</v>
      </c>
      <c r="B363" s="257">
        <v>8.5</v>
      </c>
      <c r="C363" s="3"/>
      <c r="D363" s="5" t="s">
        <v>2410</v>
      </c>
      <c r="E363" s="257">
        <v>10</v>
      </c>
      <c r="F363" s="3"/>
      <c r="G363" s="8" t="s">
        <v>2345</v>
      </c>
      <c r="H363" s="258">
        <v>8.5</v>
      </c>
      <c r="I363" s="3"/>
      <c r="J363" s="8" t="s">
        <v>2371</v>
      </c>
      <c r="K363" s="258">
        <v>7.5</v>
      </c>
      <c r="L363" s="3"/>
      <c r="M363" s="5" t="s">
        <v>2358</v>
      </c>
      <c r="N363" s="257">
        <v>8</v>
      </c>
      <c r="O363" s="3"/>
      <c r="V363"/>
      <c r="W363"/>
      <c r="X363"/>
      <c r="Y363"/>
      <c r="Z363"/>
    </row>
    <row r="364" spans="1:26" ht="16.05" customHeight="1">
      <c r="A364" s="5" t="s">
        <v>2381</v>
      </c>
      <c r="B364" s="257">
        <v>9.5</v>
      </c>
      <c r="C364" s="3"/>
      <c r="D364" s="5" t="s">
        <v>2411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2359</v>
      </c>
      <c r="N364" s="257">
        <v>7.5</v>
      </c>
      <c r="O364" s="3"/>
      <c r="V364"/>
      <c r="W364"/>
      <c r="X364"/>
      <c r="Y364"/>
      <c r="Z364"/>
    </row>
    <row r="365" spans="1:26" ht="15.6" customHeight="1" thickBot="1">
      <c r="A365" s="5" t="s">
        <v>2382</v>
      </c>
      <c r="B365" s="257">
        <v>8.5</v>
      </c>
      <c r="C365" s="3"/>
      <c r="D365" s="5" t="s">
        <v>2412</v>
      </c>
      <c r="E365" s="257">
        <v>7.5</v>
      </c>
      <c r="F365" s="3"/>
      <c r="L365" s="3"/>
      <c r="M365" s="8" t="s">
        <v>2360</v>
      </c>
      <c r="N365" s="258">
        <v>8</v>
      </c>
      <c r="O365" s="3"/>
      <c r="V365"/>
      <c r="W365"/>
      <c r="X365"/>
      <c r="Y365"/>
      <c r="Z365"/>
    </row>
    <row r="366" spans="1:26" ht="16.05" customHeight="1">
      <c r="A366" s="5" t="s">
        <v>2383</v>
      </c>
      <c r="B366" s="257">
        <v>9.5</v>
      </c>
      <c r="C366" s="3"/>
      <c r="D366" s="5" t="s">
        <v>2413</v>
      </c>
      <c r="E366" s="257">
        <v>7.5</v>
      </c>
      <c r="F366" s="3"/>
      <c r="L366" s="3"/>
      <c r="M366" s="3"/>
      <c r="N366" s="3"/>
      <c r="O366" s="3"/>
      <c r="V366"/>
      <c r="W366"/>
      <c r="X366"/>
      <c r="Y366"/>
      <c r="Z366"/>
    </row>
    <row r="367" spans="1:26" ht="16.05" customHeight="1">
      <c r="A367" s="5" t="s">
        <v>2384</v>
      </c>
      <c r="B367" s="257">
        <v>10.5</v>
      </c>
      <c r="C367" s="3"/>
      <c r="D367" s="5" t="s">
        <v>2414</v>
      </c>
      <c r="E367" s="257">
        <v>9</v>
      </c>
      <c r="F367" s="3"/>
      <c r="V367"/>
      <c r="W367"/>
      <c r="X367"/>
      <c r="Y367"/>
      <c r="Z367"/>
    </row>
    <row r="368" spans="1:26" ht="16.05" customHeight="1">
      <c r="A368" s="5" t="s">
        <v>2385</v>
      </c>
      <c r="B368" s="257">
        <v>9</v>
      </c>
      <c r="C368" s="3"/>
      <c r="D368" s="5" t="s">
        <v>2415</v>
      </c>
      <c r="E368" s="257">
        <v>8.5</v>
      </c>
      <c r="F368" s="3"/>
      <c r="V368"/>
      <c r="W368"/>
      <c r="X368"/>
      <c r="Y368"/>
      <c r="Z368"/>
    </row>
    <row r="369" spans="1:26" ht="16.05" customHeight="1">
      <c r="A369" s="5" t="s">
        <v>2386</v>
      </c>
      <c r="B369" s="257">
        <v>8</v>
      </c>
      <c r="C369" s="3"/>
      <c r="D369" s="5" t="s">
        <v>2416</v>
      </c>
      <c r="E369" s="257"/>
      <c r="F369" s="3"/>
      <c r="V369"/>
      <c r="W369"/>
      <c r="X369"/>
      <c r="Y369"/>
      <c r="Z369"/>
    </row>
    <row r="370" spans="1:26" ht="16.05" customHeight="1" thickBot="1">
      <c r="A370" s="5" t="s">
        <v>2387</v>
      </c>
      <c r="B370" s="257">
        <v>8</v>
      </c>
      <c r="C370" s="3"/>
      <c r="D370" s="8" t="s">
        <v>2417</v>
      </c>
      <c r="E370" s="258">
        <v>10</v>
      </c>
      <c r="F370" s="3"/>
      <c r="V370"/>
      <c r="W370"/>
      <c r="X370"/>
      <c r="Y370"/>
      <c r="Z370"/>
    </row>
    <row r="371" spans="1:26" ht="16.05" customHeight="1">
      <c r="A371" s="5" t="s">
        <v>2388</v>
      </c>
      <c r="B371" s="257">
        <v>8.5</v>
      </c>
      <c r="C371" s="3"/>
      <c r="D371" s="3"/>
      <c r="E371" s="3"/>
      <c r="F371" s="3"/>
      <c r="V371"/>
      <c r="W371"/>
      <c r="X371"/>
      <c r="Y371"/>
      <c r="Z371"/>
    </row>
    <row r="372" spans="1:26" ht="16.05" customHeight="1">
      <c r="A372" s="5" t="s">
        <v>2389</v>
      </c>
      <c r="B372" s="257">
        <v>8</v>
      </c>
      <c r="C372" s="3"/>
      <c r="V372"/>
      <c r="W372"/>
      <c r="X372"/>
      <c r="Y372"/>
      <c r="Z372"/>
    </row>
    <row r="373" spans="1:26" ht="16.05" customHeight="1">
      <c r="A373" s="314" t="s">
        <v>2390</v>
      </c>
      <c r="B373" s="257">
        <v>8</v>
      </c>
      <c r="C373" s="3"/>
      <c r="V373"/>
      <c r="W373"/>
      <c r="X373"/>
      <c r="Y373"/>
      <c r="Z373"/>
    </row>
    <row r="374" spans="1:26" ht="16.05" customHeight="1">
      <c r="A374" s="5" t="s">
        <v>2391</v>
      </c>
      <c r="B374" s="257">
        <v>8.5</v>
      </c>
      <c r="C374" s="3"/>
      <c r="V374"/>
      <c r="W374"/>
      <c r="X374"/>
      <c r="Y374"/>
      <c r="Z374"/>
    </row>
    <row r="375" spans="1:26" ht="16.05" customHeight="1">
      <c r="A375" s="5" t="s">
        <v>2392</v>
      </c>
      <c r="B375" s="257">
        <v>9</v>
      </c>
      <c r="C375" s="3"/>
      <c r="V375"/>
      <c r="W375"/>
      <c r="X375"/>
      <c r="Y375"/>
      <c r="Z375"/>
    </row>
    <row r="376" spans="1:26" ht="16.05" customHeight="1">
      <c r="A376" s="5" t="s">
        <v>2120</v>
      </c>
      <c r="B376" s="257">
        <v>8.5</v>
      </c>
      <c r="C376" s="3"/>
      <c r="V376"/>
      <c r="W376"/>
      <c r="X376"/>
      <c r="Y376"/>
      <c r="Z376"/>
    </row>
    <row r="377" spans="1:26" ht="16.05" customHeight="1" thickBot="1">
      <c r="A377" s="8" t="s">
        <v>2393</v>
      </c>
      <c r="B377" s="258"/>
      <c r="C377" s="3"/>
      <c r="V377"/>
      <c r="W377"/>
      <c r="X377"/>
      <c r="Y377"/>
      <c r="Z377"/>
    </row>
    <row r="378" spans="1:26" ht="16.05" customHeight="1">
      <c r="A378" s="3"/>
      <c r="B378" s="3"/>
      <c r="C378" s="3"/>
      <c r="V378"/>
      <c r="W378"/>
      <c r="X378"/>
      <c r="Y378"/>
      <c r="Z378"/>
    </row>
    <row r="379" spans="1:26" ht="16.05" customHeight="1">
      <c r="V379"/>
      <c r="W379"/>
      <c r="X379"/>
      <c r="Y379"/>
      <c r="Z379"/>
    </row>
    <row r="380" spans="1:26" ht="16.05" customHeight="1">
      <c r="V380"/>
      <c r="W380"/>
      <c r="X380"/>
      <c r="Y380"/>
      <c r="Z380"/>
    </row>
    <row r="381" spans="1:26" ht="16.05" customHeight="1">
      <c r="V381"/>
      <c r="W381"/>
      <c r="X381"/>
      <c r="Y381"/>
      <c r="Z381"/>
    </row>
    <row r="382" spans="1:26" ht="16.05" customHeight="1">
      <c r="V382"/>
      <c r="W382"/>
      <c r="X382"/>
      <c r="Y382"/>
      <c r="Z382"/>
    </row>
    <row r="383" spans="1:26" ht="16.05" customHeight="1">
      <c r="V383"/>
      <c r="W383"/>
      <c r="X383"/>
      <c r="Y383"/>
      <c r="Z383"/>
    </row>
    <row r="384" spans="1:26" ht="16.05" customHeight="1">
      <c r="V384"/>
      <c r="W384"/>
      <c r="X384"/>
      <c r="Y384"/>
      <c r="Z384"/>
    </row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71:V171"/>
    <mergeCell ref="R1:AE1"/>
    <mergeCell ref="AH1:AI1"/>
    <mergeCell ref="R146:AE146"/>
  </mergeCells>
  <phoneticPr fontId="203" type="noConversion"/>
  <conditionalFormatting sqref="A2:B2 D2:E2 G2:H2 J2:K2 M2:N2 A16:B16 A26:B26 D14:E14 G17:H17 J14:K14 M14:N14 D30:E30 J25:K25 AK28:AK31">
    <cfRule type="colorScale" priority="1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4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012" priority="1314" stopIfTrue="1">
      <formula>LEN(TRIM(B3))=0</formula>
    </cfRule>
    <cfRule type="cellIs" dxfId="1011" priority="1313" stopIfTrue="1" operator="between">
      <formula>10</formula>
      <formula>10</formula>
    </cfRule>
    <cfRule type="cellIs" dxfId="1010" priority="1312" operator="between">
      <formula>9</formula>
      <formula>9.9</formula>
    </cfRule>
    <cfRule type="cellIs" dxfId="1009" priority="1311" stopIfTrue="1" operator="between">
      <formula>8</formula>
      <formula>8.9</formula>
    </cfRule>
    <cfRule type="cellIs" dxfId="1008" priority="1310" operator="between">
      <formula>7</formula>
      <formula>7.9</formula>
    </cfRule>
    <cfRule type="cellIs" dxfId="1007" priority="1272" operator="between">
      <formula>10.1</formula>
      <formula>10.6</formula>
    </cfRule>
  </conditionalFormatting>
  <conditionalFormatting sqref="B17:B24">
    <cfRule type="cellIs" dxfId="1006" priority="1250" stopIfTrue="1" operator="between">
      <formula>8</formula>
      <formula>8.9</formula>
    </cfRule>
    <cfRule type="containsBlanks" dxfId="1005" priority="1253" stopIfTrue="1">
      <formula>LEN(TRIM(B17))=0</formula>
    </cfRule>
    <cfRule type="cellIs" dxfId="1004" priority="1252" stopIfTrue="1" operator="between">
      <formula>10</formula>
      <formula>10</formula>
    </cfRule>
    <cfRule type="cellIs" dxfId="1003" priority="1251" operator="between">
      <formula>9</formula>
      <formula>9.9</formula>
    </cfRule>
    <cfRule type="cellIs" dxfId="1002" priority="1248" operator="between">
      <formula>10.1</formula>
      <formula>10.6</formula>
    </cfRule>
    <cfRule type="cellIs" dxfId="1001" priority="1249" operator="between">
      <formula>7</formula>
      <formula>7.9</formula>
    </cfRule>
  </conditionalFormatting>
  <conditionalFormatting sqref="B27:B31">
    <cfRule type="containsBlanks" dxfId="1000" priority="1247" stopIfTrue="1">
      <formula>LEN(TRIM(B27))=0</formula>
    </cfRule>
    <cfRule type="cellIs" dxfId="999" priority="1242" operator="between">
      <formula>10.1</formula>
      <formula>10.6</formula>
    </cfRule>
    <cfRule type="cellIs" dxfId="998" priority="1243" operator="between">
      <formula>7</formula>
      <formula>7.9</formula>
    </cfRule>
    <cfRule type="cellIs" dxfId="997" priority="1244" stopIfTrue="1" operator="between">
      <formula>8</formula>
      <formula>8.9</formula>
    </cfRule>
    <cfRule type="cellIs" dxfId="996" priority="1245" operator="between">
      <formula>9</formula>
      <formula>9.9</formula>
    </cfRule>
    <cfRule type="cellIs" dxfId="995" priority="1246" stopIfTrue="1" operator="between">
      <formula>10</formula>
      <formula>10</formula>
    </cfRule>
  </conditionalFormatting>
  <conditionalFormatting sqref="B33">
    <cfRule type="colorScale" priority="1645">
      <colorScale>
        <cfvo type="num" val="5"/>
        <cfvo type="num" val="10"/>
        <color rgb="FFFF494D"/>
        <color rgb="FF00FF66"/>
      </colorScale>
    </cfRule>
    <cfRule type="colorScale" priority="16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994" priority="1238" stopIfTrue="1" operator="between">
      <formula>8</formula>
      <formula>8.9</formula>
    </cfRule>
    <cfRule type="cellIs" dxfId="993" priority="1236" operator="between">
      <formula>10.1</formula>
      <formula>10.6</formula>
    </cfRule>
    <cfRule type="cellIs" dxfId="992" priority="1237" operator="between">
      <formula>7</formula>
      <formula>7.9</formula>
    </cfRule>
    <cfRule type="containsBlanks" dxfId="991" priority="1241" stopIfTrue="1">
      <formula>LEN(TRIM(B34))=0</formula>
    </cfRule>
    <cfRule type="cellIs" dxfId="990" priority="1239" operator="between">
      <formula>9</formula>
      <formula>9.9</formula>
    </cfRule>
    <cfRule type="cellIs" dxfId="989" priority="1240" stopIfTrue="1" operator="between">
      <formula>10</formula>
      <formula>10</formula>
    </cfRule>
  </conditionalFormatting>
  <conditionalFormatting sqref="B47">
    <cfRule type="colorScale" priority="1321">
      <colorScale>
        <cfvo type="num" val="5"/>
        <cfvo type="num" val="10"/>
        <color rgb="FFFF494D"/>
        <color rgb="FF00FF66"/>
      </colorScale>
    </cfRule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988" priority="1208" stopIfTrue="1" operator="between">
      <formula>8</formula>
      <formula>8.9</formula>
    </cfRule>
    <cfRule type="containsBlanks" dxfId="987" priority="1211" stopIfTrue="1">
      <formula>LEN(TRIM(B48))=0</formula>
    </cfRule>
    <cfRule type="cellIs" dxfId="986" priority="1206" operator="between">
      <formula>10.1</formula>
      <formula>10.6</formula>
    </cfRule>
    <cfRule type="cellIs" dxfId="985" priority="1207" operator="between">
      <formula>7</formula>
      <formula>7.9</formula>
    </cfRule>
    <cfRule type="cellIs" dxfId="984" priority="1209" operator="between">
      <formula>9</formula>
      <formula>9.9</formula>
    </cfRule>
    <cfRule type="cellIs" dxfId="983" priority="1210" stopIfTrue="1" operator="between">
      <formula>10</formula>
      <formula>10</formula>
    </cfRule>
  </conditionalFormatting>
  <conditionalFormatting sqref="B59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982" priority="1184" operator="between">
      <formula>10.1</formula>
      <formula>10.6</formula>
    </cfRule>
    <cfRule type="cellIs" dxfId="981" priority="1185" operator="between">
      <formula>7</formula>
      <formula>7.9</formula>
    </cfRule>
    <cfRule type="cellIs" dxfId="980" priority="1187" operator="between">
      <formula>9</formula>
      <formula>9.9</formula>
    </cfRule>
    <cfRule type="cellIs" dxfId="979" priority="1188" stopIfTrue="1" operator="between">
      <formula>10</formula>
      <formula>10</formula>
    </cfRule>
    <cfRule type="containsBlanks" dxfId="978" priority="1189" stopIfTrue="1">
      <formula>LEN(TRIM(B60))=0</formula>
    </cfRule>
    <cfRule type="cellIs" dxfId="977" priority="1186" stopIfTrue="1" operator="between">
      <formula>8</formula>
      <formula>8.9</formula>
    </cfRule>
  </conditionalFormatting>
  <conditionalFormatting sqref="B70">
    <cfRule type="colorScale" priority="1118">
      <colorScale>
        <cfvo type="num" val="5"/>
        <cfvo type="num" val="10"/>
        <color rgb="FFFF494D"/>
        <color rgb="FF00FF66"/>
      </colorScale>
    </cfRule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976" priority="1099" operator="between">
      <formula>7</formula>
      <formula>7.9</formula>
    </cfRule>
    <cfRule type="cellIs" dxfId="975" priority="1100" stopIfTrue="1" operator="between">
      <formula>8</formula>
      <formula>8.9</formula>
    </cfRule>
    <cfRule type="cellIs" dxfId="974" priority="1101" operator="between">
      <formula>9</formula>
      <formula>9.9</formula>
    </cfRule>
    <cfRule type="cellIs" dxfId="973" priority="1102" stopIfTrue="1" operator="between">
      <formula>10</formula>
      <formula>10</formula>
    </cfRule>
    <cfRule type="containsBlanks" dxfId="972" priority="1103" stopIfTrue="1">
      <formula>LEN(TRIM(B71))=0</formula>
    </cfRule>
    <cfRule type="cellIs" dxfId="971" priority="1098" operator="between">
      <formula>10.1</formula>
      <formula>10.6</formula>
    </cfRule>
  </conditionalFormatting>
  <conditionalFormatting sqref="B73">
    <cfRule type="cellIs" dxfId="970" priority="1097" operator="between">
      <formula>6</formula>
      <formula>6.9</formula>
    </cfRule>
  </conditionalFormatting>
  <conditionalFormatting sqref="B79">
    <cfRule type="colorScale" priority="10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969" priority="1074" operator="between">
      <formula>10.1</formula>
      <formula>10.6</formula>
    </cfRule>
    <cfRule type="cellIs" dxfId="968" priority="1075" operator="between">
      <formula>7</formula>
      <formula>7.9</formula>
    </cfRule>
    <cfRule type="cellIs" dxfId="967" priority="1076" stopIfTrue="1" operator="between">
      <formula>8</formula>
      <formula>8.9</formula>
    </cfRule>
    <cfRule type="cellIs" dxfId="966" priority="1077" operator="between">
      <formula>9</formula>
      <formula>9.9</formula>
    </cfRule>
    <cfRule type="cellIs" dxfId="965" priority="1078" stopIfTrue="1" operator="between">
      <formula>10</formula>
      <formula>10</formula>
    </cfRule>
    <cfRule type="containsBlanks" dxfId="964" priority="1079" stopIfTrue="1">
      <formula>LEN(TRIM(B80))=0</formula>
    </cfRule>
  </conditionalFormatting>
  <conditionalFormatting sqref="B93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963" priority="1028" operator="between">
      <formula>7</formula>
      <formula>7.9</formula>
    </cfRule>
    <cfRule type="cellIs" dxfId="962" priority="1027" operator="between">
      <formula>10.1</formula>
      <formula>10.6</formula>
    </cfRule>
    <cfRule type="cellIs" dxfId="961" priority="1031" stopIfTrue="1" operator="between">
      <formula>10</formula>
      <formula>10</formula>
    </cfRule>
    <cfRule type="containsBlanks" dxfId="960" priority="1032" stopIfTrue="1">
      <formula>LEN(TRIM(B94))=0</formula>
    </cfRule>
    <cfRule type="cellIs" dxfId="959" priority="1030" operator="between">
      <formula>9</formula>
      <formula>9.9</formula>
    </cfRule>
    <cfRule type="cellIs" dxfId="958" priority="1029" stopIfTrue="1" operator="between">
      <formula>8</formula>
      <formula>8.9</formula>
    </cfRule>
  </conditionalFormatting>
  <conditionalFormatting sqref="B103">
    <cfRule type="colorScale" priority="9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957" priority="982" stopIfTrue="1" operator="between">
      <formula>10</formula>
      <formula>10</formula>
    </cfRule>
    <cfRule type="cellIs" dxfId="956" priority="980" stopIfTrue="1" operator="between">
      <formula>8</formula>
      <formula>8.9</formula>
    </cfRule>
    <cfRule type="containsBlanks" dxfId="955" priority="983" stopIfTrue="1">
      <formula>LEN(TRIM(B104))=0</formula>
    </cfRule>
    <cfRule type="cellIs" dxfId="954" priority="979" operator="between">
      <formula>7</formula>
      <formula>7.9</formula>
    </cfRule>
    <cfRule type="cellIs" dxfId="953" priority="978" operator="between">
      <formula>10.1</formula>
      <formula>10.6</formula>
    </cfRule>
    <cfRule type="cellIs" dxfId="952" priority="981" operator="between">
      <formula>9</formula>
      <formula>9.9</formula>
    </cfRule>
  </conditionalFormatting>
  <conditionalFormatting sqref="B114">
    <cfRule type="colorScale" priority="946">
      <colorScale>
        <cfvo type="num" val="5"/>
        <cfvo type="num" val="10"/>
        <color rgb="FFFF494D"/>
        <color rgb="FF00FF66"/>
      </colorScale>
    </cfRule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951" priority="935" stopIfTrue="1" operator="between">
      <formula>8</formula>
      <formula>8.9</formula>
    </cfRule>
    <cfRule type="cellIs" dxfId="950" priority="932" operator="between">
      <formula>6</formula>
      <formula>6.9</formula>
    </cfRule>
    <cfRule type="cellIs" dxfId="949" priority="934" operator="between">
      <formula>7</formula>
      <formula>7.9</formula>
    </cfRule>
    <cfRule type="cellIs" dxfId="948" priority="933" operator="between">
      <formula>10.1</formula>
      <formula>10.6</formula>
    </cfRule>
    <cfRule type="containsBlanks" dxfId="947" priority="938" stopIfTrue="1">
      <formula>LEN(TRIM(B115))=0</formula>
    </cfRule>
    <cfRule type="cellIs" dxfId="946" priority="937" stopIfTrue="1" operator="between">
      <formula>10</formula>
      <formula>10</formula>
    </cfRule>
    <cfRule type="cellIs" dxfId="945" priority="936" operator="between">
      <formula>9</formula>
      <formula>9.9</formula>
    </cfRule>
  </conditionalFormatting>
  <conditionalFormatting sqref="B134">
    <cfRule type="colorScale" priority="863">
      <colorScale>
        <cfvo type="num" val="5"/>
        <cfvo type="num" val="10"/>
        <color rgb="FFFF494D"/>
        <color rgb="FF00FF66"/>
      </colorScale>
    </cfRule>
    <cfRule type="colorScale" priority="8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944" priority="856" operator="between">
      <formula>10.1</formula>
      <formula>10.6</formula>
    </cfRule>
    <cfRule type="cellIs" dxfId="943" priority="857" operator="between">
      <formula>7</formula>
      <formula>7.9</formula>
    </cfRule>
    <cfRule type="cellIs" dxfId="942" priority="858" stopIfTrue="1" operator="between">
      <formula>8</formula>
      <formula>8.9</formula>
    </cfRule>
    <cfRule type="containsBlanks" dxfId="941" priority="861" stopIfTrue="1">
      <formula>LEN(TRIM(B135))=0</formula>
    </cfRule>
    <cfRule type="cellIs" dxfId="940" priority="860" stopIfTrue="1" operator="between">
      <formula>10</formula>
      <formula>10</formula>
    </cfRule>
    <cfRule type="cellIs" dxfId="939" priority="859" operator="between">
      <formula>9</formula>
      <formula>9.9</formula>
    </cfRule>
    <cfRule type="cellIs" dxfId="938" priority="855" operator="between">
      <formula>6</formula>
      <formula>6.9</formula>
    </cfRule>
  </conditionalFormatting>
  <conditionalFormatting sqref="B145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937" priority="810" operator="between">
      <formula>6</formula>
      <formula>6.9</formula>
    </cfRule>
    <cfRule type="cellIs" dxfId="936" priority="811" operator="between">
      <formula>10.1</formula>
      <formula>10.6</formula>
    </cfRule>
    <cfRule type="cellIs" dxfId="935" priority="812" operator="between">
      <formula>7</formula>
      <formula>7.9</formula>
    </cfRule>
    <cfRule type="cellIs" dxfId="934" priority="813" stopIfTrue="1" operator="between">
      <formula>8</formula>
      <formula>8.9</formula>
    </cfRule>
    <cfRule type="cellIs" dxfId="933" priority="814" operator="between">
      <formula>9</formula>
      <formula>9.9</formula>
    </cfRule>
    <cfRule type="cellIs" dxfId="932" priority="815" stopIfTrue="1" operator="between">
      <formula>10</formula>
      <formula>10</formula>
    </cfRule>
    <cfRule type="containsBlanks" dxfId="931" priority="816" stopIfTrue="1">
      <formula>LEN(TRIM(B146))=0</formula>
    </cfRule>
  </conditionalFormatting>
  <conditionalFormatting sqref="B162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930" priority="749" operator="between">
      <formula>6</formula>
      <formula>6.9</formula>
    </cfRule>
    <cfRule type="containsBlanks" dxfId="929" priority="755" stopIfTrue="1">
      <formula>LEN(TRIM(B163))=0</formula>
    </cfRule>
    <cfRule type="cellIs" dxfId="928" priority="754" stopIfTrue="1" operator="between">
      <formula>10</formula>
      <formula>10</formula>
    </cfRule>
    <cfRule type="cellIs" dxfId="927" priority="753" operator="between">
      <formula>9</formula>
      <formula>9.9</formula>
    </cfRule>
    <cfRule type="cellIs" dxfId="926" priority="752" stopIfTrue="1" operator="between">
      <formula>8</formula>
      <formula>8.9</formula>
    </cfRule>
    <cfRule type="cellIs" dxfId="925" priority="751" operator="between">
      <formula>7</formula>
      <formula>7.9</formula>
    </cfRule>
    <cfRule type="cellIs" dxfId="924" priority="750" operator="between">
      <formula>10.1</formula>
      <formula>10.6</formula>
    </cfRule>
  </conditionalFormatting>
  <conditionalFormatting sqref="B172">
    <cfRule type="colorScale" priority="719">
      <colorScale>
        <cfvo type="num" val="5"/>
        <cfvo type="num" val="10"/>
        <color rgb="FFFF494D"/>
        <color rgb="FF00FF66"/>
      </colorScale>
    </cfRule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923" priority="714" stopIfTrue="1" operator="between">
      <formula>8</formula>
      <formula>8.9</formula>
    </cfRule>
    <cfRule type="containsBlanks" dxfId="922" priority="717" stopIfTrue="1">
      <formula>LEN(TRIM(B173))=0</formula>
    </cfRule>
    <cfRule type="cellIs" dxfId="921" priority="711" operator="between">
      <formula>6</formula>
      <formula>6.9</formula>
    </cfRule>
    <cfRule type="cellIs" dxfId="920" priority="715" operator="between">
      <formula>9</formula>
      <formula>9.9</formula>
    </cfRule>
    <cfRule type="cellIs" dxfId="919" priority="712" operator="between">
      <formula>10.1</formula>
      <formula>10.6</formula>
    </cfRule>
    <cfRule type="cellIs" dxfId="918" priority="713" operator="between">
      <formula>7</formula>
      <formula>7.9</formula>
    </cfRule>
    <cfRule type="cellIs" dxfId="917" priority="716" stopIfTrue="1" operator="between">
      <formula>10</formula>
      <formula>10</formula>
    </cfRule>
  </conditionalFormatting>
  <conditionalFormatting sqref="B185">
    <cfRule type="colorScale" priority="681">
      <colorScale>
        <cfvo type="num" val="5"/>
        <cfvo type="num" val="10"/>
        <color rgb="FFFF494D"/>
        <color rgb="FF00FF66"/>
      </colorScale>
    </cfRule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916" priority="676" stopIfTrue="1" operator="between">
      <formula>8</formula>
      <formula>8.9</formula>
    </cfRule>
    <cfRule type="containsBlanks" dxfId="915" priority="679" stopIfTrue="1">
      <formula>LEN(TRIM(B186))=0</formula>
    </cfRule>
    <cfRule type="cellIs" dxfId="914" priority="673" operator="between">
      <formula>6</formula>
      <formula>6.9</formula>
    </cfRule>
    <cfRule type="cellIs" dxfId="913" priority="677" operator="between">
      <formula>9</formula>
      <formula>9.9</formula>
    </cfRule>
    <cfRule type="cellIs" dxfId="912" priority="674" operator="between">
      <formula>10.1</formula>
      <formula>10.6</formula>
    </cfRule>
    <cfRule type="cellIs" dxfId="911" priority="675" operator="between">
      <formula>7</formula>
      <formula>7.9</formula>
    </cfRule>
    <cfRule type="cellIs" dxfId="910" priority="678" stopIfTrue="1" operator="between">
      <formula>10</formula>
      <formula>10</formula>
    </cfRule>
  </conditionalFormatting>
  <conditionalFormatting sqref="B196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909" priority="625" operator="between">
      <formula>10.1</formula>
      <formula>10.6</formula>
    </cfRule>
    <cfRule type="cellIs" dxfId="908" priority="626" operator="between">
      <formula>7</formula>
      <formula>7.9</formula>
    </cfRule>
    <cfRule type="cellIs" dxfId="907" priority="627" stopIfTrue="1" operator="between">
      <formula>8</formula>
      <formula>8.9</formula>
    </cfRule>
    <cfRule type="cellIs" dxfId="906" priority="628" operator="between">
      <formula>9</formula>
      <formula>9.9</formula>
    </cfRule>
    <cfRule type="cellIs" dxfId="905" priority="629" stopIfTrue="1" operator="between">
      <formula>10</formula>
      <formula>10</formula>
    </cfRule>
    <cfRule type="containsBlanks" dxfId="904" priority="630" stopIfTrue="1">
      <formula>LEN(TRIM(B197))=0</formula>
    </cfRule>
    <cfRule type="cellIs" dxfId="903" priority="624" operator="between">
      <formula>6</formula>
      <formula>6.9</formula>
    </cfRule>
  </conditionalFormatting>
  <conditionalFormatting sqref="B213">
    <cfRule type="colorScale" priority="556">
      <colorScale>
        <cfvo type="num" val="5"/>
        <cfvo type="num" val="10"/>
        <color rgb="FFFF494D"/>
        <color rgb="FF00FF66"/>
      </colorScale>
    </cfRule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902" priority="551" stopIfTrue="1" operator="between">
      <formula>8</formula>
      <formula>8.9</formula>
    </cfRule>
    <cfRule type="cellIs" dxfId="901" priority="550" operator="between">
      <formula>7</formula>
      <formula>7.9</formula>
    </cfRule>
    <cfRule type="cellIs" dxfId="900" priority="549" operator="between">
      <formula>10.1</formula>
      <formula>10.6</formula>
    </cfRule>
    <cfRule type="cellIs" dxfId="899" priority="548" operator="between">
      <formula>6</formula>
      <formula>6.9</formula>
    </cfRule>
    <cfRule type="containsBlanks" dxfId="898" priority="554" stopIfTrue="1">
      <formula>LEN(TRIM(B214))=0</formula>
    </cfRule>
    <cfRule type="cellIs" dxfId="897" priority="553" stopIfTrue="1" operator="between">
      <formula>10</formula>
      <formula>10</formula>
    </cfRule>
    <cfRule type="cellIs" dxfId="896" priority="552" operator="between">
      <formula>9</formula>
      <formula>9.9</formula>
    </cfRule>
  </conditionalFormatting>
  <conditionalFormatting sqref="B226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95" priority="485" operator="between">
      <formula>6</formula>
      <formula>6.9</formula>
    </cfRule>
    <cfRule type="cellIs" dxfId="894" priority="489" operator="between">
      <formula>9</formula>
      <formula>9.9</formula>
    </cfRule>
    <cfRule type="cellIs" dxfId="893" priority="490" stopIfTrue="1" operator="between">
      <formula>10</formula>
      <formula>10</formula>
    </cfRule>
    <cfRule type="containsBlanks" dxfId="892" priority="491" stopIfTrue="1">
      <formula>LEN(TRIM(B236))=0</formula>
    </cfRule>
    <cfRule type="cellIs" dxfId="891" priority="486" operator="between">
      <formula>10.1</formula>
      <formula>10.6</formula>
    </cfRule>
    <cfRule type="cellIs" dxfId="890" priority="487" operator="between">
      <formula>7</formula>
      <formula>7.9</formula>
    </cfRule>
    <cfRule type="cellIs" dxfId="889" priority="488" stopIfTrue="1" operator="between">
      <formula>8</formula>
      <formula>8.9</formula>
    </cfRule>
  </conditionalFormatting>
  <conditionalFormatting sqref="B246">
    <cfRule type="colorScale" priority="448">
      <colorScale>
        <cfvo type="num" val="5"/>
        <cfvo type="num" val="10"/>
        <color rgb="FFFF494D"/>
        <color rgb="FF00FF66"/>
      </colorScale>
    </cfRule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888" priority="440" operator="between">
      <formula>6</formula>
      <formula>6.9</formula>
    </cfRule>
    <cfRule type="cellIs" dxfId="887" priority="443" stopIfTrue="1" operator="between">
      <formula>8</formula>
      <formula>8.9</formula>
    </cfRule>
    <cfRule type="cellIs" dxfId="886" priority="442" operator="between">
      <formula>7</formula>
      <formula>7.9</formula>
    </cfRule>
    <cfRule type="cellIs" dxfId="885" priority="441" operator="between">
      <formula>10.1</formula>
      <formula>10.6</formula>
    </cfRule>
    <cfRule type="containsBlanks" dxfId="884" priority="446" stopIfTrue="1">
      <formula>LEN(TRIM(B247))=0</formula>
    </cfRule>
    <cfRule type="cellIs" dxfId="883" priority="445" stopIfTrue="1" operator="between">
      <formula>10</formula>
      <formula>10</formula>
    </cfRule>
    <cfRule type="cellIs" dxfId="882" priority="444" operator="between">
      <formula>9</formula>
      <formula>9.9</formula>
    </cfRule>
  </conditionalFormatting>
  <conditionalFormatting sqref="B260">
    <cfRule type="colorScale" priority="401">
      <colorScale>
        <cfvo type="num" val="5"/>
        <cfvo type="num" val="10"/>
        <color rgb="FFFF494D"/>
        <color rgb="FF00FF66"/>
      </colorScale>
    </cfRule>
    <cfRule type="colorScale" priority="4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881" priority="408" stopIfTrue="1">
      <formula>LEN(TRIM(B261))=0</formula>
    </cfRule>
    <cfRule type="cellIs" dxfId="880" priority="406" operator="between">
      <formula>9</formula>
      <formula>9.9</formula>
    </cfRule>
    <cfRule type="cellIs" dxfId="879" priority="402" operator="between">
      <formula>6</formula>
      <formula>6.9</formula>
    </cfRule>
    <cfRule type="cellIs" dxfId="878" priority="403" operator="between">
      <formula>10.1</formula>
      <formula>10.6</formula>
    </cfRule>
    <cfRule type="cellIs" dxfId="877" priority="404" operator="between">
      <formula>7</formula>
      <formula>7.9</formula>
    </cfRule>
    <cfRule type="cellIs" dxfId="876" priority="405" stopIfTrue="1" operator="between">
      <formula>8</formula>
      <formula>8.9</formula>
    </cfRule>
    <cfRule type="cellIs" dxfId="875" priority="407" stopIfTrue="1" operator="between">
      <formula>10</formula>
      <formula>10</formula>
    </cfRule>
  </conditionalFormatting>
  <conditionalFormatting sqref="B272">
    <cfRule type="colorScale" priority="3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9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874" priority="365" stopIfTrue="1" operator="between">
      <formula>10</formula>
      <formula>10</formula>
    </cfRule>
    <cfRule type="cellIs" dxfId="873" priority="364" operator="between">
      <formula>9</formula>
      <formula>9.9</formula>
    </cfRule>
    <cfRule type="cellIs" dxfId="872" priority="363" stopIfTrue="1" operator="between">
      <formula>8</formula>
      <formula>8.9</formula>
    </cfRule>
    <cfRule type="cellIs" dxfId="871" priority="362" operator="between">
      <formula>7</formula>
      <formula>7.9</formula>
    </cfRule>
    <cfRule type="cellIs" dxfId="870" priority="361" operator="between">
      <formula>10.1</formula>
      <formula>10.6</formula>
    </cfRule>
    <cfRule type="cellIs" dxfId="869" priority="360" operator="between">
      <formula>6</formula>
      <formula>6.9</formula>
    </cfRule>
    <cfRule type="containsBlanks" dxfId="868" priority="366" stopIfTrue="1">
      <formula>LEN(TRIM(B273))=0</formula>
    </cfRule>
  </conditionalFormatting>
  <conditionalFormatting sqref="B279">
    <cfRule type="colorScale" priority="320">
      <colorScale>
        <cfvo type="num" val="5"/>
        <cfvo type="num" val="10"/>
        <color rgb="FFFF494D"/>
        <color rgb="FF00FF66"/>
      </colorScale>
    </cfRule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867" priority="316" operator="between">
      <formula>9</formula>
      <formula>9.9</formula>
    </cfRule>
    <cfRule type="cellIs" dxfId="866" priority="317" stopIfTrue="1" operator="between">
      <formula>10</formula>
      <formula>10</formula>
    </cfRule>
    <cfRule type="containsBlanks" dxfId="865" priority="318" stopIfTrue="1">
      <formula>LEN(TRIM(B280))=0</formula>
    </cfRule>
    <cfRule type="cellIs" dxfId="864" priority="313" operator="between">
      <formula>10.1</formula>
      <formula>10.6</formula>
    </cfRule>
    <cfRule type="cellIs" dxfId="863" priority="312" operator="between">
      <formula>6</formula>
      <formula>6.9</formula>
    </cfRule>
    <cfRule type="cellIs" dxfId="862" priority="314" operator="between">
      <formula>7</formula>
      <formula>7.9</formula>
    </cfRule>
    <cfRule type="cellIs" dxfId="861" priority="315" stopIfTrue="1" operator="between">
      <formula>8</formula>
      <formula>8.9</formula>
    </cfRule>
  </conditionalFormatting>
  <conditionalFormatting sqref="B309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860" priority="203" operator="between">
      <formula>7</formula>
      <formula>7.9</formula>
    </cfRule>
    <cfRule type="cellIs" dxfId="859" priority="204" stopIfTrue="1" operator="between">
      <formula>8</formula>
      <formula>8.9</formula>
    </cfRule>
    <cfRule type="cellIs" dxfId="858" priority="205" operator="between">
      <formula>9</formula>
      <formula>9.9</formula>
    </cfRule>
    <cfRule type="containsBlanks" dxfId="857" priority="207" stopIfTrue="1">
      <formula>LEN(TRIM(B310))=0</formula>
    </cfRule>
    <cfRule type="cellIs" dxfId="856" priority="202" operator="between">
      <formula>10.1</formula>
      <formula>10.6</formula>
    </cfRule>
    <cfRule type="cellIs" dxfId="855" priority="201" operator="between">
      <formula>6</formula>
      <formula>6.9</formula>
    </cfRule>
    <cfRule type="cellIs" dxfId="854" priority="206" stopIfTrue="1" operator="between">
      <formula>10</formula>
      <formula>10</formula>
    </cfRule>
  </conditionalFormatting>
  <conditionalFormatting sqref="B322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853" priority="139" operator="between">
      <formula>10.1</formula>
      <formula>10.6</formula>
    </cfRule>
    <cfRule type="cellIs" dxfId="852" priority="137" operator="between">
      <formula>2</formula>
      <formula>4.9</formula>
    </cfRule>
    <cfRule type="cellIs" dxfId="851" priority="143" stopIfTrue="1" operator="between">
      <formula>10</formula>
      <formula>10</formula>
    </cfRule>
    <cfRule type="cellIs" dxfId="850" priority="142" operator="between">
      <formula>9</formula>
      <formula>9.9</formula>
    </cfRule>
    <cfRule type="cellIs" dxfId="849" priority="141" stopIfTrue="1" operator="between">
      <formula>8</formula>
      <formula>8.9</formula>
    </cfRule>
    <cfRule type="cellIs" dxfId="848" priority="138" operator="between">
      <formula>5</formula>
      <formula>6.9</formula>
    </cfRule>
    <cfRule type="cellIs" dxfId="847" priority="140" operator="between">
      <formula>7</formula>
      <formula>7.9</formula>
    </cfRule>
    <cfRule type="containsBlanks" dxfId="846" priority="135" stopIfTrue="1">
      <formula>LEN(TRIM(B323))=0</formula>
    </cfRule>
    <cfRule type="cellIs" dxfId="845" priority="136" operator="lessThan">
      <formula>2</formula>
    </cfRule>
  </conditionalFormatting>
  <conditionalFormatting sqref="B343">
    <cfRule type="colorScale" priority="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844" priority="57" stopIfTrue="1" operator="between">
      <formula>10</formula>
      <formula>10</formula>
    </cfRule>
    <cfRule type="cellIs" dxfId="843" priority="56" operator="between">
      <formula>9</formula>
      <formula>9.9</formula>
    </cfRule>
    <cfRule type="containsBlanks" dxfId="842" priority="49" stopIfTrue="1">
      <formula>LEN(TRIM(B344))=0</formula>
    </cfRule>
    <cfRule type="cellIs" dxfId="841" priority="50" operator="lessThan">
      <formula>2</formula>
    </cfRule>
    <cfRule type="cellIs" dxfId="840" priority="51" operator="between">
      <formula>2</formula>
      <formula>4.9</formula>
    </cfRule>
    <cfRule type="cellIs" dxfId="839" priority="52" operator="between">
      <formula>5</formula>
      <formula>6.9</formula>
    </cfRule>
    <cfRule type="cellIs" dxfId="838" priority="53" operator="between">
      <formula>10.1</formula>
      <formula>10.6</formula>
    </cfRule>
    <cfRule type="cellIs" dxfId="837" priority="54" operator="between">
      <formula>7</formula>
      <formula>7.9</formula>
    </cfRule>
    <cfRule type="cellIs" dxfId="836" priority="55" stopIfTrue="1" operator="between">
      <formula>8</formula>
      <formula>8.9</formula>
    </cfRule>
  </conditionalFormatting>
  <conditionalFormatting sqref="B360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:E12">
    <cfRule type="containsBlanks" dxfId="835" priority="1271" stopIfTrue="1">
      <formula>LEN(TRIM(E3))=0</formula>
    </cfRule>
    <cfRule type="cellIs" dxfId="834" priority="1270" stopIfTrue="1" operator="between">
      <formula>10</formula>
      <formula>10</formula>
    </cfRule>
    <cfRule type="cellIs" dxfId="833" priority="1266" operator="between">
      <formula>10.1</formula>
      <formula>10.6</formula>
    </cfRule>
    <cfRule type="cellIs" dxfId="832" priority="1267" operator="between">
      <formula>7</formula>
      <formula>7.9</formula>
    </cfRule>
    <cfRule type="cellIs" dxfId="831" priority="1268" stopIfTrue="1" operator="between">
      <formula>8</formula>
      <formula>8.9</formula>
    </cfRule>
    <cfRule type="cellIs" dxfId="830" priority="1269" operator="between">
      <formula>9</formula>
      <formula>9.9</formula>
    </cfRule>
  </conditionalFormatting>
  <conditionalFormatting sqref="E15:E28">
    <cfRule type="cellIs" dxfId="829" priority="579" stopIfTrue="1" operator="between">
      <formula>10</formula>
      <formula>10</formula>
    </cfRule>
    <cfRule type="cellIs" dxfId="828" priority="578" operator="between">
      <formula>9</formula>
      <formula>9.9</formula>
    </cfRule>
    <cfRule type="cellIs" dxfId="827" priority="576" operator="between">
      <formula>7</formula>
      <formula>7.9</formula>
    </cfRule>
    <cfRule type="cellIs" dxfId="826" priority="577" stopIfTrue="1" operator="between">
      <formula>8</formula>
      <formula>8.9</formula>
    </cfRule>
    <cfRule type="containsBlanks" dxfId="825" priority="580" stopIfTrue="1">
      <formula>LEN(TRIM(E15))=0</formula>
    </cfRule>
  </conditionalFormatting>
  <conditionalFormatting sqref="E16">
    <cfRule type="cellIs" dxfId="824" priority="575" operator="between">
      <formula>10.1</formula>
      <formula>10.6</formula>
    </cfRule>
  </conditionalFormatting>
  <conditionalFormatting sqref="E31:E37">
    <cfRule type="containsBlanks" dxfId="823" priority="1235" stopIfTrue="1">
      <formula>LEN(TRIM(E31))=0</formula>
    </cfRule>
    <cfRule type="cellIs" dxfId="822" priority="1234" stopIfTrue="1" operator="between">
      <formula>10</formula>
      <formula>10</formula>
    </cfRule>
    <cfRule type="cellIs" dxfId="821" priority="1233" operator="between">
      <formula>9</formula>
      <formula>9.9</formula>
    </cfRule>
    <cfRule type="cellIs" dxfId="820" priority="1232" stopIfTrue="1" operator="between">
      <formula>8</formula>
      <formula>8.9</formula>
    </cfRule>
    <cfRule type="cellIs" dxfId="819" priority="1230" operator="between">
      <formula>10.1</formula>
      <formula>10.6</formula>
    </cfRule>
    <cfRule type="cellIs" dxfId="818" priority="1231" operator="between">
      <formula>7</formula>
      <formula>7.9</formula>
    </cfRule>
  </conditionalFormatting>
  <conditionalFormatting sqref="E39">
    <cfRule type="colorScale" priority="1631">
      <colorScale>
        <cfvo type="num" val="5"/>
        <cfvo type="num" val="10"/>
        <color rgb="FFFF494D"/>
        <color rgb="FF00FF66"/>
      </colorScale>
    </cfRule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817" priority="1345" stopIfTrue="1" operator="between">
      <formula>10</formula>
      <formula>10</formula>
    </cfRule>
    <cfRule type="cellIs" dxfId="816" priority="1343" stopIfTrue="1" operator="between">
      <formula>8</formula>
      <formula>8.9</formula>
    </cfRule>
    <cfRule type="cellIs" dxfId="815" priority="1344" operator="between">
      <formula>9</formula>
      <formula>9.9</formula>
    </cfRule>
    <cfRule type="cellIs" dxfId="814" priority="1342" operator="between">
      <formula>7</formula>
      <formula>7.9</formula>
    </cfRule>
  </conditionalFormatting>
  <conditionalFormatting sqref="E54">
    <cfRule type="colorScale" priority="1274">
      <colorScale>
        <cfvo type="num" val="5"/>
        <cfvo type="num" val="10"/>
        <color rgb="FFFF494D"/>
        <color rgb="FF00FF66"/>
      </colorScale>
    </cfRule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813" priority="1215" operator="between">
      <formula>9</formula>
      <formula>9.9</formula>
    </cfRule>
    <cfRule type="cellIs" dxfId="812" priority="1212" operator="between">
      <formula>10.1</formula>
      <formula>10.6</formula>
    </cfRule>
    <cfRule type="cellIs" dxfId="811" priority="1213" operator="between">
      <formula>7</formula>
      <formula>7.9</formula>
    </cfRule>
    <cfRule type="cellIs" dxfId="810" priority="1216" stopIfTrue="1" operator="between">
      <formula>10</formula>
      <formula>10</formula>
    </cfRule>
    <cfRule type="cellIs" dxfId="809" priority="1214" stopIfTrue="1" operator="between">
      <formula>8</formula>
      <formula>8.9</formula>
    </cfRule>
    <cfRule type="containsBlanks" dxfId="808" priority="1217" stopIfTrue="1">
      <formula>LEN(TRIM(E55))=0</formula>
    </cfRule>
  </conditionalFormatting>
  <conditionalFormatting sqref="E65"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4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807" priority="1145" operator="between">
      <formula>10.1</formula>
      <formula>10.6</formula>
    </cfRule>
    <cfRule type="cellIs" dxfId="806" priority="1146" operator="between">
      <formula>7</formula>
      <formula>7.9</formula>
    </cfRule>
    <cfRule type="cellIs" dxfId="805" priority="1147" stopIfTrue="1" operator="between">
      <formula>8</formula>
      <formula>8.9</formula>
    </cfRule>
    <cfRule type="cellIs" dxfId="804" priority="1148" operator="between">
      <formula>9</formula>
      <formula>9.9</formula>
    </cfRule>
    <cfRule type="cellIs" dxfId="803" priority="1149" stopIfTrue="1" operator="between">
      <formula>10</formula>
      <formula>10</formula>
    </cfRule>
    <cfRule type="containsBlanks" dxfId="802" priority="1150" stopIfTrue="1">
      <formula>LEN(TRIM(E66))=0</formula>
    </cfRule>
  </conditionalFormatting>
  <conditionalFormatting sqref="E80">
    <cfRule type="colorScale" priority="10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3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801" priority="1068" stopIfTrue="1" operator="between">
      <formula>8</formula>
      <formula>8.9</formula>
    </cfRule>
    <cfRule type="cellIs" dxfId="800" priority="1069" operator="between">
      <formula>9</formula>
      <formula>9.9</formula>
    </cfRule>
    <cfRule type="cellIs" dxfId="799" priority="1070" stopIfTrue="1" operator="between">
      <formula>10</formula>
      <formula>10</formula>
    </cfRule>
    <cfRule type="containsBlanks" dxfId="798" priority="1071" stopIfTrue="1">
      <formula>LEN(TRIM(E81))=0</formula>
    </cfRule>
    <cfRule type="cellIs" dxfId="797" priority="1067" operator="between">
      <formula>7</formula>
      <formula>7.9</formula>
    </cfRule>
    <cfRule type="cellIs" dxfId="796" priority="1066" operator="between">
      <formula>10.1</formula>
      <formula>10.6</formula>
    </cfRule>
  </conditionalFormatting>
  <conditionalFormatting sqref="E101">
    <cfRule type="colorScale" priority="9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7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95" priority="989" operator="between">
      <formula>7</formula>
      <formula>7.9</formula>
    </cfRule>
    <cfRule type="cellIs" dxfId="794" priority="988" operator="between">
      <formula>10.1</formula>
      <formula>10.6</formula>
    </cfRule>
    <cfRule type="cellIs" dxfId="793" priority="990" stopIfTrue="1" operator="between">
      <formula>8</formula>
      <formula>8.9</formula>
    </cfRule>
    <cfRule type="cellIs" dxfId="792" priority="991" operator="between">
      <formula>9</formula>
      <formula>9.9</formula>
    </cfRule>
    <cfRule type="cellIs" dxfId="791" priority="992" stopIfTrue="1" operator="between">
      <formula>10</formula>
      <formula>10</formula>
    </cfRule>
    <cfRule type="containsBlanks" dxfId="790" priority="993" stopIfTrue="1">
      <formula>LEN(TRIM(E102))=0</formula>
    </cfRule>
  </conditionalFormatting>
  <conditionalFormatting sqref="E117">
    <cfRule type="colorScale" priority="929">
      <colorScale>
        <cfvo type="num" val="5"/>
        <cfvo type="num" val="10"/>
        <color rgb="FFFF494D"/>
        <color rgb="FF00FF66"/>
      </colorScale>
    </cfRule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789" priority="922" operator="between">
      <formula>10.1</formula>
      <formula>10.6</formula>
    </cfRule>
    <cfRule type="cellIs" dxfId="788" priority="921" operator="between">
      <formula>6</formula>
      <formula>6.9</formula>
    </cfRule>
    <cfRule type="containsBlanks" dxfId="787" priority="927" stopIfTrue="1">
      <formula>LEN(TRIM(E118))=0</formula>
    </cfRule>
    <cfRule type="cellIs" dxfId="786" priority="926" stopIfTrue="1" operator="between">
      <formula>10</formula>
      <formula>10</formula>
    </cfRule>
    <cfRule type="cellIs" dxfId="785" priority="924" stopIfTrue="1" operator="between">
      <formula>8</formula>
      <formula>8.9</formula>
    </cfRule>
    <cfRule type="cellIs" dxfId="784" priority="923" operator="between">
      <formula>7</formula>
      <formula>7.9</formula>
    </cfRule>
    <cfRule type="cellIs" dxfId="783" priority="925" operator="between">
      <formula>9</formula>
      <formula>9.9</formula>
    </cfRule>
  </conditionalFormatting>
  <conditionalFormatting sqref="E128">
    <cfRule type="colorScale" priority="896">
      <colorScale>
        <cfvo type="num" val="5"/>
        <cfvo type="num" val="10"/>
        <color rgb="FFFF494D"/>
        <color rgb="FF00FF66"/>
      </colorScale>
    </cfRule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782" priority="892" operator="between">
      <formula>9</formula>
      <formula>9.9</formula>
    </cfRule>
    <cfRule type="cellIs" dxfId="781" priority="893" stopIfTrue="1" operator="between">
      <formula>10</formula>
      <formula>10</formula>
    </cfRule>
    <cfRule type="containsBlanks" dxfId="780" priority="894" stopIfTrue="1">
      <formula>LEN(TRIM(E129))=0</formula>
    </cfRule>
    <cfRule type="cellIs" dxfId="779" priority="891" stopIfTrue="1" operator="between">
      <formula>8</formula>
      <formula>8.9</formula>
    </cfRule>
    <cfRule type="cellIs" dxfId="778" priority="890" operator="between">
      <formula>7</formula>
      <formula>7.9</formula>
    </cfRule>
    <cfRule type="cellIs" dxfId="777" priority="889" operator="between">
      <formula>10.1</formula>
      <formula>10.6</formula>
    </cfRule>
    <cfRule type="cellIs" dxfId="776" priority="888" operator="between">
      <formula>6</formula>
      <formula>6.9</formula>
    </cfRule>
  </conditionalFormatting>
  <conditionalFormatting sqref="E146">
    <cfRule type="colorScale" priority="809">
      <colorScale>
        <cfvo type="num" val="5"/>
        <cfvo type="num" val="10"/>
        <color rgb="FFFF494D"/>
        <color rgb="FF00FF66"/>
      </colorScale>
    </cfRule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775" priority="802" operator="between">
      <formula>10.1</formula>
      <formula>10.6</formula>
    </cfRule>
    <cfRule type="cellIs" dxfId="774" priority="806" stopIfTrue="1" operator="between">
      <formula>10</formula>
      <formula>10</formula>
    </cfRule>
    <cfRule type="cellIs" dxfId="773" priority="801" operator="between">
      <formula>6</formula>
      <formula>6.9</formula>
    </cfRule>
    <cfRule type="cellIs" dxfId="772" priority="803" operator="between">
      <formula>7</formula>
      <formula>7.9</formula>
    </cfRule>
    <cfRule type="cellIs" dxfId="771" priority="804" stopIfTrue="1" operator="between">
      <formula>8</formula>
      <formula>8.9</formula>
    </cfRule>
    <cfRule type="containsBlanks" dxfId="770" priority="807" stopIfTrue="1">
      <formula>LEN(TRIM(E147))=0</formula>
    </cfRule>
    <cfRule type="cellIs" dxfId="769" priority="805" operator="between">
      <formula>9</formula>
      <formula>9.9</formula>
    </cfRule>
  </conditionalFormatting>
  <conditionalFormatting sqref="E161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768" priority="768" stopIfTrue="1" operator="between">
      <formula>8</formula>
      <formula>8.9</formula>
    </cfRule>
    <cfRule type="cellIs" dxfId="767" priority="770" stopIfTrue="1" operator="between">
      <formula>10</formula>
      <formula>10</formula>
    </cfRule>
    <cfRule type="containsBlanks" dxfId="766" priority="771" stopIfTrue="1">
      <formula>LEN(TRIM(E162))=0</formula>
    </cfRule>
    <cfRule type="cellIs" dxfId="765" priority="769" operator="between">
      <formula>9</formula>
      <formula>9.9</formula>
    </cfRule>
    <cfRule type="cellIs" dxfId="764" priority="767" operator="between">
      <formula>7</formula>
      <formula>7.9</formula>
    </cfRule>
    <cfRule type="cellIs" dxfId="763" priority="765" operator="between">
      <formula>6</formula>
      <formula>6.9</formula>
    </cfRule>
    <cfRule type="cellIs" dxfId="762" priority="766" operator="between">
      <formula>10.1</formula>
      <formula>10.6</formula>
    </cfRule>
  </conditionalFormatting>
  <conditionalFormatting sqref="E172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761" priority="720" operator="between">
      <formula>6</formula>
      <formula>6.9</formula>
    </cfRule>
    <cfRule type="cellIs" dxfId="760" priority="724" operator="between">
      <formula>9</formula>
      <formula>9.9</formula>
    </cfRule>
    <cfRule type="cellIs" dxfId="759" priority="725" stopIfTrue="1" operator="between">
      <formula>10</formula>
      <formula>10</formula>
    </cfRule>
    <cfRule type="containsBlanks" dxfId="758" priority="726" stopIfTrue="1">
      <formula>LEN(TRIM(E173))=0</formula>
    </cfRule>
    <cfRule type="cellIs" dxfId="757" priority="721" operator="between">
      <formula>10.1</formula>
      <formula>10.6</formula>
    </cfRule>
    <cfRule type="cellIs" dxfId="756" priority="723" stopIfTrue="1" operator="between">
      <formula>8</formula>
      <formula>8.9</formula>
    </cfRule>
    <cfRule type="cellIs" dxfId="755" priority="722" operator="between">
      <formula>7</formula>
      <formula>7.9</formula>
    </cfRule>
  </conditionalFormatting>
  <conditionalFormatting sqref="E186">
    <cfRule type="colorScale" priority="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6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754" priority="658" operator="between">
      <formula>6</formula>
      <formula>6.9</formula>
    </cfRule>
    <cfRule type="cellIs" dxfId="753" priority="663" stopIfTrue="1" operator="between">
      <formula>10</formula>
      <formula>10</formula>
    </cfRule>
    <cfRule type="containsBlanks" dxfId="752" priority="664" stopIfTrue="1">
      <formula>LEN(TRIM(E187))=0</formula>
    </cfRule>
    <cfRule type="cellIs" dxfId="751" priority="659" operator="between">
      <formula>10.1</formula>
      <formula>10.6</formula>
    </cfRule>
    <cfRule type="cellIs" dxfId="750" priority="661" stopIfTrue="1" operator="between">
      <formula>8</formula>
      <formula>8.9</formula>
    </cfRule>
    <cfRule type="cellIs" dxfId="749" priority="662" operator="between">
      <formula>9</formula>
      <formula>9.9</formula>
    </cfRule>
    <cfRule type="cellIs" dxfId="748" priority="660" operator="between">
      <formula>7</formula>
      <formula>7.9</formula>
    </cfRule>
  </conditionalFormatting>
  <conditionalFormatting sqref="E201">
    <cfRule type="colorScale" priority="612">
      <colorScale>
        <cfvo type="num" val="5"/>
        <cfvo type="num" val="10"/>
        <color rgb="FFFF494D"/>
        <color rgb="FF00FF66"/>
      </colorScale>
    </cfRule>
    <cfRule type="colorScale" priority="6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747" priority="607" stopIfTrue="1" operator="between">
      <formula>8</formula>
      <formula>8.9</formula>
    </cfRule>
    <cfRule type="cellIs" dxfId="746" priority="606" operator="between">
      <formula>7</formula>
      <formula>7.9</formula>
    </cfRule>
    <cfRule type="cellIs" dxfId="745" priority="605" operator="between">
      <formula>10.1</formula>
      <formula>11</formula>
    </cfRule>
    <cfRule type="cellIs" dxfId="744" priority="604" operator="between">
      <formula>6</formula>
      <formula>6.9</formula>
    </cfRule>
    <cfRule type="cellIs" dxfId="743" priority="609" stopIfTrue="1" operator="between">
      <formula>10</formula>
      <formula>10</formula>
    </cfRule>
    <cfRule type="cellIs" dxfId="742" priority="608" operator="between">
      <formula>9</formula>
      <formula>9.9</formula>
    </cfRule>
    <cfRule type="containsBlanks" dxfId="741" priority="610" stopIfTrue="1">
      <formula>LEN(TRIM(E202))=0</formula>
    </cfRule>
  </conditionalFormatting>
  <conditionalFormatting sqref="E213">
    <cfRule type="colorScale" priority="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8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740" priority="561" operator="between">
      <formula>7</formula>
      <formula>7.9</formula>
    </cfRule>
    <cfRule type="cellIs" dxfId="739" priority="560" operator="between">
      <formula>10.1</formula>
      <formula>10.6</formula>
    </cfRule>
    <cfRule type="cellIs" dxfId="738" priority="564" stopIfTrue="1" operator="between">
      <formula>10</formula>
      <formula>10</formula>
    </cfRule>
    <cfRule type="containsBlanks" dxfId="737" priority="565" stopIfTrue="1">
      <formula>LEN(TRIM(E214))=0</formula>
    </cfRule>
    <cfRule type="cellIs" dxfId="736" priority="563" operator="between">
      <formula>9</formula>
      <formula>9.9</formula>
    </cfRule>
    <cfRule type="cellIs" dxfId="735" priority="559" operator="between">
      <formula>6</formula>
      <formula>6.9</formula>
    </cfRule>
    <cfRule type="cellIs" dxfId="734" priority="562" stopIfTrue="1" operator="between">
      <formula>8</formula>
      <formula>8.9</formula>
    </cfRule>
  </conditionalFormatting>
  <conditionalFormatting sqref="E229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733" priority="522" stopIfTrue="1" operator="between">
      <formula>8</formula>
      <formula>8.9</formula>
    </cfRule>
    <cfRule type="containsBlanks" dxfId="732" priority="525" stopIfTrue="1">
      <formula>LEN(TRIM(E230))=0</formula>
    </cfRule>
    <cfRule type="cellIs" dxfId="731" priority="524" stopIfTrue="1" operator="between">
      <formula>10</formula>
      <formula>10</formula>
    </cfRule>
    <cfRule type="cellIs" dxfId="730" priority="523" operator="between">
      <formula>9</formula>
      <formula>9.9</formula>
    </cfRule>
    <cfRule type="cellIs" dxfId="729" priority="521" operator="between">
      <formula>7</formula>
      <formula>7.9</formula>
    </cfRule>
    <cfRule type="cellIs" dxfId="728" priority="520" operator="between">
      <formula>10.1</formula>
      <formula>10.6</formula>
    </cfRule>
    <cfRule type="cellIs" dxfId="727" priority="519" operator="between">
      <formula>6</formula>
      <formula>6.9</formula>
    </cfRule>
  </conditionalFormatting>
  <conditionalFormatting sqref="E237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726" priority="479" operator="between">
      <formula>10.1</formula>
      <formula>10.6</formula>
    </cfRule>
    <cfRule type="cellIs" dxfId="725" priority="482" operator="between">
      <formula>9</formula>
      <formula>9.9</formula>
    </cfRule>
    <cfRule type="cellIs" dxfId="724" priority="481" stopIfTrue="1" operator="between">
      <formula>8</formula>
      <formula>8.9</formula>
    </cfRule>
    <cfRule type="cellIs" dxfId="723" priority="480" operator="between">
      <formula>7</formula>
      <formula>7.9</formula>
    </cfRule>
    <cfRule type="cellIs" dxfId="722" priority="478" operator="between">
      <formula>6</formula>
      <formula>6.9</formula>
    </cfRule>
    <cfRule type="cellIs" dxfId="721" priority="483" stopIfTrue="1" operator="between">
      <formula>10</formula>
      <formula>10</formula>
    </cfRule>
    <cfRule type="containsBlanks" dxfId="720" priority="484" stopIfTrue="1">
      <formula>LEN(TRIM(E238))=0</formula>
    </cfRule>
  </conditionalFormatting>
  <conditionalFormatting sqref="E254">
    <cfRule type="colorScale" priority="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1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719" priority="387" stopIfTrue="1" operator="between">
      <formula>8</formula>
      <formula>8.9</formula>
    </cfRule>
    <cfRule type="cellIs" dxfId="718" priority="388" operator="between">
      <formula>9</formula>
      <formula>9.9</formula>
    </cfRule>
    <cfRule type="cellIs" dxfId="717" priority="389" stopIfTrue="1" operator="between">
      <formula>10</formula>
      <formula>10</formula>
    </cfRule>
    <cfRule type="cellIs" dxfId="716" priority="384" operator="between">
      <formula>6</formula>
      <formula>6.9</formula>
    </cfRule>
    <cfRule type="cellIs" dxfId="715" priority="385" operator="between">
      <formula>10.1</formula>
      <formula>10.6</formula>
    </cfRule>
    <cfRule type="containsBlanks" dxfId="714" priority="390" stopIfTrue="1">
      <formula>LEN(TRIM(E267))=0</formula>
    </cfRule>
    <cfRule type="cellIs" dxfId="713" priority="386" operator="between">
      <formula>7</formula>
      <formula>7.9</formula>
    </cfRule>
  </conditionalFormatting>
  <conditionalFormatting sqref="E278"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712" priority="331" operator="between">
      <formula>6</formula>
      <formula>6.9</formula>
    </cfRule>
    <cfRule type="cellIs" dxfId="711" priority="332" operator="between">
      <formula>10.1</formula>
      <formula>10.6</formula>
    </cfRule>
    <cfRule type="containsBlanks" dxfId="710" priority="337" stopIfTrue="1">
      <formula>LEN(TRIM(E279))=0</formula>
    </cfRule>
    <cfRule type="cellIs" dxfId="709" priority="336" stopIfTrue="1" operator="between">
      <formula>10</formula>
      <formula>10</formula>
    </cfRule>
    <cfRule type="cellIs" dxfId="708" priority="335" operator="between">
      <formula>9</formula>
      <formula>9.9</formula>
    </cfRule>
    <cfRule type="cellIs" dxfId="707" priority="334" stopIfTrue="1" operator="between">
      <formula>8</formula>
      <formula>8.9</formula>
    </cfRule>
    <cfRule type="cellIs" dxfId="706" priority="333" operator="between">
      <formula>7</formula>
      <formula>7.9</formula>
    </cfRule>
  </conditionalFormatting>
  <conditionalFormatting sqref="E288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705" priority="287" operator="between">
      <formula>9</formula>
      <formula>9.9</formula>
    </cfRule>
    <cfRule type="cellIs" dxfId="704" priority="288" stopIfTrue="1" operator="between">
      <formula>10</formula>
      <formula>10</formula>
    </cfRule>
    <cfRule type="containsBlanks" dxfId="703" priority="289" stopIfTrue="1">
      <formula>LEN(TRIM(E289))=0</formula>
    </cfRule>
    <cfRule type="cellIs" dxfId="702" priority="286" stopIfTrue="1" operator="between">
      <formula>8</formula>
      <formula>8.9</formula>
    </cfRule>
    <cfRule type="cellIs" dxfId="701" priority="284" operator="between">
      <formula>10.1</formula>
      <formula>10.6</formula>
    </cfRule>
    <cfRule type="cellIs" dxfId="700" priority="285" operator="between">
      <formula>7</formula>
      <formula>7.9</formula>
    </cfRule>
    <cfRule type="cellIs" dxfId="699" priority="283" operator="between">
      <formula>6</formula>
      <formula>6.9</formula>
    </cfRule>
  </conditionalFormatting>
  <conditionalFormatting sqref="E299">
    <cfRule type="colorScale" priority="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98" priority="232" operator="between">
      <formula>6</formula>
      <formula>6.9</formula>
    </cfRule>
    <cfRule type="cellIs" dxfId="697" priority="233" operator="between">
      <formula>10.1</formula>
      <formula>10.6</formula>
    </cfRule>
    <cfRule type="cellIs" dxfId="696" priority="234" operator="between">
      <formula>7</formula>
      <formula>7.9</formula>
    </cfRule>
    <cfRule type="cellIs" dxfId="695" priority="235" stopIfTrue="1" operator="between">
      <formula>8</formula>
      <formula>8.9</formula>
    </cfRule>
    <cfRule type="cellIs" dxfId="694" priority="236" operator="between">
      <formula>9</formula>
      <formula>9.9</formula>
    </cfRule>
    <cfRule type="cellIs" dxfId="693" priority="237" stopIfTrue="1" operator="between">
      <formula>10</formula>
      <formula>10</formula>
    </cfRule>
    <cfRule type="containsBlanks" dxfId="692" priority="238" stopIfTrue="1">
      <formula>LEN(TRIM(E300))=0</formula>
    </cfRule>
  </conditionalFormatting>
  <conditionalFormatting sqref="E310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691" priority="182" operator="between">
      <formula>5</formula>
      <formula>6.9</formula>
    </cfRule>
    <cfRule type="containsBlanks" dxfId="690" priority="179" stopIfTrue="1">
      <formula>LEN(TRIM(E311))=0</formula>
    </cfRule>
    <cfRule type="cellIs" dxfId="689" priority="180" operator="lessThan">
      <formula>2</formula>
    </cfRule>
    <cfRule type="cellIs" dxfId="688" priority="183" operator="between">
      <formula>10.1</formula>
      <formula>10.6</formula>
    </cfRule>
    <cfRule type="cellIs" dxfId="687" priority="184" operator="between">
      <formula>7</formula>
      <formula>7.9</formula>
    </cfRule>
    <cfRule type="cellIs" dxfId="686" priority="185" stopIfTrue="1" operator="between">
      <formula>8</formula>
      <formula>8.9</formula>
    </cfRule>
    <cfRule type="cellIs" dxfId="685" priority="186" operator="between">
      <formula>9</formula>
      <formula>9.9</formula>
    </cfRule>
    <cfRule type="cellIs" dxfId="684" priority="181" operator="between">
      <formula>2</formula>
      <formula>4.9</formula>
    </cfRule>
    <cfRule type="cellIs" dxfId="683" priority="187" stopIfTrue="1" operator="between">
      <formula>10</formula>
      <formula>10</formula>
    </cfRule>
  </conditionalFormatting>
  <conditionalFormatting sqref="E320">
    <cfRule type="colorScale" priority="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682" priority="177" operator="between">
      <formula>9</formula>
      <formula>9.9</formula>
    </cfRule>
    <cfRule type="cellIs" dxfId="681" priority="176" stopIfTrue="1" operator="between">
      <formula>8</formula>
      <formula>8.9</formula>
    </cfRule>
    <cfRule type="cellIs" dxfId="680" priority="178" stopIfTrue="1" operator="between">
      <formula>10</formula>
      <formula>10</formula>
    </cfRule>
    <cfRule type="cellIs" dxfId="679" priority="172" operator="between">
      <formula>2</formula>
      <formula>4.9</formula>
    </cfRule>
    <cfRule type="cellIs" dxfId="678" priority="171" operator="lessThan">
      <formula>2</formula>
    </cfRule>
    <cfRule type="cellIs" dxfId="677" priority="173" operator="between">
      <formula>5</formula>
      <formula>6.9</formula>
    </cfRule>
    <cfRule type="cellIs" dxfId="676" priority="174" operator="between">
      <formula>10.1</formula>
      <formula>10.6</formula>
    </cfRule>
    <cfRule type="cellIs" dxfId="675" priority="175" operator="between">
      <formula>7</formula>
      <formula>7.9</formula>
    </cfRule>
    <cfRule type="containsBlanks" dxfId="674" priority="170" stopIfTrue="1">
      <formula>LEN(TRIM(E321))=0</formula>
    </cfRule>
  </conditionalFormatting>
  <conditionalFormatting sqref="E328">
    <cfRule type="colorScale" priority="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673" priority="127" operator="lessThan">
      <formula>2</formula>
    </cfRule>
    <cfRule type="cellIs" dxfId="672" priority="133" operator="between">
      <formula>9</formula>
      <formula>9.9</formula>
    </cfRule>
    <cfRule type="cellIs" dxfId="671" priority="132" stopIfTrue="1" operator="between">
      <formula>8</formula>
      <formula>8.9</formula>
    </cfRule>
    <cfRule type="cellIs" dxfId="670" priority="131" operator="between">
      <formula>7</formula>
      <formula>7.9</formula>
    </cfRule>
    <cfRule type="cellIs" dxfId="669" priority="134" stopIfTrue="1" operator="between">
      <formula>10</formula>
      <formula>10</formula>
    </cfRule>
    <cfRule type="cellIs" dxfId="668" priority="130" operator="between">
      <formula>10.1</formula>
      <formula>10.6</formula>
    </cfRule>
    <cfRule type="cellIs" dxfId="667" priority="129" operator="between">
      <formula>5</formula>
      <formula>6.9</formula>
    </cfRule>
    <cfRule type="cellIs" dxfId="666" priority="128" operator="between">
      <formula>2</formula>
      <formula>4.9</formula>
    </cfRule>
    <cfRule type="containsBlanks" dxfId="665" priority="126" stopIfTrue="1">
      <formula>LEN(TRIM(E329))=0</formula>
    </cfRule>
  </conditionalFormatting>
  <conditionalFormatting sqref="E36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664" priority="7" operator="between">
      <formula>10.1</formula>
      <formula>10.6</formula>
    </cfRule>
    <cfRule type="cellIs" dxfId="663" priority="5" operator="between">
      <formula>2</formula>
      <formula>4.9</formula>
    </cfRule>
    <cfRule type="cellIs" dxfId="662" priority="4" operator="lessThan">
      <formula>2</formula>
    </cfRule>
    <cfRule type="containsBlanks" dxfId="661" priority="3" stopIfTrue="1">
      <formula>LEN(TRIM(E361))=0</formula>
    </cfRule>
    <cfRule type="cellIs" dxfId="660" priority="11" stopIfTrue="1" operator="between">
      <formula>10</formula>
      <formula>10</formula>
    </cfRule>
    <cfRule type="cellIs" dxfId="659" priority="10" operator="between">
      <formula>9</formula>
      <formula>9.9</formula>
    </cfRule>
    <cfRule type="cellIs" dxfId="658" priority="9" stopIfTrue="1" operator="between">
      <formula>8</formula>
      <formula>8.9</formula>
    </cfRule>
    <cfRule type="cellIs" dxfId="657" priority="8" operator="between">
      <formula>7</formula>
      <formula>7.9</formula>
    </cfRule>
    <cfRule type="cellIs" dxfId="656" priority="6" operator="between">
      <formula>5</formula>
      <formula>6.9</formula>
    </cfRule>
  </conditionalFormatting>
  <conditionalFormatting sqref="H3:H15">
    <cfRule type="cellIs" dxfId="655" priority="371" stopIfTrue="1" operator="between">
      <formula>10</formula>
      <formula>10</formula>
    </cfRule>
    <cfRule type="cellIs" dxfId="654" priority="370" operator="between">
      <formula>9</formula>
      <formula>9.9</formula>
    </cfRule>
    <cfRule type="cellIs" dxfId="653" priority="369" stopIfTrue="1" operator="between">
      <formula>8</formula>
      <formula>8.9</formula>
    </cfRule>
    <cfRule type="cellIs" dxfId="652" priority="368" operator="between">
      <formula>7</formula>
      <formula>7.9</formula>
    </cfRule>
  </conditionalFormatting>
  <conditionalFormatting sqref="H7">
    <cfRule type="containsBlanks" dxfId="651" priority="372" stopIfTrue="1">
      <formula>LEN(TRIM(H7))=0</formula>
    </cfRule>
    <cfRule type="cellIs" dxfId="650" priority="367" operator="between">
      <formula>10.1</formula>
      <formula>10.6</formula>
    </cfRule>
  </conditionalFormatting>
  <conditionalFormatting sqref="H18:H28">
    <cfRule type="cellIs" dxfId="649" priority="1365" stopIfTrue="1" operator="between">
      <formula>10</formula>
      <formula>10</formula>
    </cfRule>
    <cfRule type="cellIs" dxfId="648" priority="1364" operator="between">
      <formula>9</formula>
      <formula>9.9</formula>
    </cfRule>
    <cfRule type="cellIs" dxfId="647" priority="1363" stopIfTrue="1" operator="between">
      <formula>8</formula>
      <formula>8.9</formula>
    </cfRule>
    <cfRule type="cellIs" dxfId="646" priority="1362" operator="between">
      <formula>7</formula>
      <formula>7.9</formula>
    </cfRule>
  </conditionalFormatting>
  <conditionalFormatting sqref="H30">
    <cfRule type="colorScale" priority="1647">
      <colorScale>
        <cfvo type="num" val="5"/>
        <cfvo type="num" val="10"/>
        <color rgb="FFFF494D"/>
        <color rgb="FF00FF66"/>
      </colorScale>
    </cfRule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645" priority="1229" stopIfTrue="1">
      <formula>LEN(TRIM(H31))=0</formula>
    </cfRule>
    <cfRule type="cellIs" dxfId="644" priority="1228" stopIfTrue="1" operator="between">
      <formula>10</formula>
      <formula>10</formula>
    </cfRule>
    <cfRule type="cellIs" dxfId="643" priority="1227" operator="between">
      <formula>9</formula>
      <formula>9.9</formula>
    </cfRule>
    <cfRule type="cellIs" dxfId="642" priority="1226" stopIfTrue="1" operator="between">
      <formula>8</formula>
      <formula>8.9</formula>
    </cfRule>
    <cfRule type="cellIs" dxfId="641" priority="1225" operator="between">
      <formula>7</formula>
      <formula>7.9</formula>
    </cfRule>
    <cfRule type="cellIs" dxfId="640" priority="1224" operator="between">
      <formula>10.1</formula>
      <formula>10.6</formula>
    </cfRule>
  </conditionalFormatting>
  <conditionalFormatting sqref="H47">
    <cfRule type="colorScale" priority="1579">
      <colorScale>
        <cfvo type="num" val="5"/>
        <cfvo type="num" val="10"/>
        <color rgb="FFFF494D"/>
        <color rgb="FF00FF66"/>
      </colorScale>
    </cfRule>
    <cfRule type="colorScale" priority="15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639" priority="1223" stopIfTrue="1">
      <formula>LEN(TRIM(H48))=0</formula>
    </cfRule>
    <cfRule type="cellIs" dxfId="638" priority="1222" stopIfTrue="1" operator="between">
      <formula>10</formula>
      <formula>10</formula>
    </cfRule>
    <cfRule type="cellIs" dxfId="637" priority="1221" operator="between">
      <formula>9</formula>
      <formula>9.9</formula>
    </cfRule>
    <cfRule type="cellIs" dxfId="636" priority="1220" stopIfTrue="1" operator="between">
      <formula>8</formula>
      <formula>8.9</formula>
    </cfRule>
    <cfRule type="cellIs" dxfId="635" priority="1218" operator="between">
      <formula>10.1</formula>
      <formula>10.6</formula>
    </cfRule>
    <cfRule type="cellIs" dxfId="634" priority="1219" operator="between">
      <formula>7</formula>
      <formula>7.9</formula>
    </cfRule>
  </conditionalFormatting>
  <conditionalFormatting sqref="H57">
    <cfRule type="colorScale" priority="1161">
      <colorScale>
        <cfvo type="num" val="5"/>
        <cfvo type="num" val="10"/>
        <color rgb="FFFF494D"/>
        <color rgb="FF00FF66"/>
      </colorScale>
    </cfRule>
    <cfRule type="colorScale" priority="1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633" priority="1096" stopIfTrue="1">
      <formula>LEN(TRIM(H58))=0</formula>
    </cfRule>
    <cfRule type="cellIs" dxfId="632" priority="1093" stopIfTrue="1" operator="between">
      <formula>8</formula>
      <formula>8.9</formula>
    </cfRule>
    <cfRule type="cellIs" dxfId="631" priority="1094" operator="between">
      <formula>9</formula>
      <formula>9.9</formula>
    </cfRule>
    <cfRule type="cellIs" dxfId="630" priority="1090" operator="between">
      <formula>6</formula>
      <formula>6.9</formula>
    </cfRule>
    <cfRule type="cellIs" dxfId="629" priority="1091" operator="between">
      <formula>10.1</formula>
      <formula>10.6</formula>
    </cfRule>
    <cfRule type="cellIs" dxfId="628" priority="1095" stopIfTrue="1" operator="between">
      <formula>10</formula>
      <formula>10</formula>
    </cfRule>
    <cfRule type="cellIs" dxfId="627" priority="1092" operator="between">
      <formula>7</formula>
      <formula>7.9</formula>
    </cfRule>
  </conditionalFormatting>
  <conditionalFormatting sqref="H69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626" priority="1119" operator="between">
      <formula>10.1</formula>
      <formula>10.6</formula>
    </cfRule>
    <cfRule type="cellIs" dxfId="625" priority="1120" operator="between">
      <formula>7</formula>
      <formula>7.9</formula>
    </cfRule>
    <cfRule type="cellIs" dxfId="624" priority="1121" stopIfTrue="1" operator="between">
      <formula>8</formula>
      <formula>8.9</formula>
    </cfRule>
    <cfRule type="cellIs" dxfId="623" priority="1122" operator="between">
      <formula>9</formula>
      <formula>9.9</formula>
    </cfRule>
    <cfRule type="cellIs" dxfId="622" priority="1123" stopIfTrue="1" operator="between">
      <formula>10</formula>
      <formula>10</formula>
    </cfRule>
    <cfRule type="containsBlanks" dxfId="621" priority="1124" stopIfTrue="1">
      <formula>LEN(TRIM(H70))=0</formula>
    </cfRule>
  </conditionalFormatting>
  <conditionalFormatting sqref="H83">
    <cfRule type="colorScale" priority="1057">
      <colorScale>
        <cfvo type="num" val="5"/>
        <cfvo type="num" val="10"/>
        <color rgb="FFFF494D"/>
        <color rgb="FF00FF66"/>
      </colorScale>
    </cfRule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620" priority="1049" stopIfTrue="1">
      <formula>LEN(TRIM(H84))=0</formula>
    </cfRule>
    <cfRule type="cellIs" dxfId="619" priority="1044" operator="between">
      <formula>10.1</formula>
      <formula>10.6</formula>
    </cfRule>
    <cfRule type="cellIs" dxfId="618" priority="1043" operator="between">
      <formula>6</formula>
      <formula>6.9</formula>
    </cfRule>
    <cfRule type="cellIs" dxfId="617" priority="1045" operator="between">
      <formula>7</formula>
      <formula>7.9</formula>
    </cfRule>
    <cfRule type="cellIs" dxfId="616" priority="1046" stopIfTrue="1" operator="between">
      <formula>8</formula>
      <formula>8.9</formula>
    </cfRule>
    <cfRule type="cellIs" dxfId="615" priority="1047" operator="between">
      <formula>9</formula>
      <formula>9.9</formula>
    </cfRule>
    <cfRule type="cellIs" dxfId="614" priority="1048" stopIfTrue="1" operator="between">
      <formula>10</formula>
      <formula>10</formula>
    </cfRule>
  </conditionalFormatting>
  <conditionalFormatting sqref="H97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13" priority="994" operator="between">
      <formula>6</formula>
      <formula>6.9</formula>
    </cfRule>
    <cfRule type="cellIs" dxfId="612" priority="995" operator="between">
      <formula>10.1</formula>
      <formula>10.6</formula>
    </cfRule>
    <cfRule type="cellIs" dxfId="611" priority="996" operator="between">
      <formula>7</formula>
      <formula>7.9</formula>
    </cfRule>
    <cfRule type="cellIs" dxfId="610" priority="997" stopIfTrue="1" operator="between">
      <formula>8</formula>
      <formula>8.9</formula>
    </cfRule>
    <cfRule type="cellIs" dxfId="609" priority="999" stopIfTrue="1" operator="between">
      <formula>10</formula>
      <formula>10</formula>
    </cfRule>
    <cfRule type="containsBlanks" dxfId="608" priority="1000" stopIfTrue="1">
      <formula>LEN(TRIM(H98))=0</formula>
    </cfRule>
    <cfRule type="cellIs" dxfId="607" priority="998" operator="between">
      <formula>9</formula>
      <formula>9.9</formula>
    </cfRule>
  </conditionalFormatting>
  <conditionalFormatting sqref="H110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06" priority="973" operator="between">
      <formula>9</formula>
      <formula>9.9</formula>
    </cfRule>
    <cfRule type="cellIs" dxfId="605" priority="970" operator="between">
      <formula>10.1</formula>
      <formula>10.6</formula>
    </cfRule>
    <cfRule type="cellIs" dxfId="604" priority="971" operator="between">
      <formula>7</formula>
      <formula>7.9</formula>
    </cfRule>
    <cfRule type="cellIs" dxfId="603" priority="972" stopIfTrue="1" operator="between">
      <formula>8</formula>
      <formula>8.9</formula>
    </cfRule>
    <cfRule type="cellIs" dxfId="602" priority="974" stopIfTrue="1" operator="between">
      <formula>10</formula>
      <formula>10</formula>
    </cfRule>
    <cfRule type="containsBlanks" dxfId="601" priority="975" stopIfTrue="1">
      <formula>LEN(TRIM(H111))=0</formula>
    </cfRule>
  </conditionalFormatting>
  <conditionalFormatting sqref="H125">
    <cfRule type="colorScale" priority="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600" priority="903" stopIfTrue="1">
      <formula>LEN(TRIM(H126))=0</formula>
    </cfRule>
    <cfRule type="cellIs" dxfId="599" priority="902" stopIfTrue="1" operator="between">
      <formula>10</formula>
      <formula>10</formula>
    </cfRule>
    <cfRule type="cellIs" dxfId="598" priority="898" operator="between">
      <formula>10.1</formula>
      <formula>10.6</formula>
    </cfRule>
    <cfRule type="cellIs" dxfId="597" priority="897" operator="between">
      <formula>6</formula>
      <formula>6.9</formula>
    </cfRule>
    <cfRule type="cellIs" dxfId="596" priority="899" operator="between">
      <formula>7</formula>
      <formula>7.9</formula>
    </cfRule>
    <cfRule type="cellIs" dxfId="595" priority="901" operator="between">
      <formula>9</formula>
      <formula>9.9</formula>
    </cfRule>
    <cfRule type="cellIs" dxfId="594" priority="900" stopIfTrue="1" operator="between">
      <formula>8</formula>
      <formula>8.9</formula>
    </cfRule>
  </conditionalFormatting>
  <conditionalFormatting sqref="H131">
    <cfRule type="colorScale" priority="872">
      <colorScale>
        <cfvo type="num" val="5"/>
        <cfvo type="num" val="10"/>
        <color rgb="FFFF494D"/>
        <color rgb="FF00FF66"/>
      </colorScale>
    </cfRule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593" priority="867" stopIfTrue="1" operator="between">
      <formula>8</formula>
      <formula>8.9</formula>
    </cfRule>
    <cfRule type="cellIs" dxfId="592" priority="868" operator="between">
      <formula>9</formula>
      <formula>9.9</formula>
    </cfRule>
    <cfRule type="containsBlanks" dxfId="591" priority="870" stopIfTrue="1">
      <formula>LEN(TRIM(H132))=0</formula>
    </cfRule>
    <cfRule type="cellIs" dxfId="590" priority="864" operator="between">
      <formula>6</formula>
      <formula>6.9</formula>
    </cfRule>
    <cfRule type="cellIs" dxfId="589" priority="865" operator="between">
      <formula>10.1</formula>
      <formula>10.6</formula>
    </cfRule>
    <cfRule type="cellIs" dxfId="588" priority="866" operator="between">
      <formula>7</formula>
      <formula>7.9</formula>
    </cfRule>
    <cfRule type="cellIs" dxfId="587" priority="869" stopIfTrue="1" operator="between">
      <formula>10</formula>
      <formula>10</formula>
    </cfRule>
  </conditionalFormatting>
  <conditionalFormatting sqref="H149">
    <cfRule type="colorScale" priority="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586" priority="798" stopIfTrue="1">
      <formula>LEN(TRIM(H150))=0</formula>
    </cfRule>
    <cfRule type="cellIs" dxfId="585" priority="793" operator="between">
      <formula>10.1</formula>
      <formula>10.6</formula>
    </cfRule>
    <cfRule type="cellIs" dxfId="584" priority="794" operator="between">
      <formula>7</formula>
      <formula>7.9</formula>
    </cfRule>
    <cfRule type="cellIs" dxfId="583" priority="797" stopIfTrue="1" operator="between">
      <formula>10</formula>
      <formula>10</formula>
    </cfRule>
    <cfRule type="cellIs" dxfId="582" priority="792" operator="between">
      <formula>6</formula>
      <formula>6.9</formula>
    </cfRule>
    <cfRule type="cellIs" dxfId="581" priority="795" stopIfTrue="1" operator="between">
      <formula>8</formula>
      <formula>8.9</formula>
    </cfRule>
    <cfRule type="cellIs" dxfId="580" priority="796" operator="between">
      <formula>9</formula>
      <formula>9.9</formula>
    </cfRule>
  </conditionalFormatting>
  <conditionalFormatting sqref="H165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79" priority="744" operator="between">
      <formula>9</formula>
      <formula>9.9</formula>
    </cfRule>
    <cfRule type="cellIs" dxfId="578" priority="743" stopIfTrue="1" operator="between">
      <formula>8</formula>
      <formula>8.9</formula>
    </cfRule>
    <cfRule type="cellIs" dxfId="577" priority="742" operator="between">
      <formula>7</formula>
      <formula>7.9</formula>
    </cfRule>
    <cfRule type="cellIs" dxfId="576" priority="741" operator="between">
      <formula>10.1</formula>
      <formula>10.6</formula>
    </cfRule>
    <cfRule type="cellIs" dxfId="575" priority="740" operator="between">
      <formula>6</formula>
      <formula>6.9</formula>
    </cfRule>
    <cfRule type="cellIs" dxfId="574" priority="745" stopIfTrue="1" operator="between">
      <formula>10</formula>
      <formula>10</formula>
    </cfRule>
    <cfRule type="containsBlanks" dxfId="573" priority="746" stopIfTrue="1">
      <formula>LEN(TRIM(H166))=0</formula>
    </cfRule>
  </conditionalFormatting>
  <conditionalFormatting sqref="H177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72" priority="693" operator="between">
      <formula>7</formula>
      <formula>7.9</formula>
    </cfRule>
    <cfRule type="cellIs" dxfId="571" priority="694" stopIfTrue="1" operator="between">
      <formula>8</formula>
      <formula>8.9</formula>
    </cfRule>
    <cfRule type="cellIs" dxfId="570" priority="695" operator="between">
      <formula>9</formula>
      <formula>9.9</formula>
    </cfRule>
    <cfRule type="cellIs" dxfId="569" priority="696" stopIfTrue="1" operator="between">
      <formula>10</formula>
      <formula>10</formula>
    </cfRule>
    <cfRule type="containsBlanks" dxfId="568" priority="697" stopIfTrue="1">
      <formula>LEN(TRIM(H178))=0</formula>
    </cfRule>
    <cfRule type="cellIs" dxfId="567" priority="691" operator="between">
      <formula>6</formula>
      <formula>6.9</formula>
    </cfRule>
    <cfRule type="cellIs" dxfId="566" priority="692" operator="between">
      <formula>10.1</formula>
      <formula>10.6</formula>
    </cfRule>
  </conditionalFormatting>
  <conditionalFormatting sqref="H191">
    <cfRule type="colorScale" priority="639">
      <colorScale>
        <cfvo type="num" val="5"/>
        <cfvo type="num" val="10"/>
        <color rgb="FFFF494D"/>
        <color rgb="FF00FF66"/>
      </colorScale>
    </cfRule>
    <cfRule type="colorScale" priority="6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565" priority="634" stopIfTrue="1" operator="between">
      <formula>8</formula>
      <formula>8.9</formula>
    </cfRule>
    <cfRule type="cellIs" dxfId="564" priority="633" operator="between">
      <formula>7</formula>
      <formula>7.9</formula>
    </cfRule>
    <cfRule type="containsBlanks" dxfId="563" priority="637" stopIfTrue="1">
      <formula>LEN(TRIM(H192))=0</formula>
    </cfRule>
    <cfRule type="cellIs" dxfId="562" priority="631" operator="between">
      <formula>6</formula>
      <formula>6.9</formula>
    </cfRule>
    <cfRule type="cellIs" dxfId="561" priority="635" operator="between">
      <formula>9</formula>
      <formula>9.9</formula>
    </cfRule>
    <cfRule type="cellIs" dxfId="560" priority="632" operator="between">
      <formula>10.1</formula>
      <formula>10.6</formula>
    </cfRule>
    <cfRule type="cellIs" dxfId="559" priority="636" stopIfTrue="1" operator="between">
      <formula>10</formula>
      <formula>10</formula>
    </cfRule>
  </conditionalFormatting>
  <conditionalFormatting sqref="H202">
    <cfRule type="colorScale" priority="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558" priority="593" operator="between">
      <formula>10.1</formula>
      <formula>11</formula>
    </cfRule>
    <cfRule type="cellIs" dxfId="557" priority="597" stopIfTrue="1" operator="between">
      <formula>10</formula>
      <formula>10</formula>
    </cfRule>
    <cfRule type="containsBlanks" dxfId="556" priority="598" stopIfTrue="1">
      <formula>LEN(TRIM(H203))=0</formula>
    </cfRule>
    <cfRule type="cellIs" dxfId="555" priority="595" stopIfTrue="1" operator="between">
      <formula>8</formula>
      <formula>8.9</formula>
    </cfRule>
    <cfRule type="cellIs" dxfId="554" priority="596" operator="between">
      <formula>9</formula>
      <formula>9.9</formula>
    </cfRule>
    <cfRule type="cellIs" dxfId="553" priority="594" operator="between">
      <formula>7</formula>
      <formula>7.9</formula>
    </cfRule>
    <cfRule type="cellIs" dxfId="552" priority="592" operator="between">
      <formula>6</formula>
      <formula>6.9</formula>
    </cfRule>
  </conditionalFormatting>
  <conditionalFormatting sqref="H215"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551" priority="545" operator="between">
      <formula>9</formula>
      <formula>9.9</formula>
    </cfRule>
    <cfRule type="cellIs" dxfId="550" priority="543" operator="between">
      <formula>7</formula>
      <formula>7.9</formula>
    </cfRule>
    <cfRule type="cellIs" dxfId="549" priority="544" stopIfTrue="1" operator="between">
      <formula>8</formula>
      <formula>8.9</formula>
    </cfRule>
    <cfRule type="cellIs" dxfId="548" priority="542" operator="between">
      <formula>10.1</formula>
      <formula>10.6</formula>
    </cfRule>
    <cfRule type="cellIs" dxfId="547" priority="541" operator="between">
      <formula>6</formula>
      <formula>6.9</formula>
    </cfRule>
    <cfRule type="containsBlanks" dxfId="546" priority="547" stopIfTrue="1">
      <formula>LEN(TRIM(H216))=0</formula>
    </cfRule>
    <cfRule type="cellIs" dxfId="545" priority="546" stopIfTrue="1" operator="between">
      <formula>10</formula>
      <formula>10</formula>
    </cfRule>
  </conditionalFormatting>
  <conditionalFormatting sqref="H229">
    <cfRule type="colorScale" priority="509">
      <colorScale>
        <cfvo type="num" val="5"/>
        <cfvo type="num" val="10"/>
        <color rgb="FFFF494D"/>
        <color rgb="FF00FF66"/>
      </colorScale>
    </cfRule>
    <cfRule type="colorScale" priority="5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544" priority="502" operator="between">
      <formula>10.1</formula>
      <formula>10.6</formula>
    </cfRule>
    <cfRule type="cellIs" dxfId="543" priority="501" operator="between">
      <formula>6</formula>
      <formula>6.9</formula>
    </cfRule>
    <cfRule type="cellIs" dxfId="542" priority="503" operator="between">
      <formula>7</formula>
      <formula>7.9</formula>
    </cfRule>
    <cfRule type="cellIs" dxfId="541" priority="505" operator="between">
      <formula>9</formula>
      <formula>9.9</formula>
    </cfRule>
    <cfRule type="cellIs" dxfId="540" priority="506" stopIfTrue="1" operator="between">
      <formula>10</formula>
      <formula>10</formula>
    </cfRule>
    <cfRule type="cellIs" dxfId="539" priority="504" stopIfTrue="1" operator="between">
      <formula>8</formula>
      <formula>8.9</formula>
    </cfRule>
    <cfRule type="containsBlanks" dxfId="538" priority="507" stopIfTrue="1">
      <formula>LEN(TRIM(H230))=0</formula>
    </cfRule>
  </conditionalFormatting>
  <conditionalFormatting sqref="H246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ontainsBlanks" dxfId="537" priority="457" stopIfTrue="1">
      <formula>LEN(TRIM(H247))=0</formula>
    </cfRule>
    <cfRule type="cellIs" dxfId="536" priority="451" operator="between">
      <formula>6</formula>
      <formula>6.9</formula>
    </cfRule>
    <cfRule type="cellIs" dxfId="535" priority="453" operator="between">
      <formula>7</formula>
      <formula>7.9</formula>
    </cfRule>
    <cfRule type="cellIs" dxfId="534" priority="454" stopIfTrue="1" operator="between">
      <formula>8</formula>
      <formula>8.9</formula>
    </cfRule>
    <cfRule type="cellIs" dxfId="533" priority="452" operator="between">
      <formula>10.1</formula>
      <formula>10.6</formula>
    </cfRule>
    <cfRule type="cellIs" dxfId="532" priority="455" operator="between">
      <formula>9</formula>
      <formula>9.9</formula>
    </cfRule>
    <cfRule type="cellIs" dxfId="531" priority="456" stopIfTrue="1" operator="between">
      <formula>10</formula>
      <formula>10</formula>
    </cfRule>
  </conditionalFormatting>
  <conditionalFormatting sqref="H258">
    <cfRule type="colorScale" priority="410">
      <colorScale>
        <cfvo type="num" val="5"/>
        <cfvo type="num" val="10"/>
        <color rgb="FFFF494D"/>
        <color rgb="FF00FF66"/>
      </colorScale>
    </cfRule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530" priority="417" stopIfTrue="1">
      <formula>LEN(TRIM(H259))=0</formula>
    </cfRule>
    <cfRule type="cellIs" dxfId="529" priority="411" operator="between">
      <formula>6</formula>
      <formula>6.9</formula>
    </cfRule>
    <cfRule type="cellIs" dxfId="528" priority="412" operator="between">
      <formula>10.1</formula>
      <formula>10.6</formula>
    </cfRule>
    <cfRule type="cellIs" dxfId="527" priority="416" stopIfTrue="1" operator="between">
      <formula>10</formula>
      <formula>10</formula>
    </cfRule>
    <cfRule type="cellIs" dxfId="526" priority="415" operator="between">
      <formula>9</formula>
      <formula>9.9</formula>
    </cfRule>
    <cfRule type="cellIs" dxfId="525" priority="414" stopIfTrue="1" operator="between">
      <formula>8</formula>
      <formula>8.9</formula>
    </cfRule>
    <cfRule type="cellIs" dxfId="524" priority="413" operator="between">
      <formula>7</formula>
      <formula>7.9</formula>
    </cfRule>
  </conditionalFormatting>
  <conditionalFormatting sqref="H265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23" priority="376" stopIfTrue="1" operator="between">
      <formula>8</formula>
      <formula>8.9</formula>
    </cfRule>
    <cfRule type="cellIs" dxfId="522" priority="377" operator="between">
      <formula>9</formula>
      <formula>9.9</formula>
    </cfRule>
    <cfRule type="cellIs" dxfId="521" priority="374" operator="between">
      <formula>10.1</formula>
      <formula>10.6</formula>
    </cfRule>
    <cfRule type="cellIs" dxfId="520" priority="375" operator="between">
      <formula>7</formula>
      <formula>7.9</formula>
    </cfRule>
    <cfRule type="containsBlanks" dxfId="519" priority="379" stopIfTrue="1">
      <formula>LEN(TRIM(H266))=0</formula>
    </cfRule>
    <cfRule type="cellIs" dxfId="518" priority="378" stopIfTrue="1" operator="between">
      <formula>10</formula>
      <formula>10</formula>
    </cfRule>
    <cfRule type="cellIs" dxfId="517" priority="373" operator="between">
      <formula>6</formula>
      <formula>6.9</formula>
    </cfRule>
  </conditionalFormatting>
  <conditionalFormatting sqref="H276"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516" priority="350" operator="between">
      <formula>10.1</formula>
      <formula>10.6</formula>
    </cfRule>
    <cfRule type="cellIs" dxfId="515" priority="349" operator="between">
      <formula>6</formula>
      <formula>6.9</formula>
    </cfRule>
    <cfRule type="cellIs" dxfId="514" priority="352" stopIfTrue="1" operator="between">
      <formula>8</formula>
      <formula>8.9</formula>
    </cfRule>
    <cfRule type="cellIs" dxfId="513" priority="353" operator="between">
      <formula>9</formula>
      <formula>9.9</formula>
    </cfRule>
    <cfRule type="cellIs" dxfId="512" priority="354" stopIfTrue="1" operator="between">
      <formula>10</formula>
      <formula>10</formula>
    </cfRule>
    <cfRule type="containsBlanks" dxfId="511" priority="355" stopIfTrue="1">
      <formula>LEN(TRIM(H277))=0</formula>
    </cfRule>
    <cfRule type="cellIs" dxfId="510" priority="351" operator="between">
      <formula>7</formula>
      <formula>7.9</formula>
    </cfRule>
  </conditionalFormatting>
  <conditionalFormatting sqref="H288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09" priority="274" operator="between">
      <formula>6</formula>
      <formula>6.9</formula>
    </cfRule>
    <cfRule type="cellIs" dxfId="508" priority="275" operator="between">
      <formula>10.1</formula>
      <formula>10.6</formula>
    </cfRule>
    <cfRule type="cellIs" dxfId="507" priority="277" stopIfTrue="1" operator="between">
      <formula>8</formula>
      <formula>8.9</formula>
    </cfRule>
    <cfRule type="cellIs" dxfId="506" priority="278" operator="between">
      <formula>9</formula>
      <formula>9.9</formula>
    </cfRule>
    <cfRule type="containsBlanks" dxfId="505" priority="280" stopIfTrue="1">
      <formula>LEN(TRIM(H289))=0</formula>
    </cfRule>
    <cfRule type="cellIs" dxfId="504" priority="276" operator="between">
      <formula>7</formula>
      <formula>7.9</formula>
    </cfRule>
    <cfRule type="cellIs" dxfId="503" priority="279" stopIfTrue="1" operator="between">
      <formula>10</formula>
      <formula>10</formula>
    </cfRule>
  </conditionalFormatting>
  <conditionalFormatting sqref="H296">
    <cfRule type="colorScale" priority="273">
      <colorScale>
        <cfvo type="num" val="5"/>
        <cfvo type="num" val="10"/>
        <color rgb="FFFF494D"/>
        <color rgb="FF00FF66"/>
      </colorScale>
    </cfRule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502" priority="271" stopIfTrue="1" operator="between">
      <formula>10</formula>
      <formula>10</formula>
    </cfRule>
    <cfRule type="cellIs" dxfId="501" priority="270" operator="between">
      <formula>9</formula>
      <formula>9.9</formula>
    </cfRule>
    <cfRule type="cellIs" dxfId="500" priority="269" stopIfTrue="1" operator="between">
      <formula>8</formula>
      <formula>8.9</formula>
    </cfRule>
    <cfRule type="cellIs" dxfId="499" priority="268" operator="between">
      <formula>7</formula>
      <formula>7.9</formula>
    </cfRule>
    <cfRule type="cellIs" dxfId="498" priority="267" operator="between">
      <formula>10.1</formula>
      <formula>10.6</formula>
    </cfRule>
    <cfRule type="containsBlanks" dxfId="497" priority="263" stopIfTrue="1">
      <formula>LEN(TRIM(H297))=0</formula>
    </cfRule>
    <cfRule type="cellIs" dxfId="496" priority="264" operator="lessThan">
      <formula>2</formula>
    </cfRule>
    <cfRule type="cellIs" dxfId="495" priority="265" operator="between">
      <formula>2</formula>
      <formula>4.9</formula>
    </cfRule>
    <cfRule type="cellIs" dxfId="494" priority="266" operator="between">
      <formula>5</formula>
      <formula>6.9</formula>
    </cfRule>
  </conditionalFormatting>
  <conditionalFormatting sqref="H309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493" priority="197" operator="between">
      <formula>9</formula>
      <formula>9.9</formula>
    </cfRule>
    <cfRule type="cellIs" dxfId="492" priority="194" operator="between">
      <formula>10.1</formula>
      <formula>10.6</formula>
    </cfRule>
    <cfRule type="containsBlanks" dxfId="491" priority="190" stopIfTrue="1">
      <formula>LEN(TRIM(H310))=0</formula>
    </cfRule>
    <cfRule type="cellIs" dxfId="490" priority="193" operator="between">
      <formula>5</formula>
      <formula>6.9</formula>
    </cfRule>
    <cfRule type="cellIs" dxfId="489" priority="191" operator="lessThan">
      <formula>2</formula>
    </cfRule>
    <cfRule type="cellIs" dxfId="488" priority="196" stopIfTrue="1" operator="between">
      <formula>8</formula>
      <formula>8.9</formula>
    </cfRule>
    <cfRule type="cellIs" dxfId="487" priority="192" operator="between">
      <formula>2</formula>
      <formula>4.9</formula>
    </cfRule>
    <cfRule type="cellIs" dxfId="486" priority="195" operator="between">
      <formula>7</formula>
      <formula>7.9</formula>
    </cfRule>
    <cfRule type="cellIs" dxfId="485" priority="198" stopIfTrue="1" operator="between">
      <formula>10</formula>
      <formula>10</formula>
    </cfRule>
  </conditionalFormatting>
  <conditionalFormatting sqref="H329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484" priority="96" operator="between">
      <formula>7</formula>
      <formula>7.9</formula>
    </cfRule>
    <cfRule type="cellIs" dxfId="483" priority="97" stopIfTrue="1" operator="between">
      <formula>8</formula>
      <formula>8.9</formula>
    </cfRule>
    <cfRule type="cellIs" dxfId="482" priority="98" operator="between">
      <formula>9</formula>
      <formula>9.9</formula>
    </cfRule>
    <cfRule type="cellIs" dxfId="481" priority="99" stopIfTrue="1" operator="between">
      <formula>10</formula>
      <formula>10</formula>
    </cfRule>
    <cfRule type="cellIs" dxfId="480" priority="94" operator="between">
      <formula>5</formula>
      <formula>6.9</formula>
    </cfRule>
    <cfRule type="containsBlanks" dxfId="479" priority="91" stopIfTrue="1">
      <formula>LEN(TRIM(H330))=0</formula>
    </cfRule>
    <cfRule type="cellIs" dxfId="478" priority="92" operator="lessThan">
      <formula>2</formula>
    </cfRule>
    <cfRule type="cellIs" dxfId="477" priority="93" operator="between">
      <formula>2</formula>
      <formula>4.9</formula>
    </cfRule>
    <cfRule type="cellIs" dxfId="476" priority="95" operator="between">
      <formula>10.1</formula>
      <formula>10.6</formula>
    </cfRule>
  </conditionalFormatting>
  <conditionalFormatting sqref="H339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475" priority="74" operator="between">
      <formula>5</formula>
      <formula>6.9</formula>
    </cfRule>
    <cfRule type="cellIs" dxfId="474" priority="75" operator="between">
      <formula>10.1</formula>
      <formula>10.6</formula>
    </cfRule>
    <cfRule type="containsBlanks" dxfId="473" priority="71" stopIfTrue="1">
      <formula>LEN(TRIM(H340))=0</formula>
    </cfRule>
    <cfRule type="cellIs" dxfId="472" priority="79" stopIfTrue="1" operator="between">
      <formula>10</formula>
      <formula>10</formula>
    </cfRule>
    <cfRule type="cellIs" dxfId="471" priority="78" operator="between">
      <formula>9</formula>
      <formula>9.9</formula>
    </cfRule>
    <cfRule type="cellIs" dxfId="470" priority="77" stopIfTrue="1" operator="between">
      <formula>8</formula>
      <formula>8.9</formula>
    </cfRule>
    <cfRule type="cellIs" dxfId="469" priority="76" operator="between">
      <formula>7</formula>
      <formula>7.9</formula>
    </cfRule>
    <cfRule type="cellIs" dxfId="468" priority="73" operator="between">
      <formula>2</formula>
      <formula>4.9</formula>
    </cfRule>
    <cfRule type="cellIs" dxfId="467" priority="72" operator="lessThan">
      <formula>2</formula>
    </cfRule>
  </conditionalFormatting>
  <conditionalFormatting sqref="H353"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466" priority="39" operator="lessThan">
      <formula>2</formula>
    </cfRule>
    <cfRule type="containsBlanks" dxfId="465" priority="38" stopIfTrue="1">
      <formula>LEN(TRIM(H354))=0</formula>
    </cfRule>
    <cfRule type="cellIs" dxfId="464" priority="40" operator="between">
      <formula>2</formula>
      <formula>4.9</formula>
    </cfRule>
    <cfRule type="cellIs" dxfId="463" priority="41" operator="between">
      <formula>5</formula>
      <formula>6.9</formula>
    </cfRule>
    <cfRule type="cellIs" dxfId="462" priority="42" operator="between">
      <formula>10.1</formula>
      <formula>10.6</formula>
    </cfRule>
    <cfRule type="cellIs" dxfId="461" priority="43" operator="between">
      <formula>7</formula>
      <formula>7.9</formula>
    </cfRule>
    <cfRule type="cellIs" dxfId="460" priority="45" operator="between">
      <formula>9</formula>
      <formula>9.9</formula>
    </cfRule>
    <cfRule type="cellIs" dxfId="459" priority="46" stopIfTrue="1" operator="between">
      <formula>10</formula>
      <formula>10</formula>
    </cfRule>
    <cfRule type="cellIs" dxfId="458" priority="44" stopIfTrue="1" operator="between">
      <formula>8</formula>
      <formula>8.9</formula>
    </cfRule>
  </conditionalFormatting>
  <conditionalFormatting sqref="K3:K12">
    <cfRule type="containsBlanks" dxfId="457" priority="1265" stopIfTrue="1">
      <formula>LEN(TRIM(K3))=0</formula>
    </cfRule>
    <cfRule type="cellIs" dxfId="456" priority="1261" operator="between">
      <formula>7</formula>
      <formula>7.9</formula>
    </cfRule>
    <cfRule type="cellIs" dxfId="455" priority="1262" stopIfTrue="1" operator="between">
      <formula>8</formula>
      <formula>8.9</formula>
    </cfRule>
    <cfRule type="cellIs" dxfId="454" priority="1260" operator="between">
      <formula>10.1</formula>
      <formula>10.6</formula>
    </cfRule>
    <cfRule type="cellIs" dxfId="453" priority="1263" operator="between">
      <formula>9</formula>
      <formula>9.9</formula>
    </cfRule>
    <cfRule type="cellIs" dxfId="452" priority="1264" stopIfTrue="1" operator="between">
      <formula>10</formula>
      <formula>10</formula>
    </cfRule>
  </conditionalFormatting>
  <conditionalFormatting sqref="K15:K23">
    <cfRule type="cellIs" dxfId="451" priority="671" stopIfTrue="1" operator="between">
      <formula>10</formula>
      <formula>10</formula>
    </cfRule>
    <cfRule type="cellIs" dxfId="450" priority="668" operator="between">
      <formula>7</formula>
      <formula>7.9</formula>
    </cfRule>
    <cfRule type="cellIs" dxfId="449" priority="670" operator="between">
      <formula>9</formula>
      <formula>9.9</formula>
    </cfRule>
    <cfRule type="cellIs" dxfId="448" priority="669" stopIfTrue="1" operator="between">
      <formula>8</formula>
      <formula>8.9</formula>
    </cfRule>
  </conditionalFormatting>
  <conditionalFormatting sqref="K23">
    <cfRule type="cellIs" dxfId="447" priority="667" operator="between">
      <formula>10.1</formula>
      <formula>10.6</formula>
    </cfRule>
    <cfRule type="containsBlanks" dxfId="446" priority="672" stopIfTrue="1">
      <formula>LEN(TRIM(K23))=0</formula>
    </cfRule>
  </conditionalFormatting>
  <conditionalFormatting sqref="K26:K38">
    <cfRule type="cellIs" dxfId="445" priority="1298" stopIfTrue="1" operator="between">
      <formula>10</formula>
      <formula>10</formula>
    </cfRule>
    <cfRule type="cellIs" dxfId="444" priority="1297" operator="between">
      <formula>9</formula>
      <formula>9.9</formula>
    </cfRule>
    <cfRule type="cellIs" dxfId="443" priority="1296" stopIfTrue="1" operator="between">
      <formula>8</formula>
      <formula>8.9</formula>
    </cfRule>
    <cfRule type="containsBlanks" dxfId="442" priority="1299" stopIfTrue="1">
      <formula>LEN(TRIM(K26))=0</formula>
    </cfRule>
    <cfRule type="cellIs" dxfId="441" priority="1295" operator="between">
      <formula>7</formula>
      <formula>7.9</formula>
    </cfRule>
  </conditionalFormatting>
  <conditionalFormatting sqref="K40">
    <cfRule type="colorScale" priority="1618">
      <colorScale>
        <cfvo type="num" val="5"/>
        <cfvo type="num" val="10"/>
        <color rgb="FFFF494D"/>
        <color rgb="FF00FF66"/>
      </colorScale>
    </cfRule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440" priority="1201" operator="between">
      <formula>7</formula>
      <formula>7.9</formula>
    </cfRule>
    <cfRule type="cellIs" dxfId="439" priority="1202" stopIfTrue="1" operator="between">
      <formula>8</formula>
      <formula>8.9</formula>
    </cfRule>
    <cfRule type="cellIs" dxfId="438" priority="1203" operator="between">
      <formula>9</formula>
      <formula>9.9</formula>
    </cfRule>
    <cfRule type="containsBlanks" dxfId="437" priority="1205" stopIfTrue="1">
      <formula>LEN(TRIM(K41))=0</formula>
    </cfRule>
    <cfRule type="cellIs" dxfId="436" priority="1204" stopIfTrue="1" operator="between">
      <formula>10</formula>
      <formula>10</formula>
    </cfRule>
    <cfRule type="cellIs" dxfId="435" priority="1200" operator="between">
      <formula>10.1</formula>
      <formula>10.6</formula>
    </cfRule>
  </conditionalFormatting>
  <conditionalFormatting sqref="K54">
    <cfRule type="colorScale" priority="1169">
      <colorScale>
        <cfvo type="num" val="5"/>
        <cfvo type="num" val="10"/>
        <color rgb="FFFF494D"/>
        <color rgb="FF00FF66"/>
      </colorScale>
    </cfRule>
    <cfRule type="colorScale" priority="11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434" priority="1165" operator="between">
      <formula>9</formula>
      <formula>9.9</formula>
    </cfRule>
    <cfRule type="cellIs" dxfId="433" priority="1162" operator="between">
      <formula>10.1</formula>
      <formula>10.6</formula>
    </cfRule>
    <cfRule type="cellIs" dxfId="432" priority="1163" operator="between">
      <formula>7</formula>
      <formula>7.9</formula>
    </cfRule>
    <cfRule type="cellIs" dxfId="431" priority="1164" stopIfTrue="1" operator="between">
      <formula>8</formula>
      <formula>8.9</formula>
    </cfRule>
    <cfRule type="cellIs" dxfId="430" priority="1166" stopIfTrue="1" operator="between">
      <formula>10</formula>
      <formula>10</formula>
    </cfRule>
    <cfRule type="containsBlanks" dxfId="429" priority="1167" stopIfTrue="1">
      <formula>LEN(TRIM(K55))=0</formula>
    </cfRule>
  </conditionalFormatting>
  <conditionalFormatting sqref="K66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428" priority="1137" stopIfTrue="1" operator="between">
      <formula>8</formula>
      <formula>8.9</formula>
    </cfRule>
    <cfRule type="containsBlanks" dxfId="427" priority="1140" stopIfTrue="1">
      <formula>LEN(TRIM(K67))=0</formula>
    </cfRule>
    <cfRule type="cellIs" dxfId="426" priority="1135" operator="between">
      <formula>10.1</formula>
      <formula>10.6</formula>
    </cfRule>
    <cfRule type="cellIs" dxfId="425" priority="1139" stopIfTrue="1" operator="between">
      <formula>10</formula>
      <formula>10</formula>
    </cfRule>
    <cfRule type="cellIs" dxfId="424" priority="1136" operator="between">
      <formula>7</formula>
      <formula>7.9</formula>
    </cfRule>
    <cfRule type="cellIs" dxfId="423" priority="1138" operator="between">
      <formula>9</formula>
      <formula>9.9</formula>
    </cfRule>
  </conditionalFormatting>
  <conditionalFormatting sqref="K77"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22" priority="1083" operator="between">
      <formula>7</formula>
      <formula>7.9</formula>
    </cfRule>
    <cfRule type="cellIs" dxfId="421" priority="1082" operator="between">
      <formula>10.1</formula>
      <formula>10.6</formula>
    </cfRule>
    <cfRule type="cellIs" dxfId="420" priority="1086" stopIfTrue="1" operator="between">
      <formula>10</formula>
      <formula>10</formula>
    </cfRule>
    <cfRule type="cellIs" dxfId="419" priority="1084" stopIfTrue="1" operator="between">
      <formula>8</formula>
      <formula>8.9</formula>
    </cfRule>
    <cfRule type="containsBlanks" dxfId="418" priority="1087" stopIfTrue="1">
      <formula>LEN(TRIM(K78))=0</formula>
    </cfRule>
    <cfRule type="cellIs" dxfId="417" priority="1085" operator="between">
      <formula>9</formula>
      <formula>9.9</formula>
    </cfRule>
  </conditionalFormatting>
  <conditionalFormatting sqref="K90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416" priority="1039" stopIfTrue="1" operator="between">
      <formula>8</formula>
      <formula>8.9</formula>
    </cfRule>
    <cfRule type="cellIs" dxfId="415" priority="1037" operator="between">
      <formula>10.1</formula>
      <formula>10.6</formula>
    </cfRule>
    <cfRule type="cellIs" dxfId="414" priority="1038" operator="between">
      <formula>7</formula>
      <formula>7.9</formula>
    </cfRule>
    <cfRule type="cellIs" dxfId="413" priority="1040" operator="between">
      <formula>9</formula>
      <formula>9.9</formula>
    </cfRule>
    <cfRule type="cellIs" dxfId="412" priority="1041" stopIfTrue="1" operator="between">
      <formula>10</formula>
      <formula>10</formula>
    </cfRule>
    <cfRule type="containsBlanks" dxfId="411" priority="1042" stopIfTrue="1">
      <formula>LEN(TRIM(K91))=0</formula>
    </cfRule>
  </conditionalFormatting>
  <conditionalFormatting sqref="K98">
    <cfRule type="colorScale" priority="1002">
      <colorScale>
        <cfvo type="num" val="5"/>
        <cfvo type="num" val="10"/>
        <color rgb="FFFF494D"/>
        <color rgb="FF00FF66"/>
      </colorScale>
    </cfRule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410" priority="1008" stopIfTrue="1" operator="between">
      <formula>10</formula>
      <formula>10</formula>
    </cfRule>
    <cfRule type="containsBlanks" dxfId="409" priority="1009" stopIfTrue="1">
      <formula>LEN(TRIM(K99))=0</formula>
    </cfRule>
    <cfRule type="cellIs" dxfId="408" priority="1007" operator="between">
      <formula>9</formula>
      <formula>9.9</formula>
    </cfRule>
    <cfRule type="cellIs" dxfId="407" priority="1006" stopIfTrue="1" operator="between">
      <formula>8</formula>
      <formula>8.9</formula>
    </cfRule>
    <cfRule type="cellIs" dxfId="406" priority="1004" operator="between">
      <formula>10.1</formula>
      <formula>10.6</formula>
    </cfRule>
    <cfRule type="cellIs" dxfId="405" priority="1005" operator="between">
      <formula>7</formula>
      <formula>7.9</formula>
    </cfRule>
    <cfRule type="cellIs" dxfId="404" priority="1003" operator="between">
      <formula>6</formula>
      <formula>6.9</formula>
    </cfRule>
  </conditionalFormatting>
  <conditionalFormatting sqref="K111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403" priority="958" stopIfTrue="1" operator="between">
      <formula>8</formula>
      <formula>8.9</formula>
    </cfRule>
    <cfRule type="containsBlanks" dxfId="402" priority="961" stopIfTrue="1">
      <formula>LEN(TRIM(K112))=0</formula>
    </cfRule>
    <cfRule type="cellIs" dxfId="401" priority="960" stopIfTrue="1" operator="between">
      <formula>10</formula>
      <formula>10</formula>
    </cfRule>
    <cfRule type="cellIs" dxfId="400" priority="959" operator="between">
      <formula>9</formula>
      <formula>9.9</formula>
    </cfRule>
    <cfRule type="cellIs" dxfId="399" priority="957" operator="between">
      <formula>7</formula>
      <formula>7.9</formula>
    </cfRule>
    <cfRule type="cellIs" dxfId="398" priority="956" operator="between">
      <formula>10.1</formula>
      <formula>10.6</formula>
    </cfRule>
  </conditionalFormatting>
  <conditionalFormatting sqref="K114">
    <cfRule type="cellIs" dxfId="397" priority="955" operator="between">
      <formula>6</formula>
      <formula>6.9</formula>
    </cfRule>
  </conditionalFormatting>
  <conditionalFormatting sqref="K124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96" priority="916" operator="between">
      <formula>9</formula>
      <formula>9.9</formula>
    </cfRule>
    <cfRule type="cellIs" dxfId="395" priority="917" stopIfTrue="1" operator="between">
      <formula>10</formula>
      <formula>10</formula>
    </cfRule>
    <cfRule type="containsBlanks" dxfId="394" priority="918" stopIfTrue="1">
      <formula>LEN(TRIM(K125))=0</formula>
    </cfRule>
    <cfRule type="cellIs" dxfId="393" priority="914" operator="between">
      <formula>7</formula>
      <formula>7.9</formula>
    </cfRule>
    <cfRule type="cellIs" dxfId="392" priority="915" stopIfTrue="1" operator="between">
      <formula>8</formula>
      <formula>8.9</formula>
    </cfRule>
    <cfRule type="cellIs" dxfId="391" priority="913" operator="between">
      <formula>10.1</formula>
      <formula>10.6</formula>
    </cfRule>
  </conditionalFormatting>
  <conditionalFormatting sqref="K125:K134">
    <cfRule type="containsBlanks" dxfId="390" priority="912" stopIfTrue="1">
      <formula>LEN(TRIM(K125))=0</formula>
    </cfRule>
    <cfRule type="cellIs" dxfId="389" priority="911" stopIfTrue="1" operator="between">
      <formula>10</formula>
      <formula>10</formula>
    </cfRule>
    <cfRule type="cellIs" dxfId="388" priority="909" stopIfTrue="1" operator="between">
      <formula>8</formula>
      <formula>8.9</formula>
    </cfRule>
    <cfRule type="cellIs" dxfId="387" priority="910" operator="between">
      <formula>9</formula>
      <formula>9.9</formula>
    </cfRule>
    <cfRule type="cellIs" dxfId="386" priority="906" operator="between">
      <formula>6</formula>
      <formula>6.9</formula>
    </cfRule>
    <cfRule type="cellIs" dxfId="385" priority="907" operator="between">
      <formula>10.1</formula>
      <formula>10.6</formula>
    </cfRule>
    <cfRule type="cellIs" dxfId="384" priority="908" operator="between">
      <formula>7</formula>
      <formula>7.9</formula>
    </cfRule>
  </conditionalFormatting>
  <conditionalFormatting sqref="K136">
    <cfRule type="colorScale" priority="847">
      <colorScale>
        <cfvo type="num" val="5"/>
        <cfvo type="num" val="10"/>
        <color rgb="FFFF494D"/>
        <color rgb="FF00FF66"/>
      </colorScale>
    </cfRule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383" priority="854" stopIfTrue="1">
      <formula>LEN(TRIM(K137))=0</formula>
    </cfRule>
    <cfRule type="cellIs" dxfId="382" priority="853" stopIfTrue="1" operator="between">
      <formula>10</formula>
      <formula>10</formula>
    </cfRule>
    <cfRule type="cellIs" dxfId="381" priority="852" operator="between">
      <formula>9</formula>
      <formula>9.9</formula>
    </cfRule>
    <cfRule type="cellIs" dxfId="380" priority="851" stopIfTrue="1" operator="between">
      <formula>8</formula>
      <formula>8.9</formula>
    </cfRule>
    <cfRule type="cellIs" dxfId="379" priority="849" operator="between">
      <formula>10.1</formula>
      <formula>10.6</formula>
    </cfRule>
    <cfRule type="cellIs" dxfId="378" priority="848" operator="between">
      <formula>6</formula>
      <formula>6.9</formula>
    </cfRule>
    <cfRule type="cellIs" dxfId="377" priority="850" operator="between">
      <formula>7</formula>
      <formula>7.9</formula>
    </cfRule>
  </conditionalFormatting>
  <conditionalFormatting sqref="K149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76" priority="788" stopIfTrue="1" operator="between">
      <formula>8</formula>
      <formula>8.9</formula>
    </cfRule>
    <cfRule type="cellIs" dxfId="375" priority="785" operator="between">
      <formula>6</formula>
      <formula>6.9</formula>
    </cfRule>
    <cfRule type="cellIs" dxfId="374" priority="786" operator="between">
      <formula>10.1</formula>
      <formula>10.6</formula>
    </cfRule>
    <cfRule type="cellIs" dxfId="373" priority="787" operator="between">
      <formula>7</formula>
      <formula>7.9</formula>
    </cfRule>
    <cfRule type="cellIs" dxfId="372" priority="789" operator="between">
      <formula>9</formula>
      <formula>9.9</formula>
    </cfRule>
    <cfRule type="cellIs" dxfId="371" priority="790" stopIfTrue="1" operator="between">
      <formula>10</formula>
      <formula>10</formula>
    </cfRule>
    <cfRule type="containsBlanks" dxfId="370" priority="791" stopIfTrue="1">
      <formula>LEN(TRIM(K150))=0</formula>
    </cfRule>
  </conditionalFormatting>
  <conditionalFormatting sqref="K165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69" priority="731" operator="between">
      <formula>7</formula>
      <formula>7.9</formula>
    </cfRule>
    <cfRule type="cellIs" dxfId="368" priority="732" stopIfTrue="1" operator="between">
      <formula>8</formula>
      <formula>8.9</formula>
    </cfRule>
    <cfRule type="cellIs" dxfId="367" priority="734" stopIfTrue="1" operator="between">
      <formula>10</formula>
      <formula>10</formula>
    </cfRule>
    <cfRule type="containsBlanks" dxfId="366" priority="735" stopIfTrue="1">
      <formula>LEN(TRIM(K166))=0</formula>
    </cfRule>
    <cfRule type="cellIs" dxfId="365" priority="733" operator="between">
      <formula>9</formula>
      <formula>9.9</formula>
    </cfRule>
    <cfRule type="cellIs" dxfId="364" priority="729" operator="between">
      <formula>6</formula>
      <formula>6.9</formula>
    </cfRule>
    <cfRule type="cellIs" dxfId="363" priority="730" operator="between">
      <formula>10.1</formula>
      <formula>10.6</formula>
    </cfRule>
  </conditionalFormatting>
  <conditionalFormatting sqref="K175">
    <cfRule type="colorScale" priority="7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362" priority="708" stopIfTrue="1">
      <formula>LEN(TRIM(K176))=0</formula>
    </cfRule>
    <cfRule type="cellIs" dxfId="361" priority="707" stopIfTrue="1" operator="between">
      <formula>10</formula>
      <formula>10</formula>
    </cfRule>
    <cfRule type="cellIs" dxfId="360" priority="706" operator="between">
      <formula>9</formula>
      <formula>9.9</formula>
    </cfRule>
    <cfRule type="cellIs" dxfId="359" priority="705" stopIfTrue="1" operator="between">
      <formula>8</formula>
      <formula>8.9</formula>
    </cfRule>
    <cfRule type="cellIs" dxfId="358" priority="704" operator="between">
      <formula>7</formula>
      <formula>7.9</formula>
    </cfRule>
    <cfRule type="cellIs" dxfId="357" priority="702" operator="between">
      <formula>6</formula>
      <formula>6.9</formula>
    </cfRule>
    <cfRule type="cellIs" dxfId="356" priority="703" operator="between">
      <formula>10.1</formula>
      <formula>10.6</formula>
    </cfRule>
  </conditionalFormatting>
  <conditionalFormatting sqref="K182">
    <cfRule type="colorScale" priority="690">
      <colorScale>
        <cfvo type="num" val="5"/>
        <cfvo type="num" val="10"/>
        <color rgb="FFFF494D"/>
        <color rgb="FF00FF66"/>
      </colorScale>
    </cfRule>
    <cfRule type="colorScale" priority="6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355" priority="683" operator="between">
      <formula>10.1</formula>
      <formula>10.6</formula>
    </cfRule>
    <cfRule type="cellIs" dxfId="354" priority="684" operator="between">
      <formula>7</formula>
      <formula>7.9</formula>
    </cfRule>
    <cfRule type="cellIs" dxfId="353" priority="685" stopIfTrue="1" operator="between">
      <formula>8</formula>
      <formula>8.9</formula>
    </cfRule>
    <cfRule type="cellIs" dxfId="352" priority="686" operator="between">
      <formula>9</formula>
      <formula>9.9</formula>
    </cfRule>
    <cfRule type="cellIs" dxfId="351" priority="687" stopIfTrue="1" operator="between">
      <formula>10</formula>
      <formula>10</formula>
    </cfRule>
    <cfRule type="containsBlanks" dxfId="350" priority="688" stopIfTrue="1">
      <formula>LEN(TRIM(K183))=0</formula>
    </cfRule>
    <cfRule type="cellIs" dxfId="349" priority="682" operator="between">
      <formula>6</formula>
      <formula>6.9</formula>
    </cfRule>
  </conditionalFormatting>
  <conditionalFormatting sqref="K189">
    <cfRule type="colorScale" priority="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48" priority="647" stopIfTrue="1" operator="between">
      <formula>10</formula>
      <formula>10</formula>
    </cfRule>
    <cfRule type="containsBlanks" dxfId="347" priority="648" stopIfTrue="1">
      <formula>LEN(TRIM(K190))=0</formula>
    </cfRule>
    <cfRule type="cellIs" dxfId="346" priority="642" operator="between">
      <formula>6</formula>
      <formula>6.9</formula>
    </cfRule>
    <cfRule type="cellIs" dxfId="345" priority="646" operator="between">
      <formula>9</formula>
      <formula>9.9</formula>
    </cfRule>
    <cfRule type="cellIs" dxfId="344" priority="645" stopIfTrue="1" operator="between">
      <formula>8</formula>
      <formula>8.9</formula>
    </cfRule>
    <cfRule type="cellIs" dxfId="343" priority="644" operator="between">
      <formula>7</formula>
      <formula>7.9</formula>
    </cfRule>
    <cfRule type="cellIs" dxfId="342" priority="643" operator="between">
      <formula>10.1</formula>
      <formula>10.6</formula>
    </cfRule>
  </conditionalFormatting>
  <conditionalFormatting sqref="K199">
    <cfRule type="colorScale" priority="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41" priority="613" operator="between">
      <formula>6</formula>
      <formula>6.9</formula>
    </cfRule>
    <cfRule type="cellIs" dxfId="340" priority="614" operator="between">
      <formula>10.1</formula>
      <formula>10.6</formula>
    </cfRule>
    <cfRule type="cellIs" dxfId="339" priority="615" operator="between">
      <formula>7</formula>
      <formula>7.9</formula>
    </cfRule>
    <cfRule type="cellIs" dxfId="338" priority="616" stopIfTrue="1" operator="between">
      <formula>8</formula>
      <formula>8.9</formula>
    </cfRule>
    <cfRule type="cellIs" dxfId="337" priority="617" operator="between">
      <formula>9</formula>
      <formula>9.9</formula>
    </cfRule>
    <cfRule type="cellIs" dxfId="336" priority="618" stopIfTrue="1" operator="between">
      <formula>10</formula>
      <formula>10</formula>
    </cfRule>
    <cfRule type="containsBlanks" dxfId="335" priority="619" stopIfTrue="1">
      <formula>LEN(TRIM(K200))=0</formula>
    </cfRule>
  </conditionalFormatting>
  <conditionalFormatting sqref="K208"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34" priority="587" operator="between">
      <formula>9</formula>
      <formula>9.9</formula>
    </cfRule>
    <cfRule type="cellIs" dxfId="333" priority="586" stopIfTrue="1" operator="between">
      <formula>8</formula>
      <formula>8.9</formula>
    </cfRule>
    <cfRule type="cellIs" dxfId="332" priority="588" stopIfTrue="1" operator="between">
      <formula>10</formula>
      <formula>10</formula>
    </cfRule>
    <cfRule type="cellIs" dxfId="331" priority="585" operator="between">
      <formula>7</formula>
      <formula>7.9</formula>
    </cfRule>
    <cfRule type="containsBlanks" dxfId="330" priority="589" stopIfTrue="1">
      <formula>LEN(TRIM(K209))=0</formula>
    </cfRule>
    <cfRule type="cellIs" dxfId="329" priority="584" operator="between">
      <formula>10.1</formula>
      <formula>11</formula>
    </cfRule>
    <cfRule type="cellIs" dxfId="328" priority="583" operator="between">
      <formula>6</formula>
      <formula>6.9</formula>
    </cfRule>
  </conditionalFormatting>
  <conditionalFormatting sqref="K219">
    <cfRule type="colorScale" priority="538">
      <colorScale>
        <cfvo type="num" val="5"/>
        <cfvo type="num" val="10"/>
        <color rgb="FFFF494D"/>
        <color rgb="FF00FF66"/>
      </colorScale>
    </cfRule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27" priority="534" operator="between">
      <formula>9</formula>
      <formula>9.9</formula>
    </cfRule>
    <cfRule type="cellIs" dxfId="326" priority="533" stopIfTrue="1" operator="between">
      <formula>8</formula>
      <formula>8.9</formula>
    </cfRule>
    <cfRule type="cellIs" dxfId="325" priority="532" operator="between">
      <formula>7</formula>
      <formula>7.9</formula>
    </cfRule>
    <cfRule type="cellIs" dxfId="324" priority="531" operator="between">
      <formula>10.1</formula>
      <formula>10.6</formula>
    </cfRule>
    <cfRule type="cellIs" dxfId="323" priority="530" operator="between">
      <formula>6</formula>
      <formula>6.9</formula>
    </cfRule>
    <cfRule type="cellIs" dxfId="322" priority="535" stopIfTrue="1" operator="between">
      <formula>10</formula>
      <formula>10</formula>
    </cfRule>
    <cfRule type="containsBlanks" dxfId="321" priority="536" stopIfTrue="1">
      <formula>LEN(TRIM(K220))=0</formula>
    </cfRule>
  </conditionalFormatting>
  <conditionalFormatting sqref="K237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320" priority="468" operator="between">
      <formula>10.1</formula>
      <formula>10.6</formula>
    </cfRule>
    <cfRule type="containsBlanks" dxfId="319" priority="473" stopIfTrue="1">
      <formula>LEN(TRIM(K238))=0</formula>
    </cfRule>
    <cfRule type="cellIs" dxfId="318" priority="472" stopIfTrue="1" operator="between">
      <formula>10</formula>
      <formula>10</formula>
    </cfRule>
    <cfRule type="cellIs" dxfId="317" priority="471" operator="between">
      <formula>9</formula>
      <formula>9.9</formula>
    </cfRule>
    <cfRule type="cellIs" dxfId="316" priority="467" operator="between">
      <formula>6</formula>
      <formula>6.9</formula>
    </cfRule>
    <cfRule type="cellIs" dxfId="315" priority="470" stopIfTrue="1" operator="between">
      <formula>8</formula>
      <formula>8.9</formula>
    </cfRule>
    <cfRule type="cellIs" dxfId="314" priority="469" operator="between">
      <formula>7</formula>
      <formula>7.9</formula>
    </cfRule>
  </conditionalFormatting>
  <conditionalFormatting sqref="K252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13" priority="424" operator="between">
      <formula>7</formula>
      <formula>7.9</formula>
    </cfRule>
    <cfRule type="cellIs" dxfId="312" priority="425" stopIfTrue="1" operator="between">
      <formula>8</formula>
      <formula>8.9</formula>
    </cfRule>
    <cfRule type="cellIs" dxfId="311" priority="426" operator="between">
      <formula>9</formula>
      <formula>9.9</formula>
    </cfRule>
    <cfRule type="cellIs" dxfId="310" priority="427" stopIfTrue="1" operator="between">
      <formula>10</formula>
      <formula>10</formula>
    </cfRule>
    <cfRule type="containsBlanks" dxfId="309" priority="428" stopIfTrue="1">
      <formula>LEN(TRIM(K253))=0</formula>
    </cfRule>
    <cfRule type="cellIs" dxfId="308" priority="422" operator="between">
      <formula>6</formula>
      <formula>6.9</formula>
    </cfRule>
    <cfRule type="cellIs" dxfId="307" priority="423" operator="between">
      <formula>10.1</formula>
      <formula>10.6</formula>
    </cfRule>
  </conditionalFormatting>
  <conditionalFormatting sqref="K264">
    <cfRule type="colorScale" priority="392">
      <colorScale>
        <cfvo type="num" val="5"/>
        <cfvo type="num" val="10"/>
        <color rgb="FFFF494D"/>
        <color rgb="FF00FF66"/>
      </colorScale>
    </cfRule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306" priority="399" stopIfTrue="1">
      <formula>LEN(TRIM(K265))=0</formula>
    </cfRule>
    <cfRule type="cellIs" dxfId="305" priority="398" stopIfTrue="1" operator="between">
      <formula>10</formula>
      <formula>10</formula>
    </cfRule>
    <cfRule type="cellIs" dxfId="304" priority="397" operator="between">
      <formula>9</formula>
      <formula>9.9</formula>
    </cfRule>
    <cfRule type="cellIs" dxfId="303" priority="396" stopIfTrue="1" operator="between">
      <formula>8</formula>
      <formula>8.9</formula>
    </cfRule>
    <cfRule type="cellIs" dxfId="302" priority="395" operator="between">
      <formula>7</formula>
      <formula>7.9</formula>
    </cfRule>
    <cfRule type="cellIs" dxfId="301" priority="393" operator="between">
      <formula>6</formula>
      <formula>6.9</formula>
    </cfRule>
    <cfRule type="cellIs" dxfId="300" priority="394" operator="between">
      <formula>10.1</formula>
      <formula>10.6</formula>
    </cfRule>
  </conditionalFormatting>
  <conditionalFormatting sqref="K276">
    <cfRule type="colorScale" priority="348">
      <colorScale>
        <cfvo type="num" val="5"/>
        <cfvo type="num" val="10"/>
        <color rgb="FFFF494D"/>
        <color rgb="FF00FF66"/>
      </colorScale>
    </cfRule>
    <cfRule type="colorScale" priority="3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299" priority="341" operator="between">
      <formula>10.1</formula>
      <formula>10.6</formula>
    </cfRule>
    <cfRule type="cellIs" dxfId="298" priority="340" operator="between">
      <formula>6</formula>
      <formula>6.9</formula>
    </cfRule>
    <cfRule type="cellIs" dxfId="297" priority="345" stopIfTrue="1" operator="between">
      <formula>10</formula>
      <formula>10</formula>
    </cfRule>
    <cfRule type="containsBlanks" dxfId="296" priority="346" stopIfTrue="1">
      <formula>LEN(TRIM(K277))=0</formula>
    </cfRule>
    <cfRule type="cellIs" dxfId="295" priority="344" operator="between">
      <formula>9</formula>
      <formula>9.9</formula>
    </cfRule>
    <cfRule type="cellIs" dxfId="294" priority="343" stopIfTrue="1" operator="between">
      <formula>8</formula>
      <formula>8.9</formula>
    </cfRule>
    <cfRule type="cellIs" dxfId="293" priority="342" operator="between">
      <formula>7</formula>
      <formula>7.9</formula>
    </cfRule>
  </conditionalFormatting>
  <conditionalFormatting sqref="K286">
    <cfRule type="colorScale" priority="300">
      <colorScale>
        <cfvo type="num" val="5"/>
        <cfvo type="num" val="10"/>
        <color rgb="FFFF494D"/>
        <color rgb="FF00FF66"/>
      </colorScale>
    </cfRule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292" priority="296" operator="between">
      <formula>9</formula>
      <formula>9.9</formula>
    </cfRule>
    <cfRule type="cellIs" dxfId="291" priority="297" stopIfTrue="1" operator="between">
      <formula>10</formula>
      <formula>10</formula>
    </cfRule>
    <cfRule type="containsBlanks" dxfId="290" priority="298" stopIfTrue="1">
      <formula>LEN(TRIM(K287))=0</formula>
    </cfRule>
    <cfRule type="cellIs" dxfId="289" priority="292" operator="between">
      <formula>6</formula>
      <formula>6.9</formula>
    </cfRule>
    <cfRule type="cellIs" dxfId="288" priority="293" operator="between">
      <formula>10.1</formula>
      <formula>10.6</formula>
    </cfRule>
    <cfRule type="cellIs" dxfId="287" priority="294" operator="between">
      <formula>7</formula>
      <formula>7.9</formula>
    </cfRule>
    <cfRule type="cellIs" dxfId="286" priority="295" stopIfTrue="1" operator="between">
      <formula>8</formula>
      <formula>8.9</formula>
    </cfRule>
  </conditionalFormatting>
  <conditionalFormatting sqref="K296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85" priority="256" operator="between">
      <formula>10.1</formula>
      <formula>10.6</formula>
    </cfRule>
    <cfRule type="cellIs" dxfId="284" priority="259" operator="between">
      <formula>9</formula>
      <formula>9.9</formula>
    </cfRule>
    <cfRule type="cellIs" dxfId="283" priority="260" stopIfTrue="1" operator="between">
      <formula>10</formula>
      <formula>10</formula>
    </cfRule>
    <cfRule type="cellIs" dxfId="282" priority="253" operator="lessThan">
      <formula>2</formula>
    </cfRule>
    <cfRule type="cellIs" dxfId="281" priority="258" stopIfTrue="1" operator="between">
      <formula>8</formula>
      <formula>8.9</formula>
    </cfRule>
    <cfRule type="cellIs" dxfId="280" priority="257" operator="between">
      <formula>7</formula>
      <formula>7.9</formula>
    </cfRule>
    <cfRule type="cellIs" dxfId="279" priority="255" operator="between">
      <formula>5</formula>
      <formula>6.9</formula>
    </cfRule>
    <cfRule type="cellIs" dxfId="278" priority="254" operator="between">
      <formula>2</formula>
      <formula>4.9</formula>
    </cfRule>
    <cfRule type="containsBlanks" dxfId="277" priority="252" stopIfTrue="1">
      <formula>LEN(TRIM(K297))=0</formula>
    </cfRule>
  </conditionalFormatting>
  <conditionalFormatting sqref="K304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276" priority="229" stopIfTrue="1" operator="between">
      <formula>10</formula>
      <formula>10</formula>
    </cfRule>
    <cfRule type="containsBlanks" dxfId="275" priority="221" stopIfTrue="1">
      <formula>LEN(TRIM(K305))=0</formula>
    </cfRule>
    <cfRule type="cellIs" dxfId="274" priority="222" operator="lessThan">
      <formula>2</formula>
    </cfRule>
    <cfRule type="cellIs" dxfId="273" priority="224" operator="between">
      <formula>5</formula>
      <formula>6.9</formula>
    </cfRule>
    <cfRule type="cellIs" dxfId="272" priority="225" operator="between">
      <formula>10.1</formula>
      <formula>10.6</formula>
    </cfRule>
    <cfRule type="cellIs" dxfId="271" priority="226" operator="between">
      <formula>7</formula>
      <formula>7.9</formula>
    </cfRule>
    <cfRule type="cellIs" dxfId="270" priority="228" operator="between">
      <formula>9</formula>
      <formula>9.9</formula>
    </cfRule>
    <cfRule type="cellIs" dxfId="269" priority="227" stopIfTrue="1" operator="between">
      <formula>8</formula>
      <formula>8.9</formula>
    </cfRule>
    <cfRule type="cellIs" dxfId="268" priority="223" operator="between">
      <formula>2</formula>
      <formula>4.9</formula>
    </cfRule>
  </conditionalFormatting>
  <conditionalFormatting sqref="K318">
    <cfRule type="colorScale" priority="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267" priority="161" operator="between">
      <formula>2</formula>
      <formula>4.9</formula>
    </cfRule>
    <cfRule type="cellIs" dxfId="266" priority="160" operator="lessThan">
      <formula>2</formula>
    </cfRule>
    <cfRule type="containsBlanks" dxfId="265" priority="159" stopIfTrue="1">
      <formula>LEN(TRIM(K319))=0</formula>
    </cfRule>
    <cfRule type="cellIs" dxfId="264" priority="164" operator="between">
      <formula>7</formula>
      <formula>7.9</formula>
    </cfRule>
    <cfRule type="cellIs" dxfId="263" priority="166" operator="between">
      <formula>9</formula>
      <formula>9.9</formula>
    </cfRule>
    <cfRule type="cellIs" dxfId="262" priority="167" stopIfTrue="1" operator="between">
      <formula>10</formula>
      <formula>10</formula>
    </cfRule>
    <cfRule type="cellIs" dxfId="261" priority="165" stopIfTrue="1" operator="between">
      <formula>8</formula>
      <formula>8.9</formula>
    </cfRule>
    <cfRule type="cellIs" dxfId="260" priority="162" operator="between">
      <formula>5</formula>
      <formula>6.9</formula>
    </cfRule>
    <cfRule type="cellIs" dxfId="259" priority="163" operator="between">
      <formula>10.1</formula>
      <formula>10.6</formula>
    </cfRule>
  </conditionalFormatting>
  <conditionalFormatting sqref="K328">
    <cfRule type="colorScale" priority="1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258" priority="123" stopIfTrue="1" operator="between">
      <formula>10</formula>
      <formula>10</formula>
    </cfRule>
    <cfRule type="cellIs" dxfId="257" priority="122" operator="between">
      <formula>9</formula>
      <formula>9.9</formula>
    </cfRule>
    <cfRule type="cellIs" dxfId="256" priority="121" stopIfTrue="1" operator="between">
      <formula>8</formula>
      <formula>8.9</formula>
    </cfRule>
    <cfRule type="cellIs" dxfId="255" priority="118" operator="between">
      <formula>5</formula>
      <formula>6.9</formula>
    </cfRule>
    <cfRule type="cellIs" dxfId="254" priority="117" operator="between">
      <formula>2</formula>
      <formula>4.9</formula>
    </cfRule>
    <cfRule type="cellIs" dxfId="253" priority="119" operator="between">
      <formula>10.1</formula>
      <formula>10.6</formula>
    </cfRule>
    <cfRule type="containsBlanks" dxfId="252" priority="115" stopIfTrue="1">
      <formula>LEN(TRIM(K329))=0</formula>
    </cfRule>
    <cfRule type="cellIs" dxfId="251" priority="116" operator="lessThan">
      <formula>2</formula>
    </cfRule>
    <cfRule type="cellIs" dxfId="250" priority="120" operator="between">
      <formula>7</formula>
      <formula>7.9</formula>
    </cfRule>
  </conditionalFormatting>
  <conditionalFormatting sqref="K340">
    <cfRule type="colorScale" priority="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249" priority="63" operator="between">
      <formula>5</formula>
      <formula>6.9</formula>
    </cfRule>
    <cfRule type="cellIs" dxfId="248" priority="62" operator="between">
      <formula>2</formula>
      <formula>4.9</formula>
    </cfRule>
    <cfRule type="cellIs" dxfId="247" priority="61" operator="lessThan">
      <formula>2</formula>
    </cfRule>
    <cfRule type="containsBlanks" dxfId="246" priority="60" stopIfTrue="1">
      <formula>LEN(TRIM(K341))=0</formula>
    </cfRule>
    <cfRule type="cellIs" dxfId="245" priority="64" operator="between">
      <formula>10.1</formula>
      <formula>10.6</formula>
    </cfRule>
    <cfRule type="cellIs" dxfId="244" priority="67" operator="between">
      <formula>9</formula>
      <formula>9.9</formula>
    </cfRule>
    <cfRule type="cellIs" dxfId="243" priority="66" stopIfTrue="1" operator="between">
      <formula>8</formula>
      <formula>8.9</formula>
    </cfRule>
    <cfRule type="cellIs" dxfId="242" priority="65" operator="between">
      <formula>7</formula>
      <formula>7.9</formula>
    </cfRule>
    <cfRule type="cellIs" dxfId="241" priority="68" stopIfTrue="1" operator="between">
      <formula>10</formula>
      <formula>10</formula>
    </cfRule>
  </conditionalFormatting>
  <conditionalFormatting sqref="K356">
    <cfRule type="colorScale" priority="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240" priority="16" stopIfTrue="1">
      <formula>LEN(TRIM(K357))=0</formula>
    </cfRule>
    <cfRule type="cellIs" dxfId="239" priority="17" operator="lessThan">
      <formula>2</formula>
    </cfRule>
    <cfRule type="cellIs" dxfId="238" priority="18" operator="between">
      <formula>2</formula>
      <formula>4.9</formula>
    </cfRule>
    <cfRule type="cellIs" dxfId="237" priority="19" operator="between">
      <formula>5</formula>
      <formula>6.9</formula>
    </cfRule>
    <cfRule type="cellIs" dxfId="236" priority="20" operator="between">
      <formula>10.1</formula>
      <formula>10.6</formula>
    </cfRule>
    <cfRule type="cellIs" dxfId="235" priority="21" operator="between">
      <formula>7</formula>
      <formula>7.9</formula>
    </cfRule>
    <cfRule type="cellIs" dxfId="234" priority="22" stopIfTrue="1" operator="between">
      <formula>8</formula>
      <formula>8.9</formula>
    </cfRule>
    <cfRule type="cellIs" dxfId="233" priority="23" operator="between">
      <formula>9</formula>
      <formula>9.9</formula>
    </cfRule>
    <cfRule type="cellIs" dxfId="232" priority="24" stopIfTrue="1" operator="between">
      <formula>10</formula>
      <formula>10</formula>
    </cfRule>
  </conditionalFormatting>
  <conditionalFormatting sqref="M28">
    <cfRule type="colorScale" priority="1658">
      <colorScale>
        <cfvo type="num" val="5"/>
        <cfvo type="num" val="10"/>
        <color rgb="FFFF494D"/>
        <color rgb="FF00FF66"/>
      </colorScale>
    </cfRule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629">
      <colorScale>
        <cfvo type="num" val="5"/>
        <cfvo type="num" val="10"/>
        <color rgb="FFFF494D"/>
        <color rgb="FF00FF66"/>
      </colorScale>
    </cfRule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231" priority="1259" stopIfTrue="1">
      <formula>LEN(TRIM(N3))=0</formula>
    </cfRule>
    <cfRule type="cellIs" dxfId="230" priority="1258" stopIfTrue="1" operator="between">
      <formula>10</formula>
      <formula>10</formula>
    </cfRule>
    <cfRule type="cellIs" dxfId="229" priority="1257" operator="between">
      <formula>9</formula>
      <formula>9.9</formula>
    </cfRule>
    <cfRule type="cellIs" dxfId="228" priority="1256" stopIfTrue="1" operator="between">
      <formula>8</formula>
      <formula>8.9</formula>
    </cfRule>
    <cfRule type="cellIs" dxfId="227" priority="1255" operator="between">
      <formula>7</formula>
      <formula>7.9</formula>
    </cfRule>
    <cfRule type="cellIs" dxfId="226" priority="1254" operator="between">
      <formula>10.1</formula>
      <formula>10.6</formula>
    </cfRule>
  </conditionalFormatting>
  <conditionalFormatting sqref="N15:N26">
    <cfRule type="cellIs" dxfId="225" priority="1388" operator="between">
      <formula>9</formula>
      <formula>9.9</formula>
    </cfRule>
    <cfRule type="cellIs" dxfId="224" priority="1387" stopIfTrue="1" operator="between">
      <formula>8</formula>
      <formula>8.9</formula>
    </cfRule>
    <cfRule type="cellIs" dxfId="223" priority="1386" operator="between">
      <formula>7</formula>
      <formula>7.9</formula>
    </cfRule>
    <cfRule type="cellIs" dxfId="222" priority="1389" stopIfTrue="1" operator="between">
      <formula>10</formula>
      <formula>10</formula>
    </cfRule>
  </conditionalFormatting>
  <conditionalFormatting sqref="N28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21" priority="1393" stopIfTrue="1" operator="between">
      <formula>10</formula>
      <formula>10</formula>
    </cfRule>
    <cfRule type="cellIs" dxfId="220" priority="1392" operator="between">
      <formula>9</formula>
      <formula>9.9</formula>
    </cfRule>
    <cfRule type="cellIs" dxfId="219" priority="1391" stopIfTrue="1" operator="between">
      <formula>8</formula>
      <formula>8.9</formula>
    </cfRule>
    <cfRule type="cellIs" dxfId="218" priority="1390" operator="between">
      <formula>7</formula>
      <formula>7.9</formula>
    </cfRule>
  </conditionalFormatting>
  <conditionalFormatting sqref="N39">
    <cfRule type="colorScale" priority="1625">
      <colorScale>
        <cfvo type="num" val="5"/>
        <cfvo type="num" val="10"/>
        <color rgb="FFFF494D"/>
        <color rgb="FF00FF66"/>
      </colorScale>
    </cfRule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17" priority="1198" stopIfTrue="1" operator="between">
      <formula>10</formula>
      <formula>10</formula>
    </cfRule>
    <cfRule type="containsBlanks" dxfId="216" priority="1199" stopIfTrue="1">
      <formula>LEN(TRIM(N40))=0</formula>
    </cfRule>
    <cfRule type="cellIs" dxfId="215" priority="1194" operator="between">
      <formula>10.1</formula>
      <formula>10.6</formula>
    </cfRule>
    <cfRule type="cellIs" dxfId="214" priority="1195" operator="between">
      <formula>7</formula>
      <formula>7.9</formula>
    </cfRule>
    <cfRule type="cellIs" dxfId="213" priority="1196" stopIfTrue="1" operator="between">
      <formula>8</formula>
      <formula>8.9</formula>
    </cfRule>
    <cfRule type="cellIs" dxfId="212" priority="1197" operator="between">
      <formula>9</formula>
      <formula>9.9</formula>
    </cfRule>
  </conditionalFormatting>
  <conditionalFormatting sqref="N54">
    <cfRule type="colorScale" priority="1183">
      <colorScale>
        <cfvo type="num" val="5"/>
        <cfvo type="num" val="10"/>
        <color rgb="FFFF494D"/>
        <color rgb="FF00FF66"/>
      </colorScale>
    </cfRule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211" priority="1181" stopIfTrue="1">
      <formula>LEN(TRIM(N55))=0</formula>
    </cfRule>
    <cfRule type="cellIs" dxfId="210" priority="1180" stopIfTrue="1" operator="between">
      <formula>10</formula>
      <formula>10</formula>
    </cfRule>
    <cfRule type="cellIs" dxfId="209" priority="1179" operator="between">
      <formula>9</formula>
      <formula>9.9</formula>
    </cfRule>
    <cfRule type="cellIs" dxfId="208" priority="1178" stopIfTrue="1" operator="between">
      <formula>8</formula>
      <formula>8.9</formula>
    </cfRule>
    <cfRule type="cellIs" dxfId="207" priority="1177" operator="between">
      <formula>7</formula>
      <formula>7.9</formula>
    </cfRule>
    <cfRule type="cellIs" dxfId="206" priority="1176" operator="between">
      <formula>10.1</formula>
      <formula>10.6</formula>
    </cfRule>
  </conditionalFormatting>
  <conditionalFormatting sqref="N67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05" priority="1129" stopIfTrue="1" operator="between">
      <formula>8</formula>
      <formula>8.9</formula>
    </cfRule>
    <cfRule type="cellIs" dxfId="204" priority="1128" operator="between">
      <formula>7</formula>
      <formula>7.9</formula>
    </cfRule>
    <cfRule type="cellIs" dxfId="203" priority="1127" operator="between">
      <formula>10.1</formula>
      <formula>10.6</formula>
    </cfRule>
    <cfRule type="cellIs" dxfId="202" priority="1130" operator="between">
      <formula>9</formula>
      <formula>9.9</formula>
    </cfRule>
    <cfRule type="containsBlanks" dxfId="201" priority="1132" stopIfTrue="1">
      <formula>LEN(TRIM(N68))=0</formula>
    </cfRule>
    <cfRule type="cellIs" dxfId="200" priority="1131" stopIfTrue="1" operator="between">
      <formula>10</formula>
      <formula>10</formula>
    </cfRule>
  </conditionalFormatting>
  <conditionalFormatting sqref="N79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199" priority="1063" stopIfTrue="1">
      <formula>LEN(TRIM(N80))=0</formula>
    </cfRule>
    <cfRule type="cellIs" dxfId="198" priority="1062" stopIfTrue="1" operator="between">
      <formula>10</formula>
      <formula>10</formula>
    </cfRule>
    <cfRule type="cellIs" dxfId="197" priority="1061" operator="between">
      <formula>9</formula>
      <formula>9.9</formula>
    </cfRule>
    <cfRule type="cellIs" dxfId="196" priority="1060" stopIfTrue="1" operator="between">
      <formula>8</formula>
      <formula>8.9</formula>
    </cfRule>
    <cfRule type="cellIs" dxfId="195" priority="1059" operator="between">
      <formula>7</formula>
      <formula>7.9</formula>
    </cfRule>
    <cfRule type="cellIs" dxfId="194" priority="1058" operator="between">
      <formula>10.1</formula>
      <formula>10.6</formula>
    </cfRule>
  </conditionalFormatting>
  <conditionalFormatting sqref="N93">
    <cfRule type="colorScale" priority="1020">
      <colorScale>
        <cfvo type="num" val="5"/>
        <cfvo type="num" val="10"/>
        <color rgb="FFFF494D"/>
        <color rgb="FF00FF66"/>
      </colorScale>
    </cfRule>
    <cfRule type="colorScale" priority="10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93" priority="1026" stopIfTrue="1">
      <formula>LEN(TRIM(N94))=0</formula>
    </cfRule>
    <cfRule type="cellIs" dxfId="192" priority="1025" stopIfTrue="1" operator="between">
      <formula>10</formula>
      <formula>10</formula>
    </cfRule>
    <cfRule type="cellIs" dxfId="191" priority="1023" stopIfTrue="1" operator="between">
      <formula>8</formula>
      <formula>8.9</formula>
    </cfRule>
    <cfRule type="cellIs" dxfId="190" priority="1024" operator="between">
      <formula>9</formula>
      <formula>9.9</formula>
    </cfRule>
    <cfRule type="cellIs" dxfId="189" priority="1021" operator="between">
      <formula>10.1</formula>
      <formula>10.6</formula>
    </cfRule>
    <cfRule type="cellIs" dxfId="188" priority="1022" operator="between">
      <formula>7</formula>
      <formula>7.9</formula>
    </cfRule>
  </conditionalFormatting>
  <conditionalFormatting sqref="N112">
    <cfRule type="colorScale" priority="954">
      <colorScale>
        <cfvo type="num" val="5"/>
        <cfvo type="num" val="10"/>
        <color rgb="FFFF494D"/>
        <color rgb="FF00FF66"/>
      </colorScale>
    </cfRule>
    <cfRule type="colorScale" priority="9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187" priority="947" operator="between">
      <formula>10.1</formula>
      <formula>10.6</formula>
    </cfRule>
    <cfRule type="cellIs" dxfId="186" priority="948" operator="between">
      <formula>7</formula>
      <formula>7.9</formula>
    </cfRule>
    <cfRule type="cellIs" dxfId="185" priority="949" stopIfTrue="1" operator="between">
      <formula>8</formula>
      <formula>8.9</formula>
    </cfRule>
    <cfRule type="cellIs" dxfId="184" priority="950" operator="between">
      <formula>9</formula>
      <formula>9.9</formula>
    </cfRule>
    <cfRule type="cellIs" dxfId="183" priority="951" stopIfTrue="1" operator="between">
      <formula>10</formula>
      <formula>10</formula>
    </cfRule>
    <cfRule type="containsBlanks" dxfId="182" priority="952" stopIfTrue="1">
      <formula>LEN(TRIM(N113))=0</formula>
    </cfRule>
  </conditionalFormatting>
  <conditionalFormatting sqref="N127">
    <cfRule type="colorScale" priority="887">
      <colorScale>
        <cfvo type="num" val="5"/>
        <cfvo type="num" val="10"/>
        <color rgb="FFFF494D"/>
        <color rgb="FF00FF66"/>
      </colorScale>
    </cfRule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181" priority="885" stopIfTrue="1">
      <formula>LEN(TRIM(N128))=0</formula>
    </cfRule>
    <cfRule type="cellIs" dxfId="180" priority="875" operator="between">
      <formula>7</formula>
      <formula>7.9</formula>
    </cfRule>
    <cfRule type="cellIs" dxfId="179" priority="874" operator="between">
      <formula>10.1</formula>
      <formula>10.6</formula>
    </cfRule>
    <cfRule type="cellIs" dxfId="178" priority="883" operator="between">
      <formula>9</formula>
      <formula>9.9</formula>
    </cfRule>
    <cfRule type="cellIs" dxfId="177" priority="873" operator="between">
      <formula>6</formula>
      <formula>6.9</formula>
    </cfRule>
    <cfRule type="cellIs" dxfId="176" priority="877" operator="between">
      <formula>9</formula>
      <formula>9.9</formula>
    </cfRule>
    <cfRule type="cellIs" dxfId="175" priority="876" stopIfTrue="1" operator="between">
      <formula>8</formula>
      <formula>8.9</formula>
    </cfRule>
    <cfRule type="cellIs" dxfId="174" priority="878" stopIfTrue="1" operator="between">
      <formula>10</formula>
      <formula>10</formula>
    </cfRule>
    <cfRule type="containsBlanks" dxfId="173" priority="879" stopIfTrue="1">
      <formula>LEN(TRIM(N128))=0</formula>
    </cfRule>
    <cfRule type="cellIs" dxfId="172" priority="880" operator="between">
      <formula>10.1</formula>
      <formula>10.6</formula>
    </cfRule>
    <cfRule type="cellIs" dxfId="171" priority="884" stopIfTrue="1" operator="between">
      <formula>10</formula>
      <formula>10</formula>
    </cfRule>
    <cfRule type="cellIs" dxfId="170" priority="881" operator="between">
      <formula>7</formula>
      <formula>7.9</formula>
    </cfRule>
    <cfRule type="cellIs" dxfId="169" priority="882" stopIfTrue="1" operator="between">
      <formula>8</formula>
      <formula>8.9</formula>
    </cfRule>
  </conditionalFormatting>
  <conditionalFormatting sqref="N137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68" priority="842" stopIfTrue="1" operator="between">
      <formula>10</formula>
      <formula>10</formula>
    </cfRule>
    <cfRule type="cellIs" dxfId="167" priority="841" operator="between">
      <formula>9</formula>
      <formula>9.9</formula>
    </cfRule>
    <cfRule type="cellIs" dxfId="166" priority="840" stopIfTrue="1" operator="between">
      <formula>8</formula>
      <formula>8.9</formula>
    </cfRule>
    <cfRule type="containsBlanks" dxfId="165" priority="843" stopIfTrue="1">
      <formula>LEN(TRIM(N138))=0</formula>
    </cfRule>
    <cfRule type="cellIs" dxfId="164" priority="838" operator="between">
      <formula>10.1</formula>
      <formula>10.6</formula>
    </cfRule>
    <cfRule type="cellIs" dxfId="163" priority="837" operator="between">
      <formula>6</formula>
      <formula>6.9</formula>
    </cfRule>
    <cfRule type="cellIs" dxfId="162" priority="839" operator="between">
      <formula>7</formula>
      <formula>7.9</formula>
    </cfRule>
  </conditionalFormatting>
  <conditionalFormatting sqref="N144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61" priority="830" operator="between">
      <formula>7</formula>
      <formula>7.9</formula>
    </cfRule>
    <cfRule type="cellIs" dxfId="160" priority="828" operator="between">
      <formula>6</formula>
      <formula>6.9</formula>
    </cfRule>
    <cfRule type="containsBlanks" dxfId="159" priority="834" stopIfTrue="1">
      <formula>LEN(TRIM(N145))=0</formula>
    </cfRule>
    <cfRule type="cellIs" dxfId="158" priority="829" operator="between">
      <formula>10.1</formula>
      <formula>10.6</formula>
    </cfRule>
    <cfRule type="cellIs" dxfId="157" priority="832" operator="between">
      <formula>9</formula>
      <formula>9.9</formula>
    </cfRule>
    <cfRule type="cellIs" dxfId="156" priority="833" stopIfTrue="1" operator="between">
      <formula>10</formula>
      <formula>10</formula>
    </cfRule>
    <cfRule type="cellIs" dxfId="155" priority="831" stopIfTrue="1" operator="between">
      <formula>8</formula>
      <formula>8.9</formula>
    </cfRule>
  </conditionalFormatting>
  <conditionalFormatting sqref="N152">
    <cfRule type="colorScale" priority="782">
      <colorScale>
        <cfvo type="num" val="5"/>
        <cfvo type="num" val="10"/>
        <color rgb="FFFF494D"/>
        <color rgb="FF00FF66"/>
      </colorScale>
    </cfRule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54" priority="780" stopIfTrue="1">
      <formula>LEN(TRIM(N153))=0</formula>
    </cfRule>
    <cfRule type="cellIs" dxfId="153" priority="779" stopIfTrue="1" operator="between">
      <formula>10</formula>
      <formula>10</formula>
    </cfRule>
    <cfRule type="cellIs" dxfId="152" priority="777" stopIfTrue="1" operator="between">
      <formula>8</formula>
      <formula>8.9</formula>
    </cfRule>
    <cfRule type="cellIs" dxfId="151" priority="775" operator="between">
      <formula>10.1</formula>
      <formula>10.6</formula>
    </cfRule>
    <cfRule type="cellIs" dxfId="150" priority="776" operator="between">
      <formula>7</formula>
      <formula>7.9</formula>
    </cfRule>
    <cfRule type="cellIs" dxfId="149" priority="778" operator="between">
      <formula>9</formula>
      <formula>9.9</formula>
    </cfRule>
    <cfRule type="cellIs" dxfId="148" priority="774" operator="between">
      <formula>6</formula>
      <formula>6.9</formula>
    </cfRule>
  </conditionalFormatting>
  <conditionalFormatting sqref="N161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47" priority="758" operator="between">
      <formula>6</formula>
      <formula>6.9</formula>
    </cfRule>
    <cfRule type="cellIs" dxfId="146" priority="759" operator="between">
      <formula>10.1</formula>
      <formula>10.6</formula>
    </cfRule>
    <cfRule type="cellIs" dxfId="145" priority="760" operator="between">
      <formula>7</formula>
      <formula>7.9</formula>
    </cfRule>
    <cfRule type="cellIs" dxfId="144" priority="762" operator="between">
      <formula>9</formula>
      <formula>9.9</formula>
    </cfRule>
    <cfRule type="containsBlanks" dxfId="143" priority="764" stopIfTrue="1">
      <formula>LEN(TRIM(N162))=0</formula>
    </cfRule>
    <cfRule type="cellIs" dxfId="142" priority="761" stopIfTrue="1" operator="between">
      <formula>8</formula>
      <formula>8.9</formula>
    </cfRule>
    <cfRule type="cellIs" dxfId="141" priority="763" stopIfTrue="1" operator="between">
      <formula>10</formula>
      <formula>10</formula>
    </cfRule>
  </conditionalFormatting>
  <conditionalFormatting sqref="N182"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6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40" priority="651" operator="between">
      <formula>7</formula>
      <formula>7.9</formula>
    </cfRule>
    <cfRule type="cellIs" dxfId="139" priority="652" stopIfTrue="1" operator="between">
      <formula>8</formula>
      <formula>8.9</formula>
    </cfRule>
    <cfRule type="cellIs" dxfId="138" priority="653" operator="between">
      <formula>9</formula>
      <formula>9.9</formula>
    </cfRule>
    <cfRule type="cellIs" dxfId="137" priority="654" stopIfTrue="1" operator="between">
      <formula>10</formula>
      <formula>10</formula>
    </cfRule>
    <cfRule type="containsBlanks" dxfId="136" priority="655" stopIfTrue="1">
      <formula>LEN(TRIM(N186))=0</formula>
    </cfRule>
    <cfRule type="cellIs" dxfId="135" priority="649" operator="between">
      <formula>6</formula>
      <formula>6.9</formula>
    </cfRule>
    <cfRule type="cellIs" dxfId="134" priority="650" operator="between">
      <formula>10.1</formula>
      <formula>10.6</formula>
    </cfRule>
  </conditionalFormatting>
  <conditionalFormatting sqref="N211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33" priority="570" operator="between">
      <formula>9</formula>
      <formula>9.9</formula>
    </cfRule>
    <cfRule type="cellIs" dxfId="132" priority="569" stopIfTrue="1" operator="between">
      <formula>8</formula>
      <formula>8.9</formula>
    </cfRule>
    <cfRule type="cellIs" dxfId="131" priority="568" operator="between">
      <formula>7</formula>
      <formula>7.9</formula>
    </cfRule>
    <cfRule type="cellIs" dxfId="130" priority="567" operator="between">
      <formula>10.1</formula>
      <formula>11</formula>
    </cfRule>
    <cfRule type="cellIs" dxfId="129" priority="571" stopIfTrue="1" operator="between">
      <formula>10</formula>
      <formula>10</formula>
    </cfRule>
    <cfRule type="cellIs" dxfId="128" priority="566" operator="between">
      <formula>6</formula>
      <formula>6.9</formula>
    </cfRule>
    <cfRule type="containsBlanks" dxfId="127" priority="572" stopIfTrue="1">
      <formula>LEN(TRIM(N212))=0</formula>
    </cfRule>
  </conditionalFormatting>
  <conditionalFormatting sqref="N228">
    <cfRule type="colorScale" priority="511">
      <colorScale>
        <cfvo type="num" val="5"/>
        <cfvo type="num" val="10"/>
        <color rgb="FFFF494D"/>
        <color rgb="FF00FF66"/>
      </colorScale>
    </cfRule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26" priority="513" operator="between">
      <formula>10.1</formula>
      <formula>11</formula>
    </cfRule>
    <cfRule type="cellIs" dxfId="125" priority="512" operator="between">
      <formula>6</formula>
      <formula>6.9</formula>
    </cfRule>
    <cfRule type="cellIs" dxfId="124" priority="517" stopIfTrue="1" operator="between">
      <formula>10</formula>
      <formula>10</formula>
    </cfRule>
    <cfRule type="containsBlanks" dxfId="123" priority="518" stopIfTrue="1">
      <formula>LEN(TRIM(N229))=0</formula>
    </cfRule>
    <cfRule type="cellIs" dxfId="122" priority="516" operator="between">
      <formula>9</formula>
      <formula>9.9</formula>
    </cfRule>
    <cfRule type="cellIs" dxfId="121" priority="515" stopIfTrue="1" operator="between">
      <formula>8</formula>
      <formula>8.9</formula>
    </cfRule>
    <cfRule type="cellIs" dxfId="120" priority="514" operator="between">
      <formula>7</formula>
      <formula>7.9</formula>
    </cfRule>
  </conditionalFormatting>
  <conditionalFormatting sqref="N240">
    <cfRule type="colorScale" priority="466">
      <colorScale>
        <cfvo type="num" val="5"/>
        <cfvo type="num" val="10"/>
        <color rgb="FFFF494D"/>
        <color rgb="FF00FF66"/>
      </colorScale>
    </cfRule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19" priority="458" operator="between">
      <formula>6</formula>
      <formula>6.9</formula>
    </cfRule>
    <cfRule type="containsBlanks" dxfId="118" priority="464" stopIfTrue="1">
      <formula>LEN(TRIM(N241))=0</formula>
    </cfRule>
    <cfRule type="cellIs" dxfId="117" priority="460" operator="between">
      <formula>7</formula>
      <formula>7.9</formula>
    </cfRule>
    <cfRule type="cellIs" dxfId="116" priority="459" operator="between">
      <formula>10.1</formula>
      <formula>10.6</formula>
    </cfRule>
    <cfRule type="cellIs" dxfId="115" priority="463" stopIfTrue="1" operator="between">
      <formula>10</formula>
      <formula>10</formula>
    </cfRule>
    <cfRule type="cellIs" dxfId="114" priority="462" operator="between">
      <formula>9</formula>
      <formula>9.9</formula>
    </cfRule>
    <cfRule type="cellIs" dxfId="113" priority="461" stopIfTrue="1" operator="between">
      <formula>8</formula>
      <formula>8.9</formula>
    </cfRule>
  </conditionalFormatting>
  <conditionalFormatting sqref="N249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12" priority="436" stopIfTrue="1" operator="between">
      <formula>10</formula>
      <formula>10</formula>
    </cfRule>
    <cfRule type="containsBlanks" dxfId="111" priority="437" stopIfTrue="1">
      <formula>LEN(TRIM(N250))=0</formula>
    </cfRule>
    <cfRule type="cellIs" dxfId="110" priority="432" operator="between">
      <formula>10.1</formula>
      <formula>10.6</formula>
    </cfRule>
    <cfRule type="cellIs" dxfId="109" priority="431" operator="between">
      <formula>6</formula>
      <formula>6.9</formula>
    </cfRule>
    <cfRule type="cellIs" dxfId="108" priority="433" operator="between">
      <formula>7</formula>
      <formula>7.9</formula>
    </cfRule>
    <cfRule type="cellIs" dxfId="107" priority="435" operator="between">
      <formula>9</formula>
      <formula>9.9</formula>
    </cfRule>
    <cfRule type="cellIs" dxfId="106" priority="434" stopIfTrue="1" operator="between">
      <formula>8</formula>
      <formula>8.9</formula>
    </cfRule>
  </conditionalFormatting>
  <conditionalFormatting sqref="N277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05" priority="326" stopIfTrue="1" operator="between">
      <formula>10</formula>
      <formula>10</formula>
    </cfRule>
    <cfRule type="containsBlanks" dxfId="104" priority="327" stopIfTrue="1">
      <formula>LEN(TRIM(N278))=0</formula>
    </cfRule>
    <cfRule type="cellIs" dxfId="103" priority="325" operator="between">
      <formula>9</formula>
      <formula>9.9</formula>
    </cfRule>
    <cfRule type="cellIs" dxfId="102" priority="324" stopIfTrue="1" operator="between">
      <formula>8</formula>
      <formula>8.9</formula>
    </cfRule>
    <cfRule type="cellIs" dxfId="101" priority="322" operator="between">
      <formula>10.1</formula>
      <formula>10.6</formula>
    </cfRule>
    <cfRule type="cellIs" dxfId="100" priority="323" operator="between">
      <formula>7</formula>
      <formula>7.9</formula>
    </cfRule>
    <cfRule type="cellIs" dxfId="99" priority="321" operator="between">
      <formula>6</formula>
      <formula>6.9</formula>
    </cfRule>
  </conditionalFormatting>
  <conditionalFormatting sqref="N284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98" priority="306" stopIfTrue="1" operator="between">
      <formula>8</formula>
      <formula>8.9</formula>
    </cfRule>
    <cfRule type="cellIs" dxfId="97" priority="307" operator="between">
      <formula>9</formula>
      <formula>9.9</formula>
    </cfRule>
    <cfRule type="cellIs" dxfId="96" priority="304" operator="between">
      <formula>10.1</formula>
      <formula>10.6</formula>
    </cfRule>
    <cfRule type="containsBlanks" dxfId="95" priority="309" stopIfTrue="1">
      <formula>LEN(TRIM(N285))=0</formula>
    </cfRule>
    <cfRule type="cellIs" dxfId="94" priority="308" stopIfTrue="1" operator="between">
      <formula>10</formula>
      <formula>10</formula>
    </cfRule>
    <cfRule type="cellIs" dxfId="93" priority="303" operator="between">
      <formula>6</formula>
      <formula>6.9</formula>
    </cfRule>
    <cfRule type="cellIs" dxfId="92" priority="305" operator="between">
      <formula>7</formula>
      <formula>7.9</formula>
    </cfRule>
  </conditionalFormatting>
  <conditionalFormatting sqref="N297"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91" priority="243" operator="between">
      <formula>2</formula>
      <formula>4.9</formula>
    </cfRule>
    <cfRule type="cellIs" dxfId="90" priority="245" operator="between">
      <formula>10.1</formula>
      <formula>10.6</formula>
    </cfRule>
    <cfRule type="cellIs" dxfId="89" priority="246" operator="between">
      <formula>7</formula>
      <formula>7.9</formula>
    </cfRule>
    <cfRule type="cellIs" dxfId="88" priority="242" operator="lessThan">
      <formula>2</formula>
    </cfRule>
    <cfRule type="cellIs" dxfId="87" priority="248" operator="between">
      <formula>9</formula>
      <formula>9.9</formula>
    </cfRule>
    <cfRule type="cellIs" dxfId="86" priority="249" stopIfTrue="1" operator="between">
      <formula>10</formula>
      <formula>10</formula>
    </cfRule>
    <cfRule type="cellIs" dxfId="85" priority="244" operator="between">
      <formula>5</formula>
      <formula>6.9</formula>
    </cfRule>
    <cfRule type="containsBlanks" dxfId="84" priority="241" stopIfTrue="1">
      <formula>LEN(TRIM(N298))=0</formula>
    </cfRule>
    <cfRule type="cellIs" dxfId="83" priority="247" stopIfTrue="1" operator="between">
      <formula>8</formula>
      <formula>8.9</formula>
    </cfRule>
  </conditionalFormatting>
  <conditionalFormatting sqref="N306">
    <cfRule type="colorScale" priority="220">
      <colorScale>
        <cfvo type="num" val="5"/>
        <cfvo type="num" val="10"/>
        <color rgb="FFFF494D"/>
        <color rgb="FF00FF66"/>
      </colorScale>
    </cfRule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82" priority="214" operator="between">
      <formula>10.1</formula>
      <formula>10.6</formula>
    </cfRule>
    <cfRule type="cellIs" dxfId="81" priority="215" operator="between">
      <formula>7</formula>
      <formula>7.9</formula>
    </cfRule>
    <cfRule type="cellIs" dxfId="80" priority="218" stopIfTrue="1" operator="between">
      <formula>10</formula>
      <formula>10</formula>
    </cfRule>
    <cfRule type="cellIs" dxfId="79" priority="217" operator="between">
      <formula>9</formula>
      <formula>9.9</formula>
    </cfRule>
    <cfRule type="cellIs" dxfId="78" priority="216" stopIfTrue="1" operator="between">
      <formula>8</formula>
      <formula>8.9</formula>
    </cfRule>
    <cfRule type="cellIs" dxfId="77" priority="213" operator="between">
      <formula>5</formula>
      <formula>6.9</formula>
    </cfRule>
    <cfRule type="cellIs" dxfId="76" priority="212" operator="between">
      <formula>2</formula>
      <formula>4.9</formula>
    </cfRule>
    <cfRule type="cellIs" dxfId="75" priority="211" operator="lessThan">
      <formula>2</formula>
    </cfRule>
    <cfRule type="containsBlanks" dxfId="74" priority="210" stopIfTrue="1">
      <formula>LEN(TRIM(N307))=0</formula>
    </cfRule>
  </conditionalFormatting>
  <conditionalFormatting sqref="N318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73" priority="149" operator="between">
      <formula>5</formula>
      <formula>6.9</formula>
    </cfRule>
    <cfRule type="cellIs" dxfId="72" priority="148" operator="between">
      <formula>2</formula>
      <formula>4.9</formula>
    </cfRule>
    <cfRule type="cellIs" dxfId="71" priority="147" operator="lessThan">
      <formula>2</formula>
    </cfRule>
    <cfRule type="cellIs" dxfId="70" priority="150" operator="between">
      <formula>10.1</formula>
      <formula>10.6</formula>
    </cfRule>
    <cfRule type="containsBlanks" dxfId="69" priority="146" stopIfTrue="1">
      <formula>LEN(TRIM(N319))=0</formula>
    </cfRule>
    <cfRule type="cellIs" dxfId="68" priority="151" operator="between">
      <formula>7</formula>
      <formula>7.9</formula>
    </cfRule>
    <cfRule type="cellIs" dxfId="67" priority="152" stopIfTrue="1" operator="between">
      <formula>8</formula>
      <formula>8.9</formula>
    </cfRule>
    <cfRule type="cellIs" dxfId="66" priority="153" operator="between">
      <formula>9</formula>
      <formula>9.9</formula>
    </cfRule>
    <cfRule type="cellIs" dxfId="65" priority="154" stopIfTrue="1" operator="between">
      <formula>10</formula>
      <formula>10</formula>
    </cfRule>
  </conditionalFormatting>
  <conditionalFormatting sqref="N328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64" priority="103" operator="lessThan">
      <formula>2</formula>
    </cfRule>
    <cfRule type="cellIs" dxfId="63" priority="108" stopIfTrue="1" operator="between">
      <formula>8</formula>
      <formula>8.9</formula>
    </cfRule>
    <cfRule type="containsBlanks" dxfId="62" priority="102" stopIfTrue="1">
      <formula>LEN(TRIM(N329))=0</formula>
    </cfRule>
    <cfRule type="cellIs" dxfId="61" priority="104" operator="between">
      <formula>2</formula>
      <formula>4.9</formula>
    </cfRule>
    <cfRule type="cellIs" dxfId="60" priority="109" operator="between">
      <formula>9</formula>
      <formula>9.9</formula>
    </cfRule>
    <cfRule type="cellIs" dxfId="59" priority="110" stopIfTrue="1" operator="between">
      <formula>10</formula>
      <formula>10</formula>
    </cfRule>
    <cfRule type="cellIs" dxfId="58" priority="105" operator="between">
      <formula>5</formula>
      <formula>6.9</formula>
    </cfRule>
    <cfRule type="cellIs" dxfId="57" priority="106" operator="between">
      <formula>10.1</formula>
      <formula>10.6</formula>
    </cfRule>
    <cfRule type="cellIs" dxfId="56" priority="107" operator="between">
      <formula>7</formula>
      <formula>7.9</formula>
    </cfRule>
  </conditionalFormatting>
  <conditionalFormatting sqref="N338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55" priority="83" operator="between">
      <formula>5</formula>
      <formula>6.9</formula>
    </cfRule>
    <cfRule type="containsBlanks" dxfId="54" priority="80" stopIfTrue="1">
      <formula>LEN(TRIM(N339))=0</formula>
    </cfRule>
    <cfRule type="cellIs" dxfId="53" priority="81" operator="lessThan">
      <formula>2</formula>
    </cfRule>
    <cfRule type="cellIs" dxfId="52" priority="84" operator="between">
      <formula>10.1</formula>
      <formula>10.6</formula>
    </cfRule>
    <cfRule type="cellIs" dxfId="51" priority="82" operator="between">
      <formula>2</formula>
      <formula>4.9</formula>
    </cfRule>
    <cfRule type="cellIs" dxfId="50" priority="85" operator="between">
      <formula>7</formula>
      <formula>7.9</formula>
    </cfRule>
    <cfRule type="cellIs" dxfId="49" priority="86" stopIfTrue="1" operator="between">
      <formula>8</formula>
      <formula>8.9</formula>
    </cfRule>
    <cfRule type="cellIs" dxfId="48" priority="87" operator="between">
      <formula>9</formula>
      <formula>9.9</formula>
    </cfRule>
    <cfRule type="cellIs" dxfId="47" priority="88" stopIfTrue="1" operator="between">
      <formula>10</formula>
      <formula>10</formula>
    </cfRule>
  </conditionalFormatting>
  <conditionalFormatting sqref="N355">
    <cfRule type="colorScale" priority="26">
      <colorScale>
        <cfvo type="num" val="5"/>
        <cfvo type="num" val="10"/>
        <color rgb="FFFF494D"/>
        <color rgb="FF00FF66"/>
      </colorScale>
    </cfRule>
    <cfRule type="colorScale" priority="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46" priority="35" stopIfTrue="1" operator="between">
      <formula>10</formula>
      <formula>10</formula>
    </cfRule>
    <cfRule type="cellIs" dxfId="45" priority="32" operator="between">
      <formula>7</formula>
      <formula>7.9</formula>
    </cfRule>
    <cfRule type="cellIs" dxfId="44" priority="30" operator="between">
      <formula>5</formula>
      <formula>6.9</formula>
    </cfRule>
    <cfRule type="cellIs" dxfId="43" priority="29" operator="between">
      <formula>2</formula>
      <formula>4.9</formula>
    </cfRule>
    <cfRule type="containsBlanks" dxfId="42" priority="27" stopIfTrue="1">
      <formula>LEN(TRIM(N356))=0</formula>
    </cfRule>
    <cfRule type="cellIs" dxfId="41" priority="28" operator="lessThan">
      <formula>2</formula>
    </cfRule>
    <cfRule type="cellIs" dxfId="40" priority="31" operator="between">
      <formula>10.1</formula>
      <formula>10.6</formula>
    </cfRule>
    <cfRule type="cellIs" dxfId="39" priority="33" stopIfTrue="1" operator="between">
      <formula>8</formula>
      <formula>8.9</formula>
    </cfRule>
    <cfRule type="cellIs" dxfId="38" priority="34" operator="between">
      <formula>9</formula>
      <formula>9.9</formula>
    </cfRule>
  </conditionalFormatting>
  <conditionalFormatting sqref="AM3:AM9">
    <cfRule type="cellIs" dxfId="37" priority="1323" operator="between">
      <formula>8</formula>
      <formula>8.9</formula>
    </cfRule>
    <cfRule type="cellIs" dxfId="36" priority="1322" operator="between">
      <formula>7</formula>
      <formula>7.9</formula>
    </cfRule>
    <cfRule type="cellIs" dxfId="35" priority="1325" operator="between">
      <formula>10</formula>
      <formula>10</formula>
    </cfRule>
    <cfRule type="cellIs" dxfId="34" priority="1324" operator="between">
      <formula>9</formula>
      <formula>9.9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2026-04-17T09:55:18Z</dcterms:modified>
</cp:coreProperties>
</file>