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0F0A84E-0C4C-49BD-AEE5-71077984CF6D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6" i="4" l="1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<sst xmlns="http://schemas.openxmlformats.org/spreadsheetml/2006/main" count="4032" uniqueCount="2949">
  <si>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</si>
  <si>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</si>
  <si>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</si>
  <si>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</si>
  <si>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</si>
  <si>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</si>
  <si>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</si>
  <si>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</si>
  <si>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</si>
  <si>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</si>
  <si>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</si>
  <si>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</si>
  <si>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</si>
  <si>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</si>
  <si>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</si>
  <si>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</si>
  <si>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</si>
  <si>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</si>
  <si>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</si>
  <si>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</si>
  <si>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</si>
  <si>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</si>
  <si>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</si>
  <si>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</si>
  <si>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</si>
  <si>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</si>
  <si>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</si>
  <si>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</si>
  <si>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</si>
  <si>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</si>
  <si>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</si>
  <si>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</si>
  <si>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</si>
  <si>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</si>
  <si>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</si>
  <si>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</si>
  <si>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</si>
  <si>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</si>
  <si>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</si>
  <si>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</si>
  <si>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</si>
  <si>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</si>
  <si>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</si>
  <si>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</si>
  <si>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</si>
  <si>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</si>
  <si>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</si>
  <si>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</si>
  <si>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</si>
  <si>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</si>
  <si>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</si>
  <si>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</si>
  <si>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</si>
  <si>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</si>
  <si>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</si>
  <si>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</si>
  <si>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</si>
  <si>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</si>
  <si>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</si>
  <si>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</si>
  <si>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</si>
  <si>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</si>
  <si>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</si>
  <si>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</si>
  <si>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</si>
  <si>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</si>
  <si>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</si>
  <si>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</si>
  <si>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</si>
  <si>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</si>
  <si>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</si>
  <si>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</si>
  <si>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</si>
  <si>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</si>
  <si>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</si>
  <si>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</si>
  <si>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</si>
  <si>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</si>
  <si>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</si>
  <si>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</si>
  <si>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</si>
  <si>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</si>
  <si>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</si>
  <si>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</si>
  <si>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</si>
  <si>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</si>
  <si>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</si>
  <si>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</si>
  <si>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</si>
  <si>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</si>
  <si>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</si>
  <si>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</si>
  <si>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</si>
  <si>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</si>
  <si>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</si>
  <si>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</si>
  <si>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</si>
  <si>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</si>
  <si>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</si>
  <si>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</si>
  <si>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</si>
  <si>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</si>
  <si>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</si>
  <si>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</si>
  <si>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</si>
  <si>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</si>
  <si>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</si>
  <si>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</si>
  <si>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</si>
  <si>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</si>
  <si>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</si>
  <si>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</si>
  <si>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</si>
  <si>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</si>
  <si>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</si>
  <si>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</si>
  <si>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</si>
  <si>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</si>
  <si>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</si>
  <si>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</si>
  <si>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</si>
  <si>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</si>
  <si>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</si>
  <si>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</si>
  <si>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</si>
  <si>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</si>
  <si>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</si>
  <si>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</si>
  <si>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</si>
  <si>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</si>
  <si>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</si>
  <si>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</si>
  <si>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</si>
  <si>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</si>
  <si>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</si>
  <si>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</si>
  <si>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</si>
  <si>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</si>
  <si>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</si>
  <si>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</si>
  <si>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</si>
  <si>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</si>
  <si>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</si>
  <si>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</si>
  <si>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</si>
  <si>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</si>
  <si>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</si>
  <si>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</si>
  <si>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</si>
  <si>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</si>
  <si>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</si>
  <si>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</si>
  <si>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</si>
  <si>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</si>
  <si>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</si>
  <si>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</si>
  <si>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</si>
  <si>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</si>
  <si>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</si>
  <si>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</si>
  <si>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</si>
  <si>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</si>
  <si>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</si>
  <si>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</si>
  <si>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</si>
  <si>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</si>
  <si>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</si>
  <si>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</si>
  <si>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</si>
  <si>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</si>
  <si>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</si>
  <si>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</si>
  <si>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</si>
  <si>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</si>
  <si>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</si>
  <si>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</si>
  <si>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</si>
  <si>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</si>
  <si>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</si>
  <si>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</si>
  <si>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</si>
  <si>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</si>
  <si>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</si>
  <si>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</si>
  <si>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</si>
  <si>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</si>
  <si>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</si>
  <si>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</si>
  <si>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</si>
  <si>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</si>
  <si>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</si>
  <si>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</si>
  <si>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</si>
  <si>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</si>
  <si>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</si>
  <si>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</si>
  <si>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</si>
  <si>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</si>
  <si>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</si>
  <si>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</si>
  <si>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</si>
  <si>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</si>
  <si>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</si>
  <si>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</si>
  <si>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</si>
  <si>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</si>
  <si>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</si>
  <si>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</si>
  <si>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</si>
  <si>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</si>
  <si>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</si>
  <si>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</si>
  <si>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</si>
  <si>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</si>
  <si>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</si>
  <si>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</si>
  <si>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</si>
  <si>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</si>
  <si>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</si>
  <si>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</si>
  <si>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</si>
  <si>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</si>
  <si>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</si>
  <si>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</si>
  <si>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</si>
  <si>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</si>
  <si>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</si>
  <si>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</si>
  <si>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</si>
  <si>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</si>
  <si>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</si>
  <si>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</si>
  <si>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</si>
  <si>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</si>
  <si>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</si>
  <si>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</si>
  <si>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</si>
  <si>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</si>
  <si>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</si>
  <si>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</si>
  <si>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</si>
  <si>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</si>
  <si>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</si>
  <si>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</si>
  <si>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</si>
  <si>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</si>
  <si>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</si>
  <si>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</si>
  <si>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</si>
  <si>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</si>
  <si>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</si>
  <si>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</si>
  <si>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</si>
  <si>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</si>
  <si>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</si>
  <si>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</si>
  <si>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</si>
  <si>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</si>
  <si>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</si>
  <si>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</si>
  <si>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</si>
  <si>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</si>
  <si>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</si>
  <si>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</si>
  <si>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</si>
  <si>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</si>
  <si>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</si>
  <si>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</si>
  <si>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</si>
  <si>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</si>
  <si>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</si>
  <si>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</si>
  <si>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</si>
  <si>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</si>
  <si>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</si>
  <si>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</si>
  <si>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</si>
  <si>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</si>
  <si>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</si>
  <si>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</si>
  <si>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</si>
  <si>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</si>
  <si>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</si>
  <si>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</si>
  <si>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</si>
  <si>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</si>
  <si>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</si>
  <si>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</si>
  <si>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</si>
  <si>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</si>
  <si>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</si>
  <si>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</si>
  <si>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</si>
  <si>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</si>
  <si>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</si>
  <si>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</si>
  <si>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</si>
  <si>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</si>
  <si>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</si>
  <si>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</si>
  <si>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</si>
  <si>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</si>
  <si>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</si>
  <si>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</si>
  <si>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</si>
  <si>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</si>
  <si>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</si>
  <si>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</si>
  <si>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</si>
  <si>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</si>
  <si>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</si>
  <si>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</si>
  <si>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</si>
  <si>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</si>
  <si>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</si>
  <si>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</si>
  <si>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</si>
  <si>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</si>
  <si>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</si>
  <si>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</si>
  <si>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</si>
  <si>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</si>
  <si>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</si>
  <si>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</si>
  <si>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</si>
  <si>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</si>
  <si>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</si>
  <si>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</si>
  <si>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</si>
  <si>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</si>
  <si>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</si>
  <si>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</si>
  <si>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</si>
  <si>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</si>
  <si>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</si>
  <si>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</si>
  <si>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</si>
  <si>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</si>
  <si>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</si>
  <si>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</si>
  <si>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</si>
  <si>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</si>
  <si>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</si>
  <si>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</si>
  <si>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</si>
  <si>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</si>
  <si>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</si>
  <si>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</si>
  <si>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</si>
  <si>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</si>
  <si>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</si>
  <si>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</si>
  <si>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</si>
  <si>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</si>
  <si>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</si>
  <si>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</si>
  <si>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</si>
  <si>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</si>
  <si>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</si>
  <si>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</si>
  <si>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</si>
  <si>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</si>
  <si>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</si>
  <si>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</si>
  <si>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</si>
  <si>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</si>
  <si>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</si>
  <si>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</si>
  <si>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</si>
  <si>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</si>
  <si>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</si>
  <si>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</si>
  <si>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</si>
  <si>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</si>
  <si>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</si>
  <si>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</si>
  <si>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</si>
  <si>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</si>
  <si>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</si>
  <si>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</si>
  <si>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</si>
  <si>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</si>
  <si>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</si>
  <si>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</si>
  <si>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</si>
  <si>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</si>
  <si>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</si>
  <si>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</si>
  <si>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</si>
  <si>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</si>
  <si>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</si>
  <si>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</si>
  <si>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</si>
  <si>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</si>
  <si>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</si>
  <si>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</si>
  <si>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</si>
  <si>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</si>
  <si>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</si>
  <si>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</si>
  <si>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</si>
  <si>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</si>
  <si>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</si>
  <si>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</si>
  <si>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</si>
  <si>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</si>
  <si>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</si>
  <si>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</si>
  <si>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</si>
  <si>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</si>
  <si>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</si>
  <si>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</si>
  <si>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</si>
  <si>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</si>
  <si>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</si>
  <si>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</si>
  <si>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</si>
  <si>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</si>
  <si>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</si>
  <si>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</si>
  <si>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</si>
  <si>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</si>
  <si>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</si>
  <si>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</si>
  <si>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</si>
  <si>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</si>
  <si>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</si>
  <si>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</si>
  <si>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</si>
  <si>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</si>
  <si>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</si>
  <si>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</si>
  <si>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</si>
  <si>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</si>
  <si>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</si>
  <si>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</si>
  <si>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</si>
  <si>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</si>
  <si>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</si>
  <si>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</si>
  <si>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</si>
  <si>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</si>
  <si>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</si>
  <si>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</si>
  <si>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</si>
  <si>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</si>
  <si>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</si>
  <si>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</si>
  <si>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</si>
  <si>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</si>
  <si>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</si>
  <si>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</si>
  <si>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</si>
  <si>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</si>
  <si>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</si>
  <si>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</si>
  <si>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</si>
  <si>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</si>
  <si>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</si>
  <si>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</si>
  <si>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</si>
  <si>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</si>
  <si>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</si>
  <si>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</si>
  <si>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</si>
  <si>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</si>
  <si>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</si>
  <si>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</si>
  <si>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</si>
  <si>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</si>
  <si>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</si>
  <si>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</si>
  <si>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</si>
  <si>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</si>
  <si>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</si>
  <si>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</si>
  <si>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</si>
  <si>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</si>
  <si>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</si>
  <si>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</si>
  <si>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</si>
  <si>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</si>
  <si>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</si>
  <si>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</si>
  <si>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</si>
  <si>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</si>
  <si>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</si>
  <si>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</si>
  <si>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</si>
  <si>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</si>
  <si>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</si>
  <si>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</si>
  <si>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</si>
  <si>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</si>
  <si>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</si>
  <si>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</si>
  <si>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</si>
  <si>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</si>
  <si>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</si>
  <si>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</si>
  <si>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</si>
  <si>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</si>
  <si>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</si>
  <si>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</si>
  <si>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</si>
  <si>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</si>
  <si>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</si>
  <si>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</si>
  <si>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</si>
  <si>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</si>
  <si>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</si>
  <si>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</si>
  <si>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</si>
  <si>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</si>
  <si>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</si>
  <si>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</si>
  <si>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</si>
  <si>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</si>
  <si>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</si>
  <si>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</si>
  <si>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</si>
  <si>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</si>
  <si>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</si>
  <si>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</si>
  <si>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</si>
  <si>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</si>
  <si>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</si>
  <si>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</si>
  <si>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</si>
  <si>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</si>
  <si>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</si>
  <si>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</si>
  <si>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</si>
  <si>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</si>
  <si>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</si>
  <si>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</si>
  <si>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</si>
  <si>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</si>
  <si>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</si>
  <si>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</si>
  <si>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</si>
  <si>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</si>
  <si>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</si>
  <si>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</si>
  <si>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</si>
  <si>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</si>
  <si>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</si>
  <si>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</si>
  <si>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</si>
  <si>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</si>
  <si>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</si>
  <si>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</si>
  <si>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</si>
  <si>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</si>
  <si>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</si>
  <si>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</si>
  <si>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</si>
  <si>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</si>
  <si>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</si>
  <si>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</si>
  <si>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</si>
  <si>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</si>
  <si>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</si>
  <si>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</si>
  <si>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</si>
  <si>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</si>
  <si>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</si>
  <si>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</si>
  <si>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</si>
  <si>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</si>
  <si>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</si>
  <si>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</si>
  <si>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</si>
  <si>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</si>
  <si>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</si>
  <si>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</si>
  <si>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</si>
  <si>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</si>
  <si>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</si>
  <si>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</si>
  <si>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</si>
  <si>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</si>
  <si>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</si>
  <si>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</si>
  <si>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</si>
  <si>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</si>
  <si>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</si>
  <si>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</si>
  <si>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</si>
  <si>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</si>
  <si>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</si>
  <si>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</si>
  <si>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</si>
  <si>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</si>
  <si>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</si>
  <si>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</si>
  <si>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</si>
  <si>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</si>
  <si>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</si>
  <si>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</si>
  <si>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</si>
  <si>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</si>
  <si>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</si>
  <si>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</si>
  <si>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</si>
  <si>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</si>
  <si>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</si>
  <si>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</si>
  <si>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</si>
  <si>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</si>
  <si>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</si>
  <si>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</si>
  <si>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</si>
  <si>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</si>
  <si>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</si>
  <si>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</si>
  <si>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</si>
  <si>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</si>
  <si>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</si>
  <si>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</si>
  <si>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</si>
  <si>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</si>
  <si>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</si>
  <si>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</si>
  <si>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</si>
  <si>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</si>
  <si>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</si>
  <si>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</si>
  <si>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</si>
  <si>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</si>
  <si>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</si>
  <si>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</si>
  <si>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</si>
  <si>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</si>
  <si>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</si>
  <si>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</si>
  <si>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</si>
  <si>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</si>
  <si>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</si>
  <si>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</si>
  <si>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</si>
  <si>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</si>
  <si>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</si>
  <si>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</si>
  <si>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</si>
  <si>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</si>
  <si>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</si>
  <si>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</si>
  <si>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</si>
  <si>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</si>
  <si>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</si>
  <si>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</si>
  <si>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</si>
  <si>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</si>
  <si>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</si>
  <si>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</si>
  <si>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</si>
  <si>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</si>
  <si>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</si>
  <si>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</si>
  <si>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</si>
  <si>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</si>
  <si>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</si>
  <si>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</si>
  <si>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</si>
  <si>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</si>
  <si>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</si>
  <si>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</si>
  <si>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</si>
  <si>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</si>
  <si>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</si>
  <si>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</si>
  <si>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</si>
  <si>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</si>
  <si>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</si>
  <si>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</si>
  <si>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</si>
  <si>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</si>
  <si>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</si>
  <si>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</si>
  <si>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</si>
  <si>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</si>
  <si>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</si>
  <si>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</si>
  <si>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</si>
  <si>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</si>
  <si>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</si>
  <si>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</si>
  <si>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</si>
  <si>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</si>
  <si>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</si>
  <si>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</si>
  <si>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</si>
  <si>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</si>
  <si>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</si>
  <si>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</si>
  <si>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</si>
  <si>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</si>
  <si>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</si>
  <si>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</si>
  <si>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</si>
  <si>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</si>
  <si>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</si>
  <si>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</si>
  <si>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</si>
  <si>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</si>
  <si>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</si>
  <si>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</si>
  <si>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</si>
  <si>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</si>
  <si>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</si>
  <si>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</si>
  <si>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</si>
  <si>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</si>
  <si>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</si>
  <si>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</si>
  <si>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</si>
  <si>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</si>
  <si>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</si>
  <si>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</si>
  <si>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</si>
  <si>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</si>
  <si>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</si>
  <si>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</si>
  <si>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</si>
  <si>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</si>
  <si>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</si>
  <si>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</si>
  <si>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</si>
  <si>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</si>
  <si>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</si>
  <si>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</si>
  <si>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</si>
  <si>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</si>
  <si>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</si>
  <si>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</si>
  <si>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</si>
  <si>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</si>
  <si>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</si>
  <si>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</si>
  <si>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</si>
  <si>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</si>
  <si>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</si>
  <si>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</si>
  <si>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</si>
  <si>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</si>
  <si>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</si>
  <si>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</si>
  <si>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</si>
  <si>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</si>
  <si>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</si>
  <si>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</si>
  <si>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</si>
  <si>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</si>
  <si>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</si>
  <si>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</si>
  <si>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</si>
  <si>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</si>
  <si>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</si>
  <si>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</si>
  <si>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</si>
  <si>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</si>
  <si>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</si>
  <si>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</si>
  <si>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</si>
  <si>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</si>
  <si>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</si>
  <si>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</si>
  <si>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</si>
  <si>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</si>
  <si>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</si>
  <si>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</si>
  <si>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</si>
  <si>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</si>
  <si>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</si>
  <si>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</si>
  <si>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</si>
  <si>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</si>
  <si>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</si>
  <si>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</si>
  <si>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</si>
  <si>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</si>
  <si>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</si>
  <si>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</si>
  <si>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</si>
  <si>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</si>
  <si>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</si>
  <si>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</si>
  <si>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</si>
  <si>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</si>
  <si>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</si>
  <si>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</si>
  <si>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</si>
  <si>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</si>
  <si>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</si>
  <si>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</si>
  <si>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</si>
  <si>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</si>
  <si>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</si>
  <si>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</si>
  <si>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</si>
  <si>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</si>
  <si>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</si>
  <si>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</si>
  <si>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</si>
  <si>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</si>
  <si>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</si>
  <si>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</si>
  <si>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</si>
  <si>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</si>
  <si>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</si>
  <si>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</si>
  <si>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</si>
  <si>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</si>
  <si>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</si>
  <si>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</si>
  <si>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</si>
  <si>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</si>
  <si>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</si>
  <si>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</si>
  <si>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</si>
  <si>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</si>
  <si>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</si>
  <si>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</si>
  <si>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</si>
  <si>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</si>
  <si>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</si>
  <si>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</si>
  <si>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</si>
  <si>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</si>
  <si>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</si>
  <si>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</si>
  <si>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</si>
  <si>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</si>
  <si>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</si>
  <si>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</si>
  <si>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</si>
  <si>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</si>
  <si>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</si>
  <si>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</si>
  <si>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</si>
  <si>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</si>
  <si>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</si>
  <si>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</si>
  <si>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</si>
  <si>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</si>
  <si>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</si>
  <si>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</si>
  <si>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</si>
  <si>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</si>
  <si>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</si>
  <si>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</si>
  <si>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</si>
  <si>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</si>
  <si>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</si>
  <si>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</si>
  <si>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</si>
  <si>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</si>
  <si>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</si>
  <si>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</si>
  <si>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</si>
  <si>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</si>
  <si>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</si>
  <si>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</si>
  <si>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</si>
  <si>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</si>
  <si>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</si>
  <si>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</si>
  <si>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</si>
  <si>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</si>
  <si>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</si>
  <si>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</si>
  <si>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</si>
  <si>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</si>
  <si>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</si>
  <si>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</si>
  <si>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</si>
  <si>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</si>
  <si>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</si>
  <si>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</si>
  <si>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</si>
  <si>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</si>
  <si>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</si>
  <si>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</si>
  <si>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</si>
  <si>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</si>
  <si>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</si>
  <si>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</si>
  <si>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</si>
  <si>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</si>
  <si>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</si>
  <si>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</si>
  <si>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</si>
  <si>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</si>
  <si>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</si>
  <si>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</si>
  <si>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</si>
  <si>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</si>
  <si>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</si>
  <si>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</si>
  <si>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</si>
  <si>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</si>
  <si>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</si>
  <si>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</si>
  <si>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</si>
  <si>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</si>
  <si>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</si>
  <si>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</si>
  <si>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</si>
  <si>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</si>
  <si>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</si>
  <si>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</si>
  <si>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</si>
  <si>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</si>
  <si>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</si>
  <si>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</si>
  <si>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</si>
  <si>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</si>
  <si>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</si>
  <si>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</si>
  <si>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</si>
  <si>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</si>
  <si>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</si>
  <si>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</si>
  <si>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</si>
  <si>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</si>
  <si>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</si>
  <si>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</si>
  <si>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</si>
  <si>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</si>
  <si>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</si>
  <si>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</si>
  <si>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</si>
  <si>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</si>
  <si>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</si>
  <si>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</si>
  <si>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</si>
  <si>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</si>
  <si>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</si>
  <si>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</si>
  <si>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</si>
  <si>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</si>
  <si>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</si>
  <si>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</si>
  <si>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</si>
  <si>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</si>
  <si>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</si>
  <si>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</si>
  <si>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</si>
  <si>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</si>
  <si>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</si>
  <si>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</si>
  <si>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</si>
  <si>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</si>
  <si>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</si>
  <si>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</si>
  <si>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</si>
  <si>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</si>
  <si>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</si>
  <si>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</si>
  <si>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</si>
  <si>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</si>
  <si>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</si>
  <si>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</si>
  <si>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</si>
  <si>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</si>
  <si>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</si>
  <si>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</si>
  <si>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</si>
  <si>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</si>
  <si>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</si>
  <si>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</si>
  <si>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</si>
  <si>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</si>
  <si>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</si>
  <si>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</si>
  <si>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</si>
  <si>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</si>
  <si>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</si>
  <si>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</si>
  <si>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</si>
  <si>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</si>
  <si>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</si>
  <si>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</si>
  <si>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</si>
  <si>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</si>
  <si>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</si>
  <si>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</si>
  <si>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</si>
  <si>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</si>
  <si>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</si>
  <si>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</si>
  <si>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</si>
  <si>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</si>
  <si>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</si>
  <si>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</si>
  <si>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</si>
  <si>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</si>
  <si>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</si>
  <si>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</si>
  <si>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</si>
  <si>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</si>
  <si>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</si>
  <si>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</si>
  <si>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</si>
  <si>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</si>
  <si>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</si>
  <si>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</si>
  <si>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</si>
  <si>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</si>
  <si>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</si>
  <si>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</si>
  <si>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</si>
  <si>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</si>
  <si>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</si>
  <si>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</si>
  <si>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</si>
  <si>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</si>
  <si>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</si>
  <si>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</si>
  <si>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</si>
  <si>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</si>
  <si>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</si>
  <si>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</si>
  <si>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</si>
  <si>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</si>
  <si>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</si>
  <si>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</si>
  <si>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</si>
  <si>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</si>
  <si>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</si>
  <si>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</si>
  <si>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</si>
  <si>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</si>
  <si>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</si>
  <si>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</si>
  <si>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</si>
  <si>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</si>
  <si>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</si>
  <si>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</si>
  <si>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</si>
  <si>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</si>
  <si>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</si>
  <si>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</si>
  <si>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</si>
  <si>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</si>
  <si>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</si>
  <si>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</si>
  <si>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</si>
  <si>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</si>
  <si>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</si>
  <si>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</si>
  <si>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</si>
  <si>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</si>
  <si>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</si>
  <si>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</si>
  <si>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</si>
  <si>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</si>
  <si>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</si>
  <si>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</si>
  <si>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</si>
  <si>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</si>
  <si>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</si>
  <si>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</si>
  <si>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</si>
  <si>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</si>
  <si>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</si>
  <si>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</si>
  <si>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</si>
  <si>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</si>
  <si>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</si>
  <si>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</si>
  <si>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</si>
  <si>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</si>
  <si>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</si>
  <si>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</si>
  <si>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</si>
  <si>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</si>
  <si>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</si>
  <si>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</si>
  <si>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</si>
  <si>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</si>
  <si>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</si>
  <si>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</si>
  <si>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</si>
  <si>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</si>
  <si>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</si>
  <si>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</si>
  <si>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</si>
  <si>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</si>
  <si>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</si>
  <si>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</si>
  <si>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</si>
  <si>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</si>
  <si>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</si>
  <si>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</si>
  <si>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</si>
  <si>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</si>
  <si>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</si>
  <si>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</si>
  <si>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</si>
  <si>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</si>
  <si>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</si>
  <si>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</si>
  <si>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</si>
  <si>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</si>
  <si>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</si>
  <si>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</si>
  <si>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</si>
  <si>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</si>
  <si>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</si>
  <si>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</si>
  <si>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</si>
  <si>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</si>
  <si>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</si>
  <si>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</si>
  <si>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</si>
  <si>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</si>
  <si>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</si>
  <si>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</si>
  <si>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</si>
  <si>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</si>
  <si>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</si>
  <si>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</si>
  <si>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</si>
  <si>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</si>
  <si>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</si>
  <si>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</si>
  <si>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</si>
  <si>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</si>
  <si>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</si>
  <si>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</si>
  <si>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</si>
  <si>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</si>
  <si>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</si>
  <si>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</si>
  <si>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</si>
  <si>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</si>
  <si>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</si>
  <si>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</si>
  <si>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</si>
  <si>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</si>
  <si>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</si>
  <si>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</si>
  <si>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</si>
  <si>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</si>
  <si>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</si>
  <si>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</si>
  <si>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</si>
  <si>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</si>
  <si>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</si>
  <si>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</si>
  <si>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</si>
  <si>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</si>
  <si>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</si>
  <si>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</si>
  <si>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</si>
  <si>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</si>
  <si>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</si>
  <si>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</si>
  <si>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</si>
  <si>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</si>
  <si>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</si>
  <si>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</si>
  <si>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</si>
  <si>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</si>
  <si>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</si>
  <si>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</si>
  <si>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</si>
  <si>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</si>
  <si>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</si>
  <si>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</si>
  <si>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</si>
  <si>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</si>
  <si>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</si>
  <si>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</si>
  <si>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</si>
  <si>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</si>
  <si>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</si>
  <si>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</si>
  <si>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</si>
  <si>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</si>
  <si>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</si>
  <si>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</si>
  <si>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</si>
  <si>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</si>
  <si>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</si>
  <si>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</si>
  <si>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</si>
  <si>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</si>
  <si>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</si>
  <si>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</si>
  <si>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</si>
  <si>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</si>
  <si>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</si>
  <si>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</si>
  <si>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</si>
  <si>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</si>
  <si>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</si>
  <si>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</si>
  <si>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</si>
  <si>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</si>
  <si>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</si>
  <si>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</si>
  <si>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</si>
  <si>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</si>
  <si>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</si>
  <si>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</si>
  <si>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</si>
  <si>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</si>
  <si>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</si>
  <si>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</si>
  <si>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</si>
  <si>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</si>
  <si>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</si>
  <si>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</si>
  <si>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</si>
  <si>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</si>
  <si>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</si>
  <si>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</si>
  <si>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</si>
  <si>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</si>
  <si>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</si>
  <si>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</si>
  <si>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</si>
  <si>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</si>
  <si>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</si>
  <si>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</si>
  <si>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</si>
  <si>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</si>
  <si>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</si>
  <si>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</si>
  <si>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</si>
  <si>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</si>
  <si>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</si>
  <si>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</si>
  <si>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</si>
  <si>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</si>
  <si>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</si>
  <si>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</si>
  <si>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</si>
  <si>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</si>
  <si>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</si>
  <si>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</si>
  <si>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</si>
  <si>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</si>
  <si>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</si>
  <si>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</si>
  <si>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</si>
  <si>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</si>
  <si>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</si>
  <si>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</si>
  <si>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</si>
  <si>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</si>
  <si>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</si>
  <si>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</si>
  <si>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</si>
  <si>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</si>
  <si>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</si>
  <si>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</si>
  <si>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</si>
  <si>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</si>
  <si>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</si>
  <si>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</si>
  <si>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</si>
  <si>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</si>
  <si>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</si>
  <si>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</si>
  <si>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</si>
  <si>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</si>
  <si>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</si>
  <si>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</si>
  <si>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</si>
  <si>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</si>
  <si>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</si>
  <si>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</si>
  <si>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</si>
  <si>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</si>
  <si>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</si>
  <si>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</si>
  <si>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</si>
  <si>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</si>
  <si>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</si>
  <si>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</si>
  <si>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</si>
  <si>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</si>
  <si>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</si>
  <si>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</si>
  <si>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</si>
  <si>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</si>
  <si>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</si>
  <si>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</si>
  <si>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</si>
  <si>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</si>
  <si>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</si>
  <si>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</si>
  <si>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</si>
  <si>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</si>
  <si>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</si>
  <si>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</si>
  <si>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</si>
  <si>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</si>
  <si>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</si>
  <si>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</si>
  <si>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</si>
  <si>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</si>
  <si>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</si>
  <si>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</si>
  <si>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</si>
  <si>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</si>
  <si>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</si>
  <si>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</si>
  <si>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</si>
  <si>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</si>
  <si>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</si>
  <si>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</si>
  <si>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</si>
  <si>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</si>
  <si>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</si>
  <si>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</si>
  <si>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</si>
  <si>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</si>
  <si>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</si>
  <si>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</si>
  <si>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</si>
  <si>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</si>
  <si>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</si>
  <si>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</si>
  <si>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</si>
  <si>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</si>
  <si>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</si>
  <si>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</si>
  <si>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</si>
  <si>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</si>
  <si>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</si>
  <si>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</si>
  <si>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</si>
  <si>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</si>
  <si>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</si>
  <si>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</si>
  <si>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</si>
  <si>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</si>
  <si>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</si>
  <si>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</si>
  <si>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</si>
  <si>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</si>
  <si>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</si>
  <si>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</si>
  <si>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</si>
  <si>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</si>
  <si>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</si>
  <si>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</si>
  <si>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</si>
  <si>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</si>
  <si>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</si>
  <si>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</si>
  <si>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</si>
  <si>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</si>
  <si>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</si>
  <si>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</si>
  <si>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</si>
  <si>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</si>
  <si>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</si>
  <si>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</si>
  <si>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</si>
  <si>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</si>
  <si>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</si>
  <si>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</si>
  <si>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</si>
  <si>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</si>
  <si>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</si>
  <si>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</si>
  <si>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</si>
  <si>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</si>
  <si>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</si>
  <si>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</si>
  <si>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</si>
  <si>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</si>
  <si>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</si>
  <si>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</si>
  <si>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</si>
  <si>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</si>
  <si>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</si>
  <si>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</si>
  <si>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</si>
  <si>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</si>
  <si>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</si>
  <si>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</si>
  <si>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</si>
  <si>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</si>
  <si>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</si>
  <si>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</si>
  <si>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</si>
  <si>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</si>
  <si>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</si>
  <si>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</si>
  <si>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</si>
  <si>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</si>
  <si>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</si>
  <si>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</si>
  <si>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</si>
  <si>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</si>
  <si>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</si>
  <si>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</si>
  <si>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</si>
  <si>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</si>
  <si>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</si>
  <si>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</si>
  <si>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</si>
  <si>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</si>
  <si>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</si>
  <si>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</si>
  <si>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</si>
  <si>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</si>
  <si>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</si>
  <si>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</si>
  <si>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</si>
  <si>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</si>
  <si>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</si>
  <si>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</si>
  <si>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</si>
  <si>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</si>
  <si>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</si>
  <si>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</si>
  <si>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</si>
  <si>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</si>
  <si>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</si>
  <si>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</si>
  <si>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</si>
  <si>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</si>
  <si>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</si>
  <si>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</si>
  <si>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</si>
  <si>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</si>
  <si>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</si>
  <si>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</si>
  <si>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</si>
  <si>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</si>
  <si>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</si>
  <si>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</si>
  <si>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</si>
  <si>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</si>
  <si>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</si>
  <si>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</si>
  <si>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</si>
  <si>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</si>
  <si>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</si>
  <si>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</si>
  <si>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</si>
  <si>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</si>
  <si>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</si>
  <si>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</si>
  <si>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</si>
  <si>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</si>
  <si>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</si>
  <si>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</si>
  <si>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</si>
  <si>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</si>
  <si>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</si>
  <si>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</si>
  <si>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</si>
  <si>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</si>
  <si>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</si>
  <si>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</si>
  <si>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</si>
  <si>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</si>
  <si>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</si>
  <si>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</si>
  <si>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</si>
  <si>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</si>
  <si>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</si>
  <si>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</si>
  <si>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</si>
  <si>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</si>
  <si>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</si>
  <si>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</si>
  <si>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</si>
  <si>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</si>
  <si>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</si>
  <si>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</si>
  <si>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</si>
  <si>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</si>
  <si>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</si>
  <si>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</si>
  <si>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</si>
  <si>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</si>
  <si>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</si>
  <si>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</si>
  <si>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</si>
  <si>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</si>
  <si>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</si>
  <si>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</si>
  <si>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</si>
  <si>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</si>
  <si>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</si>
  <si>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</si>
  <si>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</si>
  <si>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</si>
  <si>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</si>
  <si>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</si>
  <si>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</si>
  <si>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</si>
  <si>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</si>
  <si>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</si>
  <si>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</si>
  <si>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</si>
  <si>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</si>
  <si>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</si>
  <si>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</si>
  <si>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</si>
  <si>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</si>
  <si>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</si>
  <si>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</si>
  <si>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</si>
  <si>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</si>
  <si>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</si>
  <si>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</si>
  <si>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</si>
  <si>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</si>
  <si>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</si>
  <si>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</si>
  <si>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</si>
  <si>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</si>
  <si>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</si>
  <si>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</si>
  <si>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</si>
  <si>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</si>
  <si>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</si>
  <si>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</si>
  <si>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</si>
  <si>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</si>
  <si>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</si>
  <si>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</si>
  <si>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</si>
  <si>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</si>
  <si>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</si>
  <si>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</si>
  <si>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</si>
  <si>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</si>
  <si>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</si>
  <si>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</si>
  <si>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</si>
  <si>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</si>
  <si>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</si>
  <si>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</si>
  <si>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</si>
  <si>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</si>
  <si>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</si>
  <si>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</si>
  <si>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</si>
  <si>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</si>
  <si>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</si>
  <si>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</si>
  <si>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</si>
  <si>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</si>
  <si>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</si>
  <si>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</si>
  <si>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</si>
  <si>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</si>
  <si>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</si>
  <si>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</si>
  <si>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</si>
  <si>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</si>
  <si>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</si>
  <si>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</si>
  <si>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</si>
  <si>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</si>
  <si>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</si>
  <si>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</si>
  <si>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</si>
  <si>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</si>
  <si>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</si>
  <si>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</si>
  <si>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</si>
  <si>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</si>
  <si>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</si>
  <si>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</si>
  <si>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</si>
  <si>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</si>
  <si>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</si>
  <si>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</si>
  <si>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</si>
  <si>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</si>
  <si>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</si>
  <si>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</si>
  <si>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</si>
  <si>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</si>
  <si>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</si>
  <si>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</si>
  <si>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</si>
  <si>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</si>
  <si>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</si>
  <si>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</si>
  <si>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</si>
  <si>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</si>
  <si>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</si>
  <si>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</si>
  <si>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</si>
  <si>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</si>
  <si>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</si>
  <si>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</si>
  <si>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</si>
  <si>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</si>
  <si>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</si>
  <si>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</si>
  <si>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</si>
  <si>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</si>
  <si>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</si>
  <si>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</si>
  <si>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</si>
  <si>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</si>
  <si>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</si>
  <si>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</si>
  <si>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</si>
  <si>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</si>
  <si>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</si>
  <si>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</si>
  <si>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</si>
  <si>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</si>
  <si>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</si>
  <si>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</si>
  <si>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</si>
  <si>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</si>
  <si>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</si>
  <si>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</si>
  <si>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</si>
  <si>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</si>
  <si>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</si>
  <si>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</si>
  <si>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</si>
  <si>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</si>
  <si>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</si>
  <si>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</si>
  <si>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</si>
  <si>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</si>
  <si>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</si>
  <si>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</si>
  <si>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</si>
  <si>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</si>
  <si>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</si>
  <si>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</si>
  <si>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</si>
  <si>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</si>
  <si>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</si>
  <si>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</si>
  <si>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</si>
  <si>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</si>
  <si>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</si>
  <si>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</si>
  <si>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</si>
  <si>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</si>
  <si>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</si>
  <si>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</si>
  <si>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</si>
  <si>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</si>
  <si>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</si>
  <si>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</si>
  <si>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</si>
  <si>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</si>
  <si>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</si>
  <si>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</si>
  <si>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</si>
  <si>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</si>
  <si>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</si>
  <si>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</si>
  <si>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</si>
  <si>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</si>
  <si>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</si>
  <si>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</si>
  <si>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</si>
  <si>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</si>
  <si>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</si>
  <si>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</si>
  <si>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</si>
  <si>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</si>
  <si>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</si>
  <si>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</si>
  <si>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</si>
  <si>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</si>
  <si>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</si>
  <si>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</si>
  <si>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</si>
  <si>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</si>
  <si>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</si>
  <si>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</si>
  <si>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</si>
  <si>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</si>
  <si>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</si>
  <si>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</si>
  <si>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</si>
  <si>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</si>
  <si>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</si>
  <si>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</si>
  <si>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</si>
  <si>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</si>
  <si>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</si>
  <si>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</si>
  <si>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</si>
  <si>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</si>
  <si>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</si>
  <si>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</si>
  <si>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</si>
  <si>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</si>
  <si>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</si>
  <si>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</si>
  <si>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</si>
  <si>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</si>
  <si>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</si>
  <si>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</si>
  <si>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</si>
  <si>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</si>
  <si>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</si>
  <si>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</si>
  <si>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</si>
  <si>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</si>
  <si>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</si>
  <si>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</si>
  <si>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</si>
  <si>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</si>
  <si>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</si>
  <si>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</si>
  <si>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</si>
  <si>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</si>
  <si>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</si>
  <si>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</si>
  <si>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</si>
  <si>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</si>
  <si>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</si>
  <si>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</si>
  <si>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</si>
  <si>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</si>
  <si>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</si>
  <si>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</si>
  <si>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</si>
  <si>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</si>
  <si>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</si>
  <si>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</si>
  <si>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</si>
  <si>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</si>
  <si>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</si>
  <si>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</si>
  <si>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</si>
  <si>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</si>
  <si>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</si>
  <si>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</si>
  <si>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</si>
  <si>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</si>
  <si>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</si>
  <si>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</si>
  <si>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</si>
  <si>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</si>
  <si>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</si>
  <si>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</si>
  <si>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</si>
  <si>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</si>
  <si>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</si>
  <si>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</si>
  <si>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</si>
  <si>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</si>
  <si>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</si>
  <si>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</si>
  <si>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</si>
  <si>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</si>
  <si>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</si>
  <si>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</si>
  <si>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</si>
  <si>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</si>
  <si>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</si>
  <si>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</si>
  <si>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</si>
  <si>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</si>
  <si>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</si>
  <si>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</si>
  <si>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</si>
  <si>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</si>
  <si>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</si>
  <si>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</si>
  <si>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</si>
  <si>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</si>
  <si>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</si>
  <si>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</si>
  <si>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</si>
  <si>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</si>
  <si>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</si>
  <si>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</si>
  <si>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</si>
  <si>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</si>
  <si>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</si>
  <si>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</si>
  <si>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</si>
  <si>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</si>
  <si>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</si>
  <si>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</si>
  <si>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</si>
  <si>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</si>
  <si>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</si>
  <si>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</si>
  <si>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</si>
  <si>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</si>
  <si>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</si>
  <si>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</si>
  <si>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</si>
  <si>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</si>
  <si>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</si>
  <si>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</si>
  <si>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</si>
  <si>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</si>
  <si>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</si>
  <si>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</si>
  <si>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</si>
  <si>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</si>
  <si>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</si>
  <si>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</si>
  <si>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</si>
  <si>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</si>
  <si>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</si>
  <si>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</si>
  <si>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</si>
  <si>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</si>
  <si>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</si>
  <si>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</si>
  <si>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</si>
  <si>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</si>
  <si>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</si>
  <si>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</si>
  <si>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</si>
  <si>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</si>
  <si>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</si>
  <si>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</si>
  <si>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</si>
  <si>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</si>
  <si>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</si>
  <si>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</si>
  <si>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</si>
  <si>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</si>
  <si>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</si>
  <si>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</si>
  <si>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</si>
  <si>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</si>
  <si>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</si>
  <si>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</si>
  <si>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</si>
  <si>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</si>
  <si>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</si>
  <si>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</si>
  <si>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</si>
  <si>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</si>
  <si>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</si>
  <si>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</si>
  <si>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</si>
  <si>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</si>
  <si>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</si>
  <si>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</si>
  <si>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</si>
  <si>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</si>
  <si>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</si>
  <si>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</si>
  <si>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</si>
  <si>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</si>
  <si>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</si>
  <si>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</si>
  <si>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</si>
  <si>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</si>
  <si>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</si>
  <si>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</si>
  <si>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</si>
  <si>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</si>
  <si>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</si>
  <si>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</si>
  <si>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</si>
  <si>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</si>
  <si>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</si>
  <si>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</si>
  <si>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</si>
  <si>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</si>
  <si>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</si>
  <si>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</si>
  <si>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</si>
  <si>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</si>
  <si>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</si>
  <si>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</si>
  <si>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</si>
  <si>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</si>
  <si>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</si>
  <si>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</si>
  <si>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</si>
  <si>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</si>
  <si>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</si>
  <si>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</si>
  <si>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</si>
  <si>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</si>
  <si>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</si>
  <si>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</si>
  <si>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</si>
  <si>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</si>
  <si>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</si>
  <si>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</si>
  <si>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</si>
  <si>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</si>
  <si>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</si>
  <si>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</si>
  <si>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</si>
  <si>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</si>
  <si>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</si>
  <si>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</si>
  <si>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</si>
  <si>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</si>
  <si>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</si>
  <si>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</si>
  <si>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</si>
  <si>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</si>
  <si>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</si>
  <si>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</si>
  <si>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</si>
  <si>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</si>
  <si>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</si>
  <si>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</si>
  <si>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</si>
  <si>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</si>
  <si>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</si>
  <si>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</si>
  <si>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</si>
  <si>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</si>
  <si>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</si>
  <si>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</si>
  <si>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</si>
  <si>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</si>
  <si>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</si>
  <si>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</si>
  <si>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</si>
  <si>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</si>
  <si>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</si>
  <si>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</si>
  <si>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</si>
  <si>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</si>
  <si>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</si>
  <si>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</si>
  <si>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</si>
  <si>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</si>
  <si>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</si>
  <si>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</si>
  <si>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</si>
  <si>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</si>
  <si>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</si>
  <si>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</si>
  <si>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</si>
  <si>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</si>
  <si>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</si>
  <si>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</si>
  <si>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</si>
  <si>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</si>
  <si>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</si>
  <si>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</si>
  <si>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</si>
  <si>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</si>
  <si>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</si>
  <si>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</si>
  <si>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</si>
  <si>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</si>
  <si>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</si>
  <si>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</si>
  <si>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</si>
  <si>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</si>
  <si>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</si>
  <si>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</si>
  <si>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</si>
  <si>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</si>
  <si>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</si>
  <si>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</si>
  <si>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</si>
  <si>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</si>
  <si>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</si>
  <si>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</si>
  <si>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</si>
  <si>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</si>
  <si>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</si>
  <si>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</si>
  <si>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</si>
  <si>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</si>
  <si>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</si>
  <si>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</si>
  <si>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</si>
  <si>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</si>
  <si>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</si>
  <si>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</si>
  <si>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</si>
  <si>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</si>
  <si>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</si>
  <si>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</si>
  <si>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</si>
  <si>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</si>
  <si>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</si>
  <si>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</si>
  <si>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</si>
  <si>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</si>
  <si>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</si>
  <si>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</si>
  <si>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</si>
  <si>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</si>
  <si>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</si>
  <si>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</si>
  <si>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</si>
  <si>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</si>
  <si>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</si>
  <si>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</si>
  <si>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</si>
  <si>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</si>
  <si>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</si>
  <si>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</si>
  <si>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</si>
  <si>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</si>
  <si>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</si>
  <si>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</si>
  <si>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</si>
  <si>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</si>
  <si>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</si>
  <si>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</si>
  <si>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</si>
  <si>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</si>
  <si>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</si>
  <si>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</si>
  <si>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</si>
  <si>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</si>
  <si>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</si>
  <si>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</si>
  <si>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</si>
  <si>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</si>
  <si>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</si>
  <si>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</si>
  <si>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</si>
  <si>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</si>
  <si>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</si>
  <si>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</si>
  <si>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</si>
  <si>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</si>
  <si>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</si>
  <si>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</si>
  <si>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</si>
  <si>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</si>
  <si>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</si>
  <si>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</si>
  <si>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</si>
  <si>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</si>
  <si>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</si>
  <si>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</si>
  <si>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</si>
  <si>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</si>
  <si>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</si>
  <si>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</si>
  <si>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</si>
  <si>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</si>
  <si>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</si>
  <si>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</si>
  <si>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</si>
  <si>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</si>
  <si>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</si>
  <si>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</si>
  <si>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</si>
  <si>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</si>
  <si>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</si>
  <si>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</si>
  <si>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</si>
  <si>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</si>
  <si>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</si>
  <si>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</si>
  <si>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</si>
  <si>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</si>
  <si>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</si>
  <si>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</si>
  <si>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</si>
  <si>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</si>
  <si>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</si>
  <si>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</si>
  <si>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</si>
  <si>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</si>
  <si>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</si>
  <si>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</si>
  <si>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</si>
  <si>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</si>
  <si>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</si>
  <si>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</si>
  <si>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</si>
  <si>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</si>
  <si>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</si>
  <si>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</si>
  <si>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</si>
  <si>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</si>
  <si>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</si>
  <si>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</si>
  <si>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</si>
  <si>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</si>
  <si>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</si>
  <si>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</si>
  <si>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</si>
  <si>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</si>
  <si>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</si>
  <si>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</si>
  <si>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</si>
  <si>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</si>
  <si>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</si>
  <si>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</si>
  <si>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</si>
  <si>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</si>
  <si>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</si>
  <si>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</si>
  <si>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</si>
  <si>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</si>
  <si>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</si>
  <si>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</si>
  <si>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</si>
  <si>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</si>
  <si>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</si>
  <si>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</si>
  <si>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</si>
  <si>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</si>
  <si>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</si>
  <si>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</si>
  <si>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</si>
  <si>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</si>
  <si>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</si>
  <si>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</si>
  <si>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</si>
  <si>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</si>
  <si>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</si>
  <si>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</si>
  <si>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</si>
  <si>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</si>
  <si>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</si>
  <si>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</si>
  <si>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</si>
  <si>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</si>
  <si>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</si>
  <si>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</si>
  <si>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</si>
  <si>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</si>
  <si>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</si>
  <si>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</si>
  <si>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</si>
  <si>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</si>
  <si>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</si>
  <si>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</si>
  <si>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</si>
  <si>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</si>
  <si>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</si>
  <si>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</si>
  <si>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</si>
  <si>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</si>
  <si>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</si>
  <si>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</si>
  <si>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</si>
  <si>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</si>
  <si>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</si>
  <si>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</si>
  <si>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</si>
  <si>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</si>
  <si>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</si>
  <si>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</si>
  <si>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</si>
  <si>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</si>
  <si>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</si>
  <si>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</si>
  <si>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</si>
  <si>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</si>
  <si>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</si>
  <si>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</si>
  <si>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</si>
  <si>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</si>
  <si>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</si>
  <si>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</si>
  <si>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</si>
  <si>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</si>
  <si>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</si>
  <si>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</si>
  <si>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</si>
  <si>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</si>
  <si>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</si>
  <si>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</si>
  <si>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</si>
  <si>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</si>
  <si>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</si>
  <si>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</si>
  <si>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</si>
  <si>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</si>
  <si>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</si>
  <si>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</si>
  <si>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</si>
  <si>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</si>
  <si>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</si>
  <si>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</si>
  <si>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</si>
  <si>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</si>
  <si>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</si>
  <si>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</si>
  <si>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</si>
  <si>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</si>
  <si>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</si>
  <si>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</si>
  <si>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</si>
  <si>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</si>
  <si>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</si>
  <si>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</si>
  <si>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</si>
  <si>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</si>
  <si>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</si>
  <si>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</si>
  <si>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</si>
  <si>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</si>
  <si>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</si>
  <si>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</si>
  <si>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</si>
  <si>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</si>
  <si>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</si>
  <si>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</si>
  <si>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</si>
  <si>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</si>
  <si>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</si>
  <si>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</si>
  <si>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</si>
  <si>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</si>
  <si>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</si>
  <si>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</si>
  <si>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</si>
  <si>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</si>
  <si>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</si>
  <si>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</si>
  <si>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</si>
  <si>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</si>
  <si>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</si>
  <si>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</si>
  <si>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</si>
  <si>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</si>
  <si>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</si>
  <si>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</si>
  <si>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</si>
  <si>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</si>
  <si>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</si>
  <si>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</si>
  <si>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</si>
  <si>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</si>
  <si>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</si>
  <si>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</si>
  <si>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</si>
  <si>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</si>
  <si>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</si>
  <si>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</si>
  <si>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</si>
  <si>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</si>
  <si>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</si>
  <si>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</si>
  <si>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</si>
  <si>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</si>
  <si>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</si>
  <si>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</si>
  <si>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</si>
  <si>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</si>
  <si>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</si>
  <si>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</si>
  <si>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</si>
  <si>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</si>
  <si>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</si>
  <si>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</si>
  <si>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</si>
  <si>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</si>
  <si>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</si>
  <si>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</si>
  <si>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</si>
  <si>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</si>
  <si>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</si>
  <si>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</si>
  <si>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</si>
  <si>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</si>
  <si>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</si>
  <si>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</si>
  <si>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</si>
  <si>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</si>
  <si>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</si>
  <si>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</si>
  <si>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</si>
  <si>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</si>
  <si>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</si>
  <si>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</si>
  <si>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</si>
  <si>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</si>
  <si>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</si>
  <si>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</si>
  <si>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</si>
  <si>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</si>
  <si>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</si>
  <si>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</si>
  <si>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</si>
  <si>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</si>
  <si>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</si>
  <si>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</si>
  <si>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</si>
  <si>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</si>
  <si>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</si>
  <si>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</si>
  <si>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</si>
  <si>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</si>
  <si>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</si>
  <si>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</si>
  <si>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</si>
  <si>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</si>
  <si>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</si>
  <si>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</si>
  <si>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</si>
  <si>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</si>
  <si>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</si>
  <si>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</si>
  <si>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</si>
  <si>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</si>
  <si>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</si>
  <si>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</si>
  <si>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</si>
  <si>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</si>
  <si>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</si>
  <si>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</si>
  <si>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</si>
  <si>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</si>
  <si>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</si>
  <si>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</si>
  <si>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</si>
  <si>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</si>
  <si>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</si>
  <si>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</si>
  <si>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</si>
  <si>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</si>
  <si>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</si>
  <si>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</si>
  <si>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</si>
  <si>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</si>
  <si>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</si>
  <si>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</si>
  <si>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</si>
  <si>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</si>
  <si>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</si>
  <si>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</si>
  <si>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</si>
  <si>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</si>
  <si>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</si>
  <si>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</si>
  <si>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</si>
  <si>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</si>
  <si>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</si>
  <si>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</si>
  <si>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</si>
  <si>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</si>
  <si>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</si>
  <si>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</si>
  <si>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</si>
  <si>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</si>
  <si>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</si>
  <si>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</si>
  <si>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</si>
  <si>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</si>
  <si>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</si>
  <si>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</si>
  <si>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</si>
  <si>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</si>
  <si>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</si>
  <si>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</si>
  <si>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</si>
  <si>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</si>
  <si>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</si>
  <si>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</si>
  <si>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</si>
  <si>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</si>
  <si>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</si>
  <si>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</si>
  <si>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</si>
  <si>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</si>
  <si>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</si>
  <si>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</si>
  <si>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</si>
  <si>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</si>
  <si>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</si>
  <si>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</si>
  <si>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</si>
  <si>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</si>
  <si>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</si>
  <si>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</si>
  <si>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</si>
  <si>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</si>
  <si>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</si>
  <si>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</si>
  <si>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</si>
  <si>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</si>
  <si>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</si>
  <si>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</si>
  <si>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</si>
  <si>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</si>
  <si>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</si>
  <si>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</si>
  <si>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</si>
  <si>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</si>
  <si>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</si>
  <si>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</si>
  <si>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</si>
  <si>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</si>
  <si>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</si>
  <si>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</si>
  <si>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</si>
  <si>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</si>
  <si>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</si>
  <si>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</si>
  <si>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</si>
  <si>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</si>
  <si>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</si>
  <si>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</si>
  <si>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</si>
  <si>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</si>
  <si>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</si>
  <si>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</si>
  <si>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</si>
  <si>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</si>
  <si>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</si>
  <si>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</si>
  <si>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</si>
  <si>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</si>
  <si>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</si>
  <si>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</si>
  <si>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</si>
  <si>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</si>
  <si>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</si>
  <si>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</si>
  <si>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</si>
  <si>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</si>
  <si>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</si>
  <si>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</si>
  <si>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</si>
  <si>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</si>
  <si>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</si>
  <si>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</si>
  <si>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</si>
  <si>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</si>
  <si>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</si>
  <si>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</si>
  <si>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</si>
  <si>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</si>
  <si>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</si>
  <si>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</si>
  <si>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</si>
  <si>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</si>
  <si>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</si>
  <si>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</si>
  <si>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</si>
  <si>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</si>
  <si>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</si>
  <si>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</si>
  <si>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</si>
  <si>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</si>
  <si>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</si>
  <si>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</si>
  <si>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</si>
  <si>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</si>
  <si>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</si>
  <si>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</si>
  <si>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</si>
  <si>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</si>
  <si>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</si>
  <si>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</si>
  <si>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</si>
  <si>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</si>
  <si>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</si>
  <si>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</si>
  <si>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</si>
  <si>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</si>
  <si>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</si>
  <si>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</si>
  <si>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</si>
  <si>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</si>
  <si>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</si>
  <si>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</si>
  <si>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</si>
  <si>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</si>
  <si>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</si>
  <si>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</si>
  <si>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</si>
  <si>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</si>
  <si>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</si>
  <si>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</si>
  <si>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</si>
  <si>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</si>
  <si>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</si>
  <si>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</si>
  <si>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</si>
  <si>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</si>
  <si>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</si>
  <si>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</si>
  <si>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</si>
  <si>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</si>
  <si>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</si>
  <si>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</si>
  <si>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</si>
  <si>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</si>
  <si>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</si>
  <si>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</si>
  <si>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</si>
  <si>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</si>
  <si>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</si>
  <si>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</si>
  <si>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</si>
  <si>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</si>
  <si>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</si>
  <si>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</si>
  <si>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</si>
  <si>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</si>
  <si>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</si>
  <si>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</si>
  <si>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</si>
  <si>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</si>
  <si>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</si>
  <si>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</si>
  <si>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</si>
  <si>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</si>
  <si>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</si>
  <si>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</si>
  <si>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</si>
  <si>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</si>
  <si>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</si>
  <si>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</si>
  <si>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</si>
  <si>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</si>
  <si>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</si>
  <si>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</si>
  <si>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</si>
  <si>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</si>
  <si>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</si>
  <si>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</si>
  <si>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</si>
  <si>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</si>
  <si>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</si>
  <si>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</si>
  <si>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</si>
  <si>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</si>
  <si>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</si>
  <si>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</si>
  <si>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</si>
  <si>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</si>
  <si>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</si>
  <si>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</si>
  <si>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</si>
  <si>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</si>
  <si>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</si>
  <si>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</si>
  <si>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</si>
  <si>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</si>
  <si>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</si>
  <si>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</si>
  <si>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</si>
  <si>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</si>
  <si>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</si>
  <si>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</si>
  <si>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</si>
  <si>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</si>
  <si>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</si>
  <si>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</si>
  <si>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</si>
  <si>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</si>
  <si>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</si>
  <si>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</si>
  <si>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</si>
  <si>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</si>
  <si>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</si>
  <si>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</si>
  <si>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</si>
  <si>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</si>
  <si>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</si>
  <si>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</si>
  <si>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</si>
  <si>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</si>
  <si>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</si>
  <si>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</si>
  <si>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</si>
  <si>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</si>
  <si>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</si>
  <si>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</si>
  <si>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</si>
  <si>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</si>
  <si>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</si>
  <si>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</si>
  <si>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</si>
  <si>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</si>
  <si>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</si>
  <si>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</si>
  <si>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</si>
  <si>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</si>
  <si>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</si>
  <si>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</si>
  <si>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</si>
  <si>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</si>
  <si>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</si>
  <si>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</si>
  <si>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</si>
  <si>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</si>
  <si>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</si>
  <si>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</si>
  <si>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</si>
  <si>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</si>
  <si>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</si>
  <si>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</si>
  <si>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</si>
  <si>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</si>
  <si>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</si>
  <si>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</si>
  <si>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</si>
  <si>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</si>
  <si>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</si>
  <si>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</si>
  <si>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</si>
  <si>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</si>
  <si>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</si>
  <si>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</si>
  <si>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</si>
  <si>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</si>
  <si>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</si>
  <si>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</si>
  <si>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</si>
  <si>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</si>
  <si>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</si>
  <si>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</si>
  <si>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</si>
  <si>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</si>
  <si>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</si>
  <si>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</si>
  <si>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</si>
  <si>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</si>
  <si>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</si>
  <si>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</si>
  <si>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</si>
  <si>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</si>
  <si>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</si>
  <si>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</si>
  <si>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</si>
  <si>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</si>
  <si>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</si>
  <si>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</si>
  <si>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</si>
  <si>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</si>
  <si>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</si>
  <si>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</si>
  <si>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</si>
  <si>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</si>
  <si>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</si>
  <si>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</si>
  <si>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</si>
  <si>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</si>
  <si>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</si>
  <si>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</si>
  <si>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</si>
  <si>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</si>
  <si>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</si>
  <si>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</si>
  <si>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</si>
  <si>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</si>
  <si>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</si>
  <si>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</si>
  <si>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</si>
  <si>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</si>
  <si>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</si>
  <si>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</si>
  <si>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</si>
  <si>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</si>
  <si>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</si>
  <si>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</si>
  <si>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</si>
  <si>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</si>
  <si>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</si>
  <si>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</si>
  <si>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</si>
  <si>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</si>
  <si>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</si>
  <si>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</si>
  <si>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</si>
  <si>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</si>
  <si>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</si>
  <si>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</si>
  <si>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</si>
  <si>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</si>
  <si>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</si>
  <si>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</si>
  <si>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</si>
  <si>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</si>
  <si>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</si>
  <si>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</si>
  <si>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</si>
  <si>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</si>
  <si>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</si>
  <si>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</si>
  <si>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</si>
  <si>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</si>
  <si>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</si>
  <si>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</si>
  <si>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</si>
  <si>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</si>
  <si>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</si>
  <si>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</si>
  <si>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</si>
  <si>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</si>
  <si>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</si>
  <si>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</si>
  <si>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</si>
  <si>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</si>
  <si>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</si>
  <si>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</si>
  <si>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</si>
  <si>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</si>
  <si>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</si>
  <si>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</si>
  <si>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</si>
  <si>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</si>
  <si>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</si>
  <si>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</si>
  <si>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</si>
  <si>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</si>
  <si>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</si>
  <si>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</si>
  <si>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</si>
  <si>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</si>
  <si>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</si>
  <si>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</si>
  <si>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</si>
  <si>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</si>
  <si>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</si>
  <si>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</si>
  <si>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</si>
  <si>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</si>
  <si>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</si>
  <si>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</si>
  <si>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</si>
  <si>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</si>
  <si>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</si>
  <si>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</si>
  <si>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</si>
  <si>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</si>
  <si>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</si>
  <si>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</si>
  <si>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</si>
  <si>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</si>
  <si>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</si>
  <si>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</si>
  <si>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</si>
  <si>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</si>
  <si>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</si>
  <si>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</si>
  <si>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</si>
  <si>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</si>
  <si>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</si>
  <si>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</si>
  <si>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</si>
  <si>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</si>
  <si>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</si>
  <si>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1960s (9.05)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</si>
  <si>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</si>
  <si>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</si>
  <si>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</si>
  <si>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</si>
  <si>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</si>
  <si>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</si>
  <si>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</si>
  <si>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</si>
  <si>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</si>
  <si>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</si>
  <si>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</si>
  <si>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</si>
  <si>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</si>
  <si>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</si>
  <si>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</si>
  <si>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</si>
  <si>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</si>
  <si>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</si>
  <si>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</si>
  <si>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</si>
  <si>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</si>
  <si>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</si>
  <si>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</si>
  <si>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</si>
  <si>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</si>
  <si>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</si>
  <si>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</si>
  <si>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</si>
  <si>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20 (8.92)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</si>
  <si>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</si>
  <si>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</si>
  <si>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</si>
  <si>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</si>
  <si>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</si>
  <si>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</si>
  <si>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</si>
  <si>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</si>
  <si>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</si>
  <si>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</si>
  <si>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</si>
  <si>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</si>
  <si>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</si>
  <si>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</si>
  <si>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</si>
  <si>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</si>
  <si>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</si>
  <si>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</si>
  <si>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7 (8.75)</t>
  </si>
  <si>
    <t>noise pop</t>
  </si>
  <si>
    <t>12 álbumes · media 8.92</t>
  </si>
  <si>
    <t>38 álbumes · media 8.67</t>
  </si>
  <si>
    <t>art rock, ambient</t>
  </si>
  <si>
    <t>15/05/2026</t>
  </si>
  <si>
    <t>TOP 25 (sin repetir artistas y sin incluir OSTs y LIVEs)</t>
  </si>
  <si>
    <t>16 (8.99)</t>
  </si>
  <si>
    <t>4 (8.75)</t>
  </si>
  <si>
    <t>19 álbumes · media 9.01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</si>
  <si>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</si>
  <si>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</si>
  <si>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</si>
  <si>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</si>
  <si>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</si>
  <si>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</si>
  <si>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</si>
  <si>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</si>
  <si>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</si>
  <si>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</si>
  <si>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</si>
  <si>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</si>
  <si>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Sgt. Pepper's Lonely Hearts Club Band, Abbey Road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</si>
  <si>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</si>
  <si>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</si>
  <si>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</si>
  <si>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</si>
  <si>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</si>
  <si>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</si>
  <si>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</si>
  <si>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</si>
  <si>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</si>
  <si>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</si>
  <si>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</si>
  <si>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</si>
  <si>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Art Rock (16 álbumes)</t>
  </si>
  <si>
    <t>TOP  Alternative Rock (15 álbumes)</t>
  </si>
  <si>
    <t>TOP  Indie Rock (8 álbumes)</t>
  </si>
  <si>
    <t>TOP  Dream Pop (7 álbumes)</t>
  </si>
  <si>
    <t>TOP  Post Rock (7 álbumes)</t>
  </si>
  <si>
    <t>TOP  Shoegaze (7 álbumes)</t>
  </si>
  <si>
    <t>TOP  Post Metal (6 álbumes)</t>
  </si>
  <si>
    <t>TOP  Thrash Metal (6 álbumes)</t>
  </si>
  <si>
    <t>TOP  Jazz Rap (5 álbumes)</t>
  </si>
  <si>
    <t>25 álbumes · media 8.5</t>
  </si>
  <si>
    <t>r=-0.318 · ↓ débil</t>
  </si>
  <si>
    <t>r=0.13 · ≈ nula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</si>
  <si>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</si>
  <si>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</si>
  <si>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</si>
  <si>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</si>
  <si>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</si>
  <si>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</si>
  <si>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</si>
  <si>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</si>
  <si>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</si>
  <si>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</si>
  <si>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</si>
  <si>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</si>
  <si>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TOP  Pop Rock (9 álbumes)</t>
  </si>
  <si>
    <t>2 (9.11)</t>
  </si>
  <si>
    <t>4 (8.68)</t>
  </si>
  <si>
    <t>soft rock</t>
  </si>
  <si>
    <t>8 (8.41)</t>
  </si>
  <si>
    <t>9 (7.93)</t>
  </si>
  <si>
    <t>r=0.536      · ↑ moderada</t>
  </si>
  <si>
    <t>Notas ≥10 (r=0.536)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</si>
  <si>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</si>
  <si>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</si>
  <si>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</si>
  <si>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</si>
  <si>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</si>
  <si>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</si>
  <si>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</si>
  <si>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</si>
  <si>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</si>
  <si>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</si>
  <si>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</si>
  <si>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</si>
  <si>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</si>
  <si>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</si>
  <si>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trip hop, electronic, experimental rock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</si>
  <si>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</si>
  <si>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</si>
  <si>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</si>
  <si>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</si>
  <si>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</si>
  <si>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</si>
  <si>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</si>
  <si>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</si>
  <si>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</si>
  <si>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</si>
  <si>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</si>
  <si>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</si>
  <si>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</si>
  <si>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</si>
  <si>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</si>
  <si>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</si>
  <si>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</si>
  <si>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</si>
  <si>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</si>
  <si>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</si>
  <si>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</si>
  <si>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</si>
  <si>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</si>
  <si>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-1.43 ← sesgo alto</t>
  </si>
  <si>
    <t>17   (0.95%)</t>
  </si>
  <si>
    <t>1 (8.63)</t>
  </si>
  <si>
    <t>TOP  Alternative Metal (8 álbumes)</t>
  </si>
  <si>
    <t>2000s (49)</t>
  </si>
  <si>
    <t>49 álbumes · media 8.76</t>
  </si>
  <si>
    <t>r=0.128 · ≈ nula</t>
  </si>
  <si>
    <t>TOP  Death Metal (9 álbumes)</t>
  </si>
  <si>
    <t>9 (8.78)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</si>
  <si>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</si>
  <si>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</si>
  <si>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</si>
  <si>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</si>
  <si>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</si>
  <si>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</si>
  <si>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</si>
  <si>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</si>
  <si>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</si>
  <si>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</si>
  <si>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</si>
  <si>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</si>
  <si>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</si>
  <si>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</si>
  <si>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</si>
  <si>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</si>
  <si>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</si>
  <si>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</si>
  <si>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</si>
  <si>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</si>
  <si>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</si>
  <si>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</si>
  <si>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8 (×404)</t>
  </si>
  <si>
    <t>7.75 ← colas pesadas</t>
  </si>
  <si>
    <t>30   (1.67%)</t>
  </si>
  <si>
    <t>233   (12.97%)</t>
  </si>
  <si>
    <t>785   (43.71%)</t>
  </si>
  <si>
    <t>420  (23.39%)</t>
  </si>
  <si>
    <t>311(17.32%)</t>
  </si>
  <si>
    <t>174 de 175</t>
  </si>
  <si>
    <t>r=-0.122   · ≈ nula</t>
  </si>
  <si>
    <t>r=0.138 · ≈ nula</t>
  </si>
  <si>
    <t>r=-0.201         · ↓ débil</t>
  </si>
  <si>
    <t>Total canciones   (r=-0.122)</t>
  </si>
  <si>
    <t>chipmunk soul, pop 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</si>
</sst>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7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</fonts>
  <fills count="25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0DB3E7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1FB8DB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7B2EB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5" borderId="1" xfId="0" applyFont="1" applyFill="1" applyBorder="1" applyAlignment="1">
      <alignment vertical="center"/>
    </xf>
    <xf numFmtId="0" fontId="205" fillId="187" borderId="1" xfId="0" applyFont="1" applyFill="1" applyBorder="1" applyAlignment="1">
      <alignment vertical="center"/>
    </xf>
    <xf numFmtId="0" fontId="147" fillId="189" borderId="1" xfId="0" applyFont="1" applyFill="1" applyBorder="1" applyAlignment="1">
      <alignment vertical="center"/>
    </xf>
    <xf numFmtId="0" fontId="207" fillId="190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3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63" fillId="196" borderId="1" xfId="0" applyFont="1" applyFill="1" applyBorder="1" applyAlignment="1">
      <alignment vertical="center"/>
    </xf>
    <xf numFmtId="0" fontId="74" fillId="197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8" borderId="4" xfId="0" applyFont="1" applyFill="1" applyBorder="1" applyAlignment="1">
      <alignment vertical="center"/>
    </xf>
    <xf numFmtId="0" fontId="219" fillId="199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4" borderId="1" xfId="0" applyFont="1" applyFill="1" applyBorder="1" applyAlignment="1">
      <alignment vertical="center"/>
    </xf>
    <xf numFmtId="0" fontId="225" fillId="205" borderId="1" xfId="0" applyFont="1" applyFill="1" applyBorder="1" applyAlignment="1">
      <alignment vertical="center"/>
    </xf>
    <xf numFmtId="0" fontId="227" fillId="207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8" borderId="1" xfId="0" applyFont="1" applyFill="1" applyBorder="1" applyAlignment="1">
      <alignment vertical="center"/>
    </xf>
    <xf numFmtId="0" fontId="136" fillId="207" borderId="1" xfId="0" applyFont="1" applyFill="1" applyBorder="1" applyAlignment="1">
      <alignment vertical="center"/>
    </xf>
    <xf numFmtId="0" fontId="54" fillId="211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3" borderId="1" xfId="0" applyFont="1" applyFill="1" applyBorder="1" applyAlignment="1">
      <alignment vertical="center"/>
    </xf>
    <xf numFmtId="0" fontId="237" fillId="214" borderId="1" xfId="0" applyFont="1" applyFill="1" applyBorder="1" applyAlignment="1">
      <alignment vertical="center"/>
    </xf>
    <xf numFmtId="0" fontId="239" fillId="216" borderId="1" xfId="0" applyFont="1" applyFill="1" applyBorder="1" applyAlignment="1">
      <alignment vertical="center"/>
    </xf>
    <xf numFmtId="0" fontId="241" fillId="217" borderId="1" xfId="0" applyFont="1" applyFill="1" applyBorder="1" applyAlignment="1">
      <alignment vertical="center"/>
    </xf>
    <xf numFmtId="0" fontId="243" fillId="218" borderId="1" xfId="0" applyFont="1" applyFill="1" applyBorder="1" applyAlignment="1">
      <alignment vertical="center"/>
    </xf>
    <xf numFmtId="0" fontId="227" fillId="219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7" borderId="1" xfId="0" applyFont="1" applyFill="1" applyBorder="1" applyAlignment="1">
      <alignment vertical="center"/>
    </xf>
    <xf numFmtId="0" fontId="247" fillId="222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5" borderId="1" xfId="0" applyFont="1" applyFill="1" applyBorder="1" applyAlignment="1">
      <alignment vertical="center"/>
    </xf>
    <xf numFmtId="0" fontId="253" fillId="226" borderId="1" xfId="0" applyFont="1" applyFill="1" applyBorder="1" applyAlignment="1">
      <alignment vertical="center"/>
    </xf>
    <xf numFmtId="0" fontId="255" fillId="227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1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2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8" borderId="0" xfId="0" applyFill="1" applyAlignment="1">
      <alignment vertical="center"/>
    </xf>
    <xf numFmtId="0" fontId="0" fillId="229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3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5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4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8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0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09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3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6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4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5" borderId="1" xfId="0" applyFont="1" applyFill="1" applyBorder="1" applyAlignment="1">
      <alignment vertical="center"/>
    </xf>
    <xf numFmtId="0" fontId="27" fillId="236" borderId="0" xfId="0" applyFont="1" applyFill="1" applyAlignment="1">
      <alignment horizontal="center"/>
    </xf>
    <xf numFmtId="0" fontId="63" fillId="237" borderId="8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59" fillId="207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40" borderId="1" xfId="0" applyFont="1" applyFill="1" applyBorder="1" applyAlignment="1">
      <alignment vertical="center"/>
    </xf>
    <xf numFmtId="0" fontId="27" fillId="241" borderId="0" xfId="0" applyFont="1" applyFill="1" applyAlignment="1">
      <alignment horizontal="center"/>
    </xf>
    <xf numFmtId="0" fontId="27" fillId="242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244" borderId="0" xfId="0" applyFont="1" applyFill="1" applyAlignment="1">
      <alignment horizontal="center"/>
    </xf>
    <xf numFmtId="0" fontId="27" fillId="245" borderId="0" xfId="0" applyFont="1" applyFill="1" applyAlignment="1">
      <alignment horizontal="center"/>
    </xf>
    <xf numFmtId="0" fontId="27" fillId="246" borderId="0" xfId="0" applyFont="1" applyFill="1" applyAlignment="1">
      <alignment horizontal="center"/>
    </xf>
    <xf numFmtId="0" fontId="27" fillId="247" borderId="0" xfId="0" applyFont="1" applyFill="1" applyAlignment="1">
      <alignment horizontal="center"/>
    </xf>
    <xf numFmtId="0" fontId="27" fillId="248" borderId="0" xfId="0" applyFont="1" applyFill="1" applyAlignment="1">
      <alignment horizontal="center"/>
    </xf>
    <xf numFmtId="0" fontId="27" fillId="249" borderId="0" xfId="0" applyFont="1" applyFill="1" applyAlignment="1">
      <alignment horizontal="center"/>
    </xf>
    <xf numFmtId="0" fontId="100" fillId="250" borderId="1" xfId="0" applyFont="1" applyFill="1" applyBorder="1" applyAlignment="1">
      <alignment vertical="center"/>
    </xf>
    <xf numFmtId="0" fontId="27" fillId="251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275" fillId="4" borderId="1" xfId="0" applyFont="1" applyFill="1" applyBorder="1" applyAlignment="1">
      <alignment vertical="center"/>
    </xf>
    <xf numFmtId="0" fontId="221" fillId="252" borderId="1" xfId="0" applyFont="1" applyFill="1" applyBorder="1" applyAlignment="1">
      <alignment vertical="center"/>
    </xf>
    <xf numFmtId="0" fontId="275" fillId="253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310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6D3611"/>
      <color rgb="FFAF561C"/>
      <color rgb="FFE8C80A"/>
      <color rgb="FFE3A057"/>
      <color rgb="FFF4E71C"/>
      <color rgb="FF02778C"/>
      <color rgb="FFFDCA0F"/>
      <color rgb="FFFFFFCC"/>
      <color rgb="FF820041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95150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70" zoomScaleNormal="70" workbookViewId="0">
      <pane ySplit="1" topLeftCell="A426" activePane="bottomLeft" state="frozen"/>
      <selection pane="bottomLeft" activeCell="M451" sqref="M451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69921875" style="3" bestFit="1" customWidth="1"/>
    <col min="20" max="20" width="74.19921875" style="3" bestFit="1" customWidth="1"/>
    <col min="21" max="21" width="6.09765625" style="3" bestFit="1" customWidth="1"/>
    <col min="22" max="22" width="14.8984375" style="230" bestFit="1" customWidth="1"/>
    <col min="23" max="23" width="8.09765625" style="230" bestFit="1" customWidth="1"/>
    <col min="24" max="24" width="11" style="230" bestFit="1" customWidth="1"/>
    <col min="25" max="25" width="9.19921875" style="230" bestFit="1" customWidth="1"/>
    <col min="26" max="26" width="14.296875" style="230" bestFit="1" customWidth="1"/>
    <col min="27" max="27" width="10" style="3" bestFit="1" customWidth="1"/>
    <col min="28" max="28" width="52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0976562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68" t="s">
        <v>1332</v>
      </c>
      <c r="S1" s="368"/>
      <c r="T1" s="368"/>
      <c r="U1" s="368"/>
      <c r="V1" s="368"/>
      <c r="W1" s="368"/>
      <c r="X1" s="368"/>
      <c r="Y1" s="368"/>
      <c r="Z1" s="368"/>
      <c r="AA1" s="368"/>
      <c r="AB1" s="368"/>
      <c r="AC1" s="368"/>
      <c r="AD1" s="368"/>
      <c r="AE1" s="368"/>
      <c r="AF1"/>
      <c r="AG1"/>
      <c r="AH1" s="368" t="s">
        <v>1031</v>
      </c>
      <c r="AI1" s="368"/>
    </row>
    <row r="2" spans="1:40" ht="16.05" customHeight="1" thickBot="1">
      <c r="A2" s="85" t="s">
        <v>891</v>
      </c>
      <c r="B2" s="1">
        <f>ROUND(SUM(B3:B14)/COUNT(B3:B14), 2)</f>
        <v>9.89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1178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2011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770</v>
      </c>
      <c r="AC2" s="231" t="s">
        <v>1945</v>
      </c>
      <c r="AD2" s="231" t="s">
        <v>1946</v>
      </c>
      <c r="AE2" s="231" t="s">
        <v>2122</v>
      </c>
      <c r="AF2"/>
      <c r="AG2"/>
      <c r="AH2" s="342" t="s">
        <v>1032</v>
      </c>
      <c r="AI2" s="342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996</v>
      </c>
      <c r="T3" s="233" t="s">
        <v>994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997</v>
      </c>
      <c r="AC3" s="233">
        <v>1996</v>
      </c>
      <c r="AD3" s="233" t="s">
        <v>1897</v>
      </c>
      <c r="AE3" s="234" t="s">
        <v>2182</v>
      </c>
      <c r="AF3"/>
      <c r="AG3"/>
      <c r="AH3" s="235" t="s">
        <v>1033</v>
      </c>
      <c r="AI3" s="343">
        <v>175</v>
      </c>
      <c r="AK3" s="216"/>
      <c r="AL3" s="217" t="s">
        <v>2652</v>
      </c>
      <c r="AM3" s="218" t="s">
        <v>246</v>
      </c>
      <c r="AN3" s="219" t="s">
        <v>2638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1898</v>
      </c>
      <c r="AE4" s="237" t="s">
        <v>2193</v>
      </c>
      <c r="AF4"/>
      <c r="AG4"/>
      <c r="AH4" s="232" t="s">
        <v>1034</v>
      </c>
      <c r="AI4" s="344">
        <v>109</v>
      </c>
      <c r="AK4" s="220"/>
      <c r="AL4" s="221">
        <v>10</v>
      </c>
      <c r="AM4" s="218" t="s">
        <v>1780</v>
      </c>
      <c r="AN4" s="219" t="s">
        <v>2639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1027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1899</v>
      </c>
      <c r="AE5" s="234" t="s">
        <v>2161</v>
      </c>
      <c r="AF5"/>
      <c r="AG5"/>
      <c r="AH5" s="235" t="s">
        <v>1035</v>
      </c>
      <c r="AI5" s="343">
        <v>1879</v>
      </c>
      <c r="AK5" s="222"/>
      <c r="AL5" s="221" t="s">
        <v>242</v>
      </c>
      <c r="AM5" s="218" t="s">
        <v>1781</v>
      </c>
      <c r="AN5" s="219" t="s">
        <v>2640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1900</v>
      </c>
      <c r="AE6" s="237" t="s">
        <v>2144</v>
      </c>
      <c r="AF6"/>
      <c r="AG6"/>
      <c r="AH6" s="232" t="s">
        <v>1036</v>
      </c>
      <c r="AI6" s="344">
        <v>1796</v>
      </c>
      <c r="AK6" s="223"/>
      <c r="AL6" s="221" t="s">
        <v>243</v>
      </c>
      <c r="AM6" s="218" t="s">
        <v>1782</v>
      </c>
      <c r="AN6" s="219" t="s">
        <v>2641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2689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1098</v>
      </c>
      <c r="AC7" s="233">
        <v>2000</v>
      </c>
      <c r="AD7" s="233" t="s">
        <v>2697</v>
      </c>
      <c r="AE7" s="234" t="s">
        <v>2178</v>
      </c>
      <c r="AF7"/>
      <c r="AG7"/>
      <c r="AH7" s="235" t="s">
        <v>325</v>
      </c>
      <c r="AI7" s="343">
        <v>83</v>
      </c>
      <c r="AK7" s="224"/>
      <c r="AL7" s="221" t="s">
        <v>244</v>
      </c>
      <c r="AM7" s="218" t="s">
        <v>1783</v>
      </c>
      <c r="AN7" s="219" t="s">
        <v>2642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1900</v>
      </c>
      <c r="AE8" s="237" t="s">
        <v>2191</v>
      </c>
      <c r="AF8"/>
      <c r="AG8"/>
      <c r="AH8" s="232" t="s">
        <v>1037</v>
      </c>
      <c r="AI8" s="344">
        <v>10.74</v>
      </c>
      <c r="AK8" s="225"/>
      <c r="AL8" s="217" t="s">
        <v>2644</v>
      </c>
      <c r="AM8" s="218" t="s">
        <v>1784</v>
      </c>
      <c r="AN8" s="3" t="s">
        <v>2643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1901</v>
      </c>
      <c r="AE9" s="234" t="s">
        <v>2158</v>
      </c>
      <c r="AF9"/>
      <c r="AG9"/>
      <c r="AH9" s="235" t="s">
        <v>1038</v>
      </c>
      <c r="AI9" s="345">
        <v>4.4200000000000003E-2</v>
      </c>
      <c r="AK9" s="226"/>
      <c r="AL9" s="217" t="s">
        <v>2645</v>
      </c>
      <c r="AM9" s="219" t="s">
        <v>2646</v>
      </c>
      <c r="AN9" s="3" t="s">
        <v>2647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1902</v>
      </c>
      <c r="AE10" s="237" t="s">
        <v>2175</v>
      </c>
      <c r="AF10"/>
      <c r="AG10"/>
      <c r="AH10"/>
      <c r="AI10"/>
      <c r="AK10" s="227"/>
      <c r="AL10" s="217" t="s">
        <v>2649</v>
      </c>
      <c r="AM10" s="219" t="s">
        <v>2648</v>
      </c>
      <c r="AN10" s="3" t="s">
        <v>2651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1903</v>
      </c>
      <c r="AE11" s="234" t="s">
        <v>2175</v>
      </c>
      <c r="AF11"/>
      <c r="AG11"/>
      <c r="AH11" s="342" t="s">
        <v>1039</v>
      </c>
      <c r="AI11" s="342"/>
      <c r="AK11" s="228"/>
      <c r="AM11" s="218" t="s">
        <v>248</v>
      </c>
      <c r="AN11" s="3" t="s">
        <v>2650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1243</v>
      </c>
      <c r="U12" s="236">
        <v>9.36</v>
      </c>
      <c r="V12" s="364">
        <v>9.6</v>
      </c>
      <c r="W12" s="236">
        <v>10</v>
      </c>
      <c r="X12" s="236">
        <v>0.95</v>
      </c>
      <c r="Y12" s="236">
        <v>4</v>
      </c>
      <c r="Z12" s="236">
        <v>10</v>
      </c>
      <c r="AA12" s="236">
        <v>3</v>
      </c>
      <c r="AB12" s="235" t="s">
        <v>1255</v>
      </c>
      <c r="AC12" s="236">
        <v>2019</v>
      </c>
      <c r="AD12" s="236" t="s">
        <v>1904</v>
      </c>
      <c r="AE12" s="237" t="s">
        <v>2157</v>
      </c>
      <c r="AF12"/>
      <c r="AG12"/>
      <c r="AH12" s="232" t="s">
        <v>1040</v>
      </c>
      <c r="AI12" s="344">
        <v>8.58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767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1905</v>
      </c>
      <c r="AE13" s="234" t="s">
        <v>2172</v>
      </c>
      <c r="AF13"/>
      <c r="AG13"/>
      <c r="AH13" s="235" t="s">
        <v>1041</v>
      </c>
      <c r="AI13" s="343">
        <v>8.5</v>
      </c>
    </row>
    <row r="14" spans="1:40" ht="16.05" customHeight="1" thickBot="1">
      <c r="A14" s="4" t="s">
        <v>11</v>
      </c>
      <c r="B14" s="152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889</v>
      </c>
      <c r="K14" s="1">
        <f>ROUND(SUM(K15:K23)/COUNT(K15:K23), 2)</f>
        <v>8.83</v>
      </c>
      <c r="L14" s="2"/>
      <c r="M14" s="84" t="s">
        <v>890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1900</v>
      </c>
      <c r="AE14" s="237" t="s">
        <v>2190</v>
      </c>
      <c r="AF14"/>
      <c r="AG14"/>
      <c r="AH14" s="232" t="s">
        <v>1042</v>
      </c>
      <c r="AI14" s="344" t="s">
        <v>2936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2564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2570</v>
      </c>
      <c r="AC15" s="233">
        <v>2000</v>
      </c>
      <c r="AD15" s="233" t="s">
        <v>1919</v>
      </c>
      <c r="AE15" s="234" t="s">
        <v>2446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1181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1906</v>
      </c>
      <c r="AE16" s="237" t="s">
        <v>2191</v>
      </c>
      <c r="AF16"/>
      <c r="AG16"/>
      <c r="AH16" s="342" t="s">
        <v>1043</v>
      </c>
      <c r="AI16" s="342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1179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2033</v>
      </c>
      <c r="T17" s="233" t="s">
        <v>2026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2035</v>
      </c>
      <c r="AC17" s="233">
        <v>1970</v>
      </c>
      <c r="AD17" s="233" t="s">
        <v>1905</v>
      </c>
      <c r="AE17" s="234" t="s">
        <v>2129</v>
      </c>
      <c r="AF17"/>
      <c r="AG17"/>
      <c r="AH17" s="235" t="s">
        <v>1044</v>
      </c>
      <c r="AI17" s="343">
        <v>1.1200000000000001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2485</v>
      </c>
      <c r="T18" s="236" t="s">
        <v>2469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1076</v>
      </c>
      <c r="AC18" s="236">
        <v>1972</v>
      </c>
      <c r="AD18" s="236" t="s">
        <v>1909</v>
      </c>
      <c r="AE18" s="237" t="s">
        <v>2501</v>
      </c>
      <c r="AF18"/>
      <c r="AG18"/>
      <c r="AH18" s="232" t="s">
        <v>1045</v>
      </c>
      <c r="AI18" s="346">
        <v>0.13039999999999999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775</v>
      </c>
      <c r="AC19" s="233">
        <v>1986</v>
      </c>
      <c r="AD19" s="233" t="s">
        <v>1907</v>
      </c>
      <c r="AE19" s="234" t="s">
        <v>2191</v>
      </c>
      <c r="AF19"/>
      <c r="AG19"/>
      <c r="AH19" s="235" t="s">
        <v>1046</v>
      </c>
      <c r="AI19" s="343" t="s">
        <v>2635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856</v>
      </c>
      <c r="AC20" s="236">
        <v>2000</v>
      </c>
      <c r="AD20" s="236" t="s">
        <v>1908</v>
      </c>
      <c r="AE20" s="237" t="s">
        <v>2186</v>
      </c>
      <c r="AF20"/>
      <c r="AG20"/>
      <c r="AH20" s="232" t="s">
        <v>1047</v>
      </c>
      <c r="AI20" s="344" t="s">
        <v>1830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1005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1909</v>
      </c>
      <c r="AE21" s="234" t="s">
        <v>2162</v>
      </c>
      <c r="AF21"/>
      <c r="AG21"/>
      <c r="AH21"/>
      <c r="AI21"/>
      <c r="AK21" s="3" t="s">
        <v>1785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1910</v>
      </c>
      <c r="AE22" s="237" t="s">
        <v>2191</v>
      </c>
      <c r="AF22"/>
      <c r="AG22"/>
      <c r="AH22" s="342" t="s">
        <v>1048</v>
      </c>
      <c r="AI22" s="342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776</v>
      </c>
      <c r="AC23" s="233">
        <v>2001</v>
      </c>
      <c r="AD23" s="233" t="s">
        <v>1898</v>
      </c>
      <c r="AE23" s="234" t="s">
        <v>2192</v>
      </c>
      <c r="AF23"/>
      <c r="AG23"/>
      <c r="AH23" s="235" t="s">
        <v>1049</v>
      </c>
      <c r="AI23" s="343" t="s">
        <v>2905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1900</v>
      </c>
      <c r="AE24" s="237" t="s">
        <v>2192</v>
      </c>
      <c r="AF24"/>
      <c r="AG24"/>
      <c r="AH24" s="232" t="s">
        <v>1050</v>
      </c>
      <c r="AI24" s="344" t="s">
        <v>2937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1911</v>
      </c>
      <c r="AE25" s="234" t="s">
        <v>2184</v>
      </c>
      <c r="AF25"/>
      <c r="AG25"/>
      <c r="AH25"/>
      <c r="AI25"/>
      <c r="AK25" s="13"/>
    </row>
    <row r="26" spans="1:37" ht="16.05" customHeight="1" thickBot="1">
      <c r="A26" s="107" t="s">
        <v>1180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775</v>
      </c>
      <c r="AC26" s="236">
        <v>1984</v>
      </c>
      <c r="AD26" s="236" t="s">
        <v>1908</v>
      </c>
      <c r="AE26" s="237" t="s">
        <v>2176</v>
      </c>
      <c r="AF26"/>
      <c r="AG26"/>
      <c r="AH26" s="342" t="s">
        <v>1051</v>
      </c>
      <c r="AI26" s="342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2563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2584</v>
      </c>
      <c r="AC27" s="233">
        <v>2007</v>
      </c>
      <c r="AD27" s="233" t="s">
        <v>1910</v>
      </c>
      <c r="AE27" s="234" t="s">
        <v>2547</v>
      </c>
      <c r="AF27"/>
      <c r="AG27"/>
      <c r="AH27" s="235" t="s">
        <v>1052</v>
      </c>
      <c r="AI27" s="343" t="s">
        <v>2906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1863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908</v>
      </c>
      <c r="T28" s="236" t="s">
        <v>899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909</v>
      </c>
      <c r="AC28" s="236">
        <v>2021</v>
      </c>
      <c r="AD28" s="236" t="s">
        <v>1897</v>
      </c>
      <c r="AE28" s="237" t="s">
        <v>2168</v>
      </c>
      <c r="AF28"/>
      <c r="AG28"/>
      <c r="AH28" s="232" t="s">
        <v>1053</v>
      </c>
      <c r="AI28" s="344" t="s">
        <v>2938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1912</v>
      </c>
      <c r="AE29" s="234" t="s">
        <v>2192</v>
      </c>
      <c r="AF29"/>
      <c r="AG29"/>
      <c r="AH29" s="235" t="s">
        <v>1054</v>
      </c>
      <c r="AI29" s="343" t="s">
        <v>2939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775</v>
      </c>
      <c r="AC30" s="236">
        <v>1990</v>
      </c>
      <c r="AD30" s="236" t="s">
        <v>1913</v>
      </c>
      <c r="AE30" s="237" t="s">
        <v>2190</v>
      </c>
      <c r="AF30"/>
      <c r="AG30"/>
      <c r="AH30" s="232" t="s">
        <v>1055</v>
      </c>
      <c r="AI30" s="344" t="s">
        <v>2940</v>
      </c>
      <c r="AK30" s="3" t="s">
        <v>2568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1127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775</v>
      </c>
      <c r="AC31" s="233">
        <v>1988</v>
      </c>
      <c r="AD31" s="233" t="s">
        <v>1914</v>
      </c>
      <c r="AE31" s="234" t="s">
        <v>2160</v>
      </c>
      <c r="AF31"/>
      <c r="AG31"/>
      <c r="AH31" s="235" t="s">
        <v>1056</v>
      </c>
      <c r="AI31" s="343" t="s">
        <v>2941</v>
      </c>
      <c r="AK31" s="3" t="s">
        <v>2567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1915</v>
      </c>
      <c r="AE32" s="237" t="s">
        <v>2179</v>
      </c>
      <c r="AF32"/>
      <c r="AG32"/>
      <c r="AH32" s="232" t="s">
        <v>1057</v>
      </c>
      <c r="AI32" s="344" t="s">
        <v>2942</v>
      </c>
      <c r="AK32" s="3" t="s">
        <v>2565</v>
      </c>
    </row>
    <row r="33" spans="1:37" ht="16.05" customHeight="1" thickBot="1">
      <c r="A33" s="76" t="s">
        <v>882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967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776</v>
      </c>
      <c r="AC33" s="233">
        <v>2005</v>
      </c>
      <c r="AD33" s="233" t="s">
        <v>1916</v>
      </c>
      <c r="AE33" s="234" t="s">
        <v>2164</v>
      </c>
      <c r="AF33"/>
      <c r="AG33"/>
      <c r="AH33"/>
      <c r="AI33"/>
      <c r="AK33" s="3" t="s">
        <v>2566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1605</v>
      </c>
      <c r="T34" s="236" t="s">
        <v>2369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1608</v>
      </c>
      <c r="AC34" s="236">
        <v>1977</v>
      </c>
      <c r="AD34" s="236" t="s">
        <v>1936</v>
      </c>
      <c r="AE34" s="237" t="s">
        <v>2370</v>
      </c>
      <c r="AF34"/>
      <c r="AG34"/>
      <c r="AH34" s="342" t="s">
        <v>1058</v>
      </c>
      <c r="AI34" s="342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2780</v>
      </c>
      <c r="T35" s="233" t="s">
        <v>2773</v>
      </c>
      <c r="U35" s="233">
        <v>9.06</v>
      </c>
      <c r="V35" s="327">
        <v>9.02</v>
      </c>
      <c r="W35" s="233">
        <v>9</v>
      </c>
      <c r="X35" s="233">
        <v>0.72</v>
      </c>
      <c r="Y35" s="233">
        <v>3</v>
      </c>
      <c r="Z35" s="233">
        <v>9</v>
      </c>
      <c r="AA35" s="233">
        <v>0</v>
      </c>
      <c r="AB35" s="232" t="s">
        <v>2783</v>
      </c>
      <c r="AC35" s="233">
        <v>1982</v>
      </c>
      <c r="AD35" s="233" t="s">
        <v>1900</v>
      </c>
      <c r="AE35" s="234" t="s">
        <v>2784</v>
      </c>
      <c r="AF35"/>
      <c r="AG35"/>
      <c r="AH35" s="235" t="s">
        <v>1059</v>
      </c>
      <c r="AI35" s="343" t="s">
        <v>1060</v>
      </c>
      <c r="AK35" s="3" t="s">
        <v>2569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327</v>
      </c>
      <c r="T36" s="236" t="s">
        <v>432</v>
      </c>
      <c r="U36" s="236">
        <v>8.9600000000000009</v>
      </c>
      <c r="V36" s="321">
        <v>9.01</v>
      </c>
      <c r="W36" s="236">
        <v>8.75</v>
      </c>
      <c r="X36" s="236">
        <v>0.83</v>
      </c>
      <c r="Y36" s="236">
        <v>3</v>
      </c>
      <c r="Z36" s="236">
        <v>12</v>
      </c>
      <c r="AA36" s="236">
        <v>0</v>
      </c>
      <c r="AB36" s="235" t="s">
        <v>773</v>
      </c>
      <c r="AC36" s="236">
        <v>1995</v>
      </c>
      <c r="AD36" s="236" t="s">
        <v>1917</v>
      </c>
      <c r="AE36" s="237" t="s">
        <v>2185</v>
      </c>
      <c r="AF36"/>
      <c r="AG36"/>
      <c r="AH36" s="232" t="s">
        <v>1061</v>
      </c>
      <c r="AI36" s="344" t="s">
        <v>2636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1552</v>
      </c>
      <c r="T37" s="233" t="s">
        <v>1553</v>
      </c>
      <c r="U37" s="233">
        <v>8.67</v>
      </c>
      <c r="V37" s="260">
        <v>9</v>
      </c>
      <c r="W37" s="233">
        <v>8.5</v>
      </c>
      <c r="X37" s="233">
        <v>0.98</v>
      </c>
      <c r="Y37" s="233">
        <v>5</v>
      </c>
      <c r="Z37" s="233">
        <v>26</v>
      </c>
      <c r="AA37" s="233">
        <v>0</v>
      </c>
      <c r="AB37" s="232" t="s">
        <v>1554</v>
      </c>
      <c r="AC37" s="233">
        <v>2017</v>
      </c>
      <c r="AD37" s="233" t="s">
        <v>1906</v>
      </c>
      <c r="AE37" s="234" t="s">
        <v>2145</v>
      </c>
      <c r="AF37"/>
      <c r="AG37"/>
      <c r="AH37" s="235" t="s">
        <v>1062</v>
      </c>
      <c r="AI37" s="343" t="s">
        <v>2691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2904</v>
      </c>
      <c r="T38" s="236" t="s">
        <v>2900</v>
      </c>
      <c r="U38" s="236">
        <v>8.83</v>
      </c>
      <c r="V38" s="260">
        <v>9</v>
      </c>
      <c r="W38" s="236">
        <v>8.5</v>
      </c>
      <c r="X38" s="236">
        <v>0.87</v>
      </c>
      <c r="Y38" s="236">
        <v>3</v>
      </c>
      <c r="Z38" s="236">
        <v>15</v>
      </c>
      <c r="AA38" s="236">
        <v>0</v>
      </c>
      <c r="AB38" s="235" t="s">
        <v>772</v>
      </c>
      <c r="AC38" s="236">
        <v>2001</v>
      </c>
      <c r="AD38" s="236" t="s">
        <v>1899</v>
      </c>
      <c r="AE38" s="237" t="s">
        <v>2887</v>
      </c>
      <c r="AF38"/>
      <c r="AG38"/>
      <c r="AH38" s="232" t="s">
        <v>1063</v>
      </c>
      <c r="AI38" s="344" t="s">
        <v>1799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332</v>
      </c>
      <c r="T39" s="233" t="s">
        <v>1808</v>
      </c>
      <c r="U39" s="233">
        <v>8.92</v>
      </c>
      <c r="V39" s="318">
        <v>8.9700000000000006</v>
      </c>
      <c r="W39" s="233">
        <v>8.75</v>
      </c>
      <c r="X39" s="233">
        <v>0.79</v>
      </c>
      <c r="Y39" s="233">
        <v>1</v>
      </c>
      <c r="Z39" s="233">
        <v>6</v>
      </c>
      <c r="AA39" s="233">
        <v>0</v>
      </c>
      <c r="AB39" s="232" t="s">
        <v>1076</v>
      </c>
      <c r="AC39" s="233">
        <v>1971</v>
      </c>
      <c r="AD39" s="233" t="s">
        <v>1918</v>
      </c>
      <c r="AE39" s="234" t="s">
        <v>2134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1333</v>
      </c>
      <c r="T40" s="236" t="s">
        <v>1324</v>
      </c>
      <c r="U40" s="236">
        <v>9</v>
      </c>
      <c r="V40" s="367">
        <v>8.9600000000000009</v>
      </c>
      <c r="W40" s="236">
        <v>9</v>
      </c>
      <c r="X40" s="236">
        <v>0.6</v>
      </c>
      <c r="Y40" s="236">
        <v>2</v>
      </c>
      <c r="Z40" s="236">
        <v>11</v>
      </c>
      <c r="AA40" s="236">
        <v>0</v>
      </c>
      <c r="AB40" s="235" t="s">
        <v>1337</v>
      </c>
      <c r="AC40" s="236">
        <v>2025</v>
      </c>
      <c r="AD40" s="236" t="s">
        <v>1923</v>
      </c>
      <c r="AE40" s="237" t="s">
        <v>2155</v>
      </c>
      <c r="AF40"/>
      <c r="AG40"/>
      <c r="AH40" s="342" t="s">
        <v>1064</v>
      </c>
      <c r="AI40" s="342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345</v>
      </c>
      <c r="T41" s="233" t="s">
        <v>1617</v>
      </c>
      <c r="U41" s="233">
        <v>8.94</v>
      </c>
      <c r="V41" s="262">
        <v>8.9499999999999993</v>
      </c>
      <c r="W41" s="233">
        <v>8.5</v>
      </c>
      <c r="X41" s="233">
        <v>0.76</v>
      </c>
      <c r="Y41" s="233">
        <v>2</v>
      </c>
      <c r="Z41" s="233">
        <v>10</v>
      </c>
      <c r="AA41" s="233">
        <v>1</v>
      </c>
      <c r="AB41" s="232" t="s">
        <v>1634</v>
      </c>
      <c r="AC41" s="233">
        <v>2000</v>
      </c>
      <c r="AD41" s="233" t="s">
        <v>1905</v>
      </c>
      <c r="AE41" s="234" t="s">
        <v>2143</v>
      </c>
      <c r="AF41"/>
      <c r="AG41"/>
      <c r="AH41" s="235" t="s">
        <v>1065</v>
      </c>
      <c r="AI41" s="343" t="s">
        <v>2943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739</v>
      </c>
      <c r="T42" s="236" t="s">
        <v>740</v>
      </c>
      <c r="U42" s="236">
        <v>8.91</v>
      </c>
      <c r="V42" s="328">
        <v>8.93</v>
      </c>
      <c r="W42" s="236">
        <v>8.5</v>
      </c>
      <c r="X42" s="236">
        <v>0.85</v>
      </c>
      <c r="Y42" s="236">
        <v>3</v>
      </c>
      <c r="Z42" s="236">
        <v>11</v>
      </c>
      <c r="AA42" s="236">
        <v>0</v>
      </c>
      <c r="AB42" s="235" t="s">
        <v>839</v>
      </c>
      <c r="AC42" s="236">
        <v>2002</v>
      </c>
      <c r="AD42" s="236" t="s">
        <v>1922</v>
      </c>
      <c r="AE42" s="237" t="s">
        <v>2173</v>
      </c>
      <c r="AF42"/>
      <c r="AG42"/>
      <c r="AH42" s="232" t="s">
        <v>1066</v>
      </c>
      <c r="AI42" s="344">
        <v>105</v>
      </c>
      <c r="AK42" s="3" t="s">
        <v>1003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346</v>
      </c>
      <c r="T43" s="233" t="s">
        <v>1844</v>
      </c>
      <c r="U43" s="233">
        <v>8.9600000000000009</v>
      </c>
      <c r="V43" s="328">
        <v>8.93</v>
      </c>
      <c r="W43" s="233">
        <v>9</v>
      </c>
      <c r="X43" s="233">
        <v>0.59</v>
      </c>
      <c r="Y43" s="233">
        <v>2</v>
      </c>
      <c r="Z43" s="233">
        <v>12</v>
      </c>
      <c r="AA43" s="233">
        <v>0</v>
      </c>
      <c r="AB43" s="232" t="s">
        <v>1845</v>
      </c>
      <c r="AC43" s="233">
        <v>2003</v>
      </c>
      <c r="AD43" s="233" t="s">
        <v>1919</v>
      </c>
      <c r="AE43" s="234" t="s">
        <v>2132</v>
      </c>
      <c r="AF43"/>
      <c r="AG43"/>
      <c r="AH43" s="235" t="s">
        <v>1067</v>
      </c>
      <c r="AI43" s="343" t="s">
        <v>2571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1177</v>
      </c>
      <c r="T44" s="236" t="s">
        <v>2089</v>
      </c>
      <c r="U44" s="236">
        <v>8.7200000000000006</v>
      </c>
      <c r="V44" s="256">
        <v>8.91</v>
      </c>
      <c r="W44" s="236">
        <v>8.5</v>
      </c>
      <c r="X44" s="236">
        <v>0.85</v>
      </c>
      <c r="Y44" s="236">
        <v>5</v>
      </c>
      <c r="Z44" s="236">
        <v>30</v>
      </c>
      <c r="AA44" s="236">
        <v>1</v>
      </c>
      <c r="AB44" s="235" t="s">
        <v>1554</v>
      </c>
      <c r="AC44" s="236">
        <v>2013</v>
      </c>
      <c r="AD44" s="236" t="s">
        <v>2092</v>
      </c>
      <c r="AE44" s="237" t="s">
        <v>2127</v>
      </c>
      <c r="AF44"/>
      <c r="AG44"/>
      <c r="AH44" s="232" t="s">
        <v>1068</v>
      </c>
      <c r="AI44" s="344" t="s">
        <v>2120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334</v>
      </c>
      <c r="T45" s="233" t="s">
        <v>2542</v>
      </c>
      <c r="U45" s="233">
        <v>8.9</v>
      </c>
      <c r="V45" s="256">
        <v>8.9</v>
      </c>
      <c r="W45" s="233">
        <v>8.5</v>
      </c>
      <c r="X45" s="233">
        <v>0.86</v>
      </c>
      <c r="Y45" s="233">
        <v>1</v>
      </c>
      <c r="Z45" s="233">
        <v>6</v>
      </c>
      <c r="AA45" s="233">
        <v>1</v>
      </c>
      <c r="AB45" s="232" t="s">
        <v>776</v>
      </c>
      <c r="AC45" s="233">
        <v>2002</v>
      </c>
      <c r="AD45" s="233" t="s">
        <v>1912</v>
      </c>
      <c r="AE45" s="234" t="s">
        <v>2547</v>
      </c>
      <c r="AF45"/>
      <c r="AG45"/>
      <c r="AH45" s="235" t="s">
        <v>1069</v>
      </c>
      <c r="AI45" s="343" t="s">
        <v>1070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1177</v>
      </c>
      <c r="T46" s="236" t="s">
        <v>1551</v>
      </c>
      <c r="U46" s="236">
        <v>8.7200000000000006</v>
      </c>
      <c r="V46" s="255">
        <v>8.89</v>
      </c>
      <c r="W46" s="236">
        <v>8.5</v>
      </c>
      <c r="X46" s="236">
        <v>1.03</v>
      </c>
      <c r="Y46" s="236">
        <v>5</v>
      </c>
      <c r="Z46" s="236">
        <v>24</v>
      </c>
      <c r="AA46" s="236">
        <v>1</v>
      </c>
      <c r="AB46" s="235" t="s">
        <v>1554</v>
      </c>
      <c r="AC46" s="236">
        <v>2011</v>
      </c>
      <c r="AD46" s="236" t="s">
        <v>1920</v>
      </c>
      <c r="AE46" s="237" t="s">
        <v>2159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717</v>
      </c>
      <c r="T47" s="233" t="s">
        <v>1427</v>
      </c>
      <c r="U47" s="233">
        <v>8.8800000000000008</v>
      </c>
      <c r="V47" s="255">
        <v>8.89</v>
      </c>
      <c r="W47" s="233">
        <v>8.5</v>
      </c>
      <c r="X47" s="233">
        <v>0.74</v>
      </c>
      <c r="Y47" s="233">
        <v>2</v>
      </c>
      <c r="Z47" s="233">
        <v>15</v>
      </c>
      <c r="AA47" s="233">
        <v>2</v>
      </c>
      <c r="AB47" s="232" t="s">
        <v>1428</v>
      </c>
      <c r="AC47" s="233">
        <v>2005</v>
      </c>
      <c r="AD47" s="233" t="s">
        <v>1911</v>
      </c>
      <c r="AE47" s="234" t="s">
        <v>2151</v>
      </c>
      <c r="AF47"/>
      <c r="AG47"/>
      <c r="AH47" s="342" t="s">
        <v>1071</v>
      </c>
      <c r="AI47" s="342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1373</v>
      </c>
      <c r="T48" s="236" t="s">
        <v>1374</v>
      </c>
      <c r="U48" s="236">
        <v>8.82</v>
      </c>
      <c r="V48" s="258">
        <v>8.8800000000000008</v>
      </c>
      <c r="W48" s="236">
        <v>8.75</v>
      </c>
      <c r="X48" s="236">
        <v>0.92</v>
      </c>
      <c r="Y48" s="236">
        <v>3</v>
      </c>
      <c r="Z48" s="236">
        <v>16</v>
      </c>
      <c r="AA48" s="236">
        <v>2</v>
      </c>
      <c r="AB48" s="235" t="s">
        <v>1375</v>
      </c>
      <c r="AC48" s="236">
        <v>2015</v>
      </c>
      <c r="AD48" s="236" t="s">
        <v>1921</v>
      </c>
      <c r="AE48" s="237" t="s">
        <v>2153</v>
      </c>
      <c r="AF48"/>
      <c r="AG48"/>
      <c r="AH48" s="232" t="s">
        <v>1072</v>
      </c>
      <c r="AI48" s="344" t="s">
        <v>2121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1489</v>
      </c>
      <c r="T49" s="233" t="s">
        <v>1490</v>
      </c>
      <c r="U49" s="233">
        <v>8.93</v>
      </c>
      <c r="V49" s="258">
        <v>8.8800000000000008</v>
      </c>
      <c r="W49" s="233">
        <v>9</v>
      </c>
      <c r="X49" s="233">
        <v>0.73</v>
      </c>
      <c r="Y49" s="233">
        <v>1</v>
      </c>
      <c r="Z49" s="233">
        <v>7</v>
      </c>
      <c r="AA49" s="233">
        <v>0</v>
      </c>
      <c r="AB49" s="232" t="s">
        <v>1493</v>
      </c>
      <c r="AC49" s="233">
        <v>2000</v>
      </c>
      <c r="AD49" s="233" t="s">
        <v>1917</v>
      </c>
      <c r="AE49" s="234" t="s">
        <v>2147</v>
      </c>
      <c r="AF49"/>
      <c r="AG49"/>
      <c r="AH49" s="235" t="s">
        <v>1078</v>
      </c>
      <c r="AI49" s="343" t="s">
        <v>1135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1591</v>
      </c>
      <c r="T50" s="236" t="s">
        <v>1592</v>
      </c>
      <c r="U50" s="236">
        <v>8.9</v>
      </c>
      <c r="V50" s="258">
        <v>8.8800000000000008</v>
      </c>
      <c r="W50" s="236">
        <v>9</v>
      </c>
      <c r="X50" s="236">
        <v>0.66</v>
      </c>
      <c r="Y50" s="236">
        <v>1</v>
      </c>
      <c r="Z50" s="236">
        <v>5</v>
      </c>
      <c r="AA50" s="236">
        <v>0</v>
      </c>
      <c r="AB50" s="235" t="s">
        <v>1593</v>
      </c>
      <c r="AC50" s="236">
        <v>1974</v>
      </c>
      <c r="AD50" s="236" t="s">
        <v>1906</v>
      </c>
      <c r="AE50" s="237" t="s">
        <v>2144</v>
      </c>
      <c r="AF50"/>
      <c r="AG50"/>
      <c r="AH50" s="232" t="s">
        <v>1074</v>
      </c>
      <c r="AI50" s="344" t="s">
        <v>1075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1742</v>
      </c>
      <c r="T51" s="233" t="s">
        <v>1743</v>
      </c>
      <c r="U51" s="233">
        <v>8.91</v>
      </c>
      <c r="V51" s="258">
        <v>8.8800000000000008</v>
      </c>
      <c r="W51" s="233">
        <v>9</v>
      </c>
      <c r="X51" s="233">
        <v>0.67</v>
      </c>
      <c r="Y51" s="233">
        <v>2</v>
      </c>
      <c r="Z51" s="233">
        <v>11</v>
      </c>
      <c r="AA51" s="233">
        <v>0</v>
      </c>
      <c r="AB51" s="232" t="s">
        <v>1094</v>
      </c>
      <c r="AC51" s="233">
        <v>1994</v>
      </c>
      <c r="AD51" s="233" t="s">
        <v>1922</v>
      </c>
      <c r="AE51" s="234" t="s">
        <v>2136</v>
      </c>
      <c r="AF51"/>
      <c r="AG51"/>
      <c r="AH51" s="235" t="s">
        <v>760</v>
      </c>
      <c r="AI51" s="343" t="s">
        <v>2860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349</v>
      </c>
      <c r="T52" s="236" t="s">
        <v>2386</v>
      </c>
      <c r="U52" s="236">
        <v>8.83</v>
      </c>
      <c r="V52" s="258">
        <v>8.8800000000000008</v>
      </c>
      <c r="W52" s="236">
        <v>8.75</v>
      </c>
      <c r="X52" s="236">
        <v>1.05</v>
      </c>
      <c r="Y52" s="236">
        <v>3</v>
      </c>
      <c r="Z52" s="236">
        <v>13</v>
      </c>
      <c r="AA52" s="236">
        <v>1</v>
      </c>
      <c r="AB52" s="235" t="s">
        <v>765</v>
      </c>
      <c r="AC52" s="236">
        <v>2003</v>
      </c>
      <c r="AD52" s="236" t="s">
        <v>1924</v>
      </c>
      <c r="AE52" s="237" t="s">
        <v>2407</v>
      </c>
      <c r="AF52"/>
      <c r="AG52"/>
      <c r="AH52" s="232" t="s">
        <v>2588</v>
      </c>
      <c r="AI52" s="344" t="s">
        <v>2589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2585</v>
      </c>
      <c r="T53" s="233" t="s">
        <v>2586</v>
      </c>
      <c r="U53" s="233">
        <v>8.86</v>
      </c>
      <c r="V53" s="258">
        <v>8.8800000000000008</v>
      </c>
      <c r="W53" s="233">
        <v>8.5</v>
      </c>
      <c r="X53" s="233">
        <v>0.93</v>
      </c>
      <c r="Y53" s="233">
        <v>3</v>
      </c>
      <c r="Z53" s="233">
        <v>11</v>
      </c>
      <c r="AA53" s="233">
        <v>0</v>
      </c>
      <c r="AB53" s="232" t="s">
        <v>2591</v>
      </c>
      <c r="AC53" s="233">
        <v>1991</v>
      </c>
      <c r="AD53" s="233" t="s">
        <v>1907</v>
      </c>
      <c r="AE53" s="234" t="s">
        <v>2592</v>
      </c>
      <c r="AF53"/>
      <c r="AG53"/>
      <c r="AH53" s="235" t="s">
        <v>1079</v>
      </c>
      <c r="AI53" s="343" t="s">
        <v>1080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44">
        <v>52</v>
      </c>
      <c r="S54" s="235" t="s">
        <v>339</v>
      </c>
      <c r="T54" s="236" t="s">
        <v>340</v>
      </c>
      <c r="U54" s="236">
        <v>8.89</v>
      </c>
      <c r="V54" s="331">
        <v>8.8699999999999992</v>
      </c>
      <c r="W54" s="236">
        <v>9</v>
      </c>
      <c r="X54" s="236">
        <v>0.7</v>
      </c>
      <c r="Y54" s="236">
        <v>2</v>
      </c>
      <c r="Z54" s="236">
        <v>9</v>
      </c>
      <c r="AA54" s="236">
        <v>0</v>
      </c>
      <c r="AB54" s="235" t="s">
        <v>759</v>
      </c>
      <c r="AC54" s="236">
        <v>2020</v>
      </c>
      <c r="AD54" s="236" t="s">
        <v>1923</v>
      </c>
      <c r="AE54" s="237" t="s">
        <v>2192</v>
      </c>
      <c r="AF54"/>
      <c r="AG54"/>
      <c r="AH54" s="232" t="s">
        <v>1081</v>
      </c>
      <c r="AI54" s="344" t="s">
        <v>1080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2797</v>
      </c>
      <c r="T55" s="233" t="s">
        <v>170</v>
      </c>
      <c r="U55" s="233">
        <v>8.91</v>
      </c>
      <c r="V55" s="331">
        <v>8.8699999999999992</v>
      </c>
      <c r="W55" s="233">
        <v>9</v>
      </c>
      <c r="X55" s="233">
        <v>0.63</v>
      </c>
      <c r="Y55" s="233">
        <v>1</v>
      </c>
      <c r="Z55" s="233">
        <v>11</v>
      </c>
      <c r="AA55" s="233">
        <v>0</v>
      </c>
      <c r="AB55" s="232" t="s">
        <v>2804</v>
      </c>
      <c r="AC55" s="233">
        <v>1977</v>
      </c>
      <c r="AD55" s="233" t="s">
        <v>1929</v>
      </c>
      <c r="AE55" s="234" t="s">
        <v>2805</v>
      </c>
      <c r="AF55"/>
      <c r="AG55"/>
      <c r="AH55" s="235" t="s">
        <v>2798</v>
      </c>
      <c r="AI55" s="343" t="s">
        <v>1080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341</v>
      </c>
      <c r="T56" s="236" t="s">
        <v>341</v>
      </c>
      <c r="U56" s="236">
        <v>8.83</v>
      </c>
      <c r="V56" s="276">
        <v>8.86</v>
      </c>
      <c r="W56" s="236">
        <v>8.5</v>
      </c>
      <c r="X56" s="236">
        <v>0.82</v>
      </c>
      <c r="Y56" s="236">
        <v>2</v>
      </c>
      <c r="Z56" s="236">
        <v>9</v>
      </c>
      <c r="AA56" s="236">
        <v>0</v>
      </c>
      <c r="AB56" s="235" t="s">
        <v>1209</v>
      </c>
      <c r="AC56" s="236">
        <v>1978</v>
      </c>
      <c r="AD56" s="236" t="s">
        <v>1905</v>
      </c>
      <c r="AE56" s="237" t="s">
        <v>2158</v>
      </c>
      <c r="AF56"/>
      <c r="AG56"/>
      <c r="AH56" s="232" t="s">
        <v>2799</v>
      </c>
      <c r="AI56" s="344" t="s">
        <v>1080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2058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2343</v>
      </c>
      <c r="T57" s="233" t="s">
        <v>2506</v>
      </c>
      <c r="U57" s="233">
        <v>8.7899999999999991</v>
      </c>
      <c r="V57" s="276">
        <v>8.86</v>
      </c>
      <c r="W57" s="233">
        <v>8.75</v>
      </c>
      <c r="X57" s="233">
        <v>0.75</v>
      </c>
      <c r="Y57" s="233">
        <v>1</v>
      </c>
      <c r="Z57" s="233">
        <v>13</v>
      </c>
      <c r="AA57" s="233">
        <v>1</v>
      </c>
      <c r="AB57" s="232" t="s">
        <v>2519</v>
      </c>
      <c r="AC57" s="233">
        <v>1967</v>
      </c>
      <c r="AD57" s="233" t="s">
        <v>1929</v>
      </c>
      <c r="AE57" s="234" t="s">
        <v>2520</v>
      </c>
      <c r="AF57"/>
      <c r="AG57"/>
      <c r="AH57" s="235" t="s">
        <v>1073</v>
      </c>
      <c r="AI57" s="343" t="s">
        <v>2284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345</v>
      </c>
      <c r="T58" s="236" t="s">
        <v>992</v>
      </c>
      <c r="U58" s="236">
        <v>8.73</v>
      </c>
      <c r="V58" s="263">
        <v>8.85</v>
      </c>
      <c r="W58" s="236">
        <v>9</v>
      </c>
      <c r="X58" s="236">
        <v>0.96</v>
      </c>
      <c r="Y58" s="236">
        <v>2</v>
      </c>
      <c r="Z58" s="236">
        <v>11</v>
      </c>
      <c r="AA58" s="236">
        <v>0</v>
      </c>
      <c r="AB58" s="235" t="s">
        <v>998</v>
      </c>
      <c r="AC58" s="236">
        <v>2002</v>
      </c>
      <c r="AD58" s="236" t="s">
        <v>1907</v>
      </c>
      <c r="AE58" s="237" t="s">
        <v>2163</v>
      </c>
      <c r="AF58"/>
      <c r="AG58"/>
      <c r="AH58" s="232" t="s">
        <v>1077</v>
      </c>
      <c r="AI58" s="344" t="s">
        <v>2807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341</v>
      </c>
      <c r="T59" s="233" t="s">
        <v>95</v>
      </c>
      <c r="U59" s="233">
        <v>8.83</v>
      </c>
      <c r="V59" s="275">
        <v>8.84</v>
      </c>
      <c r="W59" s="233">
        <v>8.5</v>
      </c>
      <c r="X59" s="233">
        <v>0.94</v>
      </c>
      <c r="Y59" s="233">
        <v>2</v>
      </c>
      <c r="Z59" s="233">
        <v>9</v>
      </c>
      <c r="AA59" s="233">
        <v>0</v>
      </c>
      <c r="AB59" s="232" t="s">
        <v>760</v>
      </c>
      <c r="AC59" s="233">
        <v>1985</v>
      </c>
      <c r="AD59" s="233" t="s">
        <v>1907</v>
      </c>
      <c r="AE59" s="234" t="s">
        <v>2192</v>
      </c>
      <c r="AF59"/>
      <c r="AG59"/>
      <c r="AH59" s="235" t="s">
        <v>2056</v>
      </c>
      <c r="AI59" s="343" t="s">
        <v>2110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1522</v>
      </c>
      <c r="T60" s="236" t="s">
        <v>1523</v>
      </c>
      <c r="U60" s="236">
        <v>8.82</v>
      </c>
      <c r="V60" s="275">
        <v>8.84</v>
      </c>
      <c r="W60" s="236">
        <v>8.5</v>
      </c>
      <c r="X60" s="236">
        <v>0.81</v>
      </c>
      <c r="Y60" s="236">
        <v>2</v>
      </c>
      <c r="Z60" s="236">
        <v>12</v>
      </c>
      <c r="AA60" s="236">
        <v>1</v>
      </c>
      <c r="AB60" s="235" t="s">
        <v>776</v>
      </c>
      <c r="AC60" s="236">
        <v>2005</v>
      </c>
      <c r="AD60" s="236" t="s">
        <v>1916</v>
      </c>
      <c r="AE60" s="237" t="s">
        <v>2146</v>
      </c>
      <c r="AF60"/>
      <c r="AG60"/>
      <c r="AH60" s="232" t="s">
        <v>1098</v>
      </c>
      <c r="AI60" s="344" t="s">
        <v>2756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2689</v>
      </c>
      <c r="T61" s="233" t="s">
        <v>2690</v>
      </c>
      <c r="U61" s="233">
        <v>8.83</v>
      </c>
      <c r="V61" s="275">
        <v>8.84</v>
      </c>
      <c r="W61" s="233">
        <v>9</v>
      </c>
      <c r="X61" s="233">
        <v>0.24</v>
      </c>
      <c r="Y61" s="233">
        <v>0</v>
      </c>
      <c r="Z61" s="233">
        <v>3</v>
      </c>
      <c r="AA61" s="233">
        <v>0</v>
      </c>
      <c r="AB61" s="232" t="s">
        <v>1098</v>
      </c>
      <c r="AC61" s="233">
        <v>1997</v>
      </c>
      <c r="AD61" s="233" t="s">
        <v>1931</v>
      </c>
      <c r="AE61" s="234" t="s">
        <v>2693</v>
      </c>
      <c r="AF61"/>
      <c r="AG61"/>
      <c r="AH61" s="235" t="s">
        <v>1076</v>
      </c>
      <c r="AI61" s="343" t="s">
        <v>2781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1384</v>
      </c>
      <c r="T62" s="236" t="s">
        <v>1377</v>
      </c>
      <c r="U62" s="236">
        <v>8.86</v>
      </c>
      <c r="V62" s="275">
        <v>8.83</v>
      </c>
      <c r="W62" s="236">
        <v>9</v>
      </c>
      <c r="X62" s="236">
        <v>0.69</v>
      </c>
      <c r="Y62" s="236">
        <v>1</v>
      </c>
      <c r="Z62" s="236">
        <v>7</v>
      </c>
      <c r="AA62" s="236">
        <v>0</v>
      </c>
      <c r="AB62" s="235" t="s">
        <v>1386</v>
      </c>
      <c r="AC62" s="236">
        <v>1971</v>
      </c>
      <c r="AD62" s="236" t="s">
        <v>1924</v>
      </c>
      <c r="AE62" s="237" t="s">
        <v>2152</v>
      </c>
      <c r="AF62"/>
      <c r="AG62"/>
      <c r="AH62" s="232" t="s">
        <v>1609</v>
      </c>
      <c r="AI62" s="344" t="s">
        <v>2372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1694</v>
      </c>
      <c r="T63" s="233" t="s">
        <v>2116</v>
      </c>
      <c r="U63" s="233">
        <v>8.81</v>
      </c>
      <c r="V63" s="275">
        <v>8.83</v>
      </c>
      <c r="W63" s="233">
        <v>8.5</v>
      </c>
      <c r="X63" s="233">
        <v>0.79</v>
      </c>
      <c r="Y63" s="233">
        <v>1</v>
      </c>
      <c r="Z63" s="233">
        <v>8</v>
      </c>
      <c r="AA63" s="233">
        <v>0</v>
      </c>
      <c r="AB63" s="232" t="s">
        <v>1355</v>
      </c>
      <c r="AC63" s="233">
        <v>1988</v>
      </c>
      <c r="AD63" s="233" t="s">
        <v>1899</v>
      </c>
      <c r="AE63" s="234" t="s">
        <v>2126</v>
      </c>
      <c r="AF63"/>
      <c r="AG63"/>
      <c r="AH63" s="235" t="s">
        <v>1606</v>
      </c>
      <c r="AI63" s="343" t="s">
        <v>1607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2343</v>
      </c>
      <c r="T64" s="236" t="s">
        <v>2344</v>
      </c>
      <c r="U64" s="236">
        <v>8.81</v>
      </c>
      <c r="V64" s="275">
        <v>8.83</v>
      </c>
      <c r="W64" s="236">
        <v>8.5</v>
      </c>
      <c r="X64" s="236">
        <v>0.73</v>
      </c>
      <c r="Y64" s="236">
        <v>2</v>
      </c>
      <c r="Z64" s="236">
        <v>17</v>
      </c>
      <c r="AA64" s="236">
        <v>1</v>
      </c>
      <c r="AB64" s="235" t="s">
        <v>1100</v>
      </c>
      <c r="AC64" s="236">
        <v>1969</v>
      </c>
      <c r="AD64" s="236" t="s">
        <v>1908</v>
      </c>
      <c r="AE64" s="237" t="s">
        <v>2345</v>
      </c>
      <c r="AF64"/>
      <c r="AG64"/>
      <c r="AH64" s="232" t="s">
        <v>1083</v>
      </c>
      <c r="AI64" s="344" t="s">
        <v>1084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396</v>
      </c>
      <c r="T65" s="233" t="s">
        <v>390</v>
      </c>
      <c r="U65" s="233">
        <v>8.8000000000000007</v>
      </c>
      <c r="V65" s="261">
        <v>8.81</v>
      </c>
      <c r="W65" s="233">
        <v>8.5</v>
      </c>
      <c r="X65" s="233">
        <v>0.98</v>
      </c>
      <c r="Y65" s="233">
        <v>2</v>
      </c>
      <c r="Z65" s="233">
        <v>10</v>
      </c>
      <c r="AA65" s="233">
        <v>0</v>
      </c>
      <c r="AB65" s="232" t="s">
        <v>762</v>
      </c>
      <c r="AC65" s="233">
        <v>1990</v>
      </c>
      <c r="AD65" s="233" t="s">
        <v>1934</v>
      </c>
      <c r="AE65" s="234" t="s">
        <v>2188</v>
      </c>
      <c r="AF65"/>
      <c r="AG65"/>
      <c r="AH65" s="235" t="s">
        <v>2757</v>
      </c>
      <c r="AI65" s="343" t="s">
        <v>2653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480</v>
      </c>
      <c r="T66" s="236" t="s">
        <v>481</v>
      </c>
      <c r="U66" s="236">
        <v>8.7899999999999991</v>
      </c>
      <c r="V66" s="261">
        <v>8.81</v>
      </c>
      <c r="W66" s="236">
        <v>8.5</v>
      </c>
      <c r="X66" s="236">
        <v>0.99</v>
      </c>
      <c r="Y66" s="236">
        <v>3</v>
      </c>
      <c r="Z66" s="236">
        <v>12</v>
      </c>
      <c r="AA66" s="236">
        <v>0</v>
      </c>
      <c r="AB66" s="235" t="s">
        <v>756</v>
      </c>
      <c r="AC66" s="236">
        <v>2002</v>
      </c>
      <c r="AD66" s="236" t="s">
        <v>1926</v>
      </c>
      <c r="AE66" s="237" t="s">
        <v>2185</v>
      </c>
      <c r="AF66"/>
      <c r="AG66"/>
      <c r="AH66" s="232" t="s">
        <v>2637</v>
      </c>
      <c r="AI66" s="344" t="s">
        <v>2653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1001</v>
      </c>
      <c r="N67" s="1">
        <f>ROUND(SUM(N68:N77)/COUNT(N68:N77), 2)</f>
        <v>8.8000000000000007</v>
      </c>
      <c r="O67" s="17"/>
      <c r="R67" s="244">
        <v>65</v>
      </c>
      <c r="S67" s="232" t="s">
        <v>2712</v>
      </c>
      <c r="T67" s="233" t="s">
        <v>2711</v>
      </c>
      <c r="U67" s="233">
        <v>8.8800000000000008</v>
      </c>
      <c r="V67" s="261">
        <v>8.81</v>
      </c>
      <c r="W67" s="233">
        <v>8.75</v>
      </c>
      <c r="X67" s="233">
        <v>0.74</v>
      </c>
      <c r="Y67" s="233">
        <v>1</v>
      </c>
      <c r="Z67" s="233">
        <v>4</v>
      </c>
      <c r="AA67" s="233">
        <v>0</v>
      </c>
      <c r="AB67" s="232" t="s">
        <v>2753</v>
      </c>
      <c r="AC67" s="233">
        <v>2000</v>
      </c>
      <c r="AD67" s="233" t="s">
        <v>2754</v>
      </c>
      <c r="AE67" s="234" t="s">
        <v>2755</v>
      </c>
      <c r="AF67"/>
      <c r="AG67"/>
      <c r="AH67" s="235" t="s">
        <v>1395</v>
      </c>
      <c r="AI67" s="343" t="s">
        <v>1396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585</v>
      </c>
      <c r="T68" s="236" t="s">
        <v>586</v>
      </c>
      <c r="U68" s="236">
        <v>8.7799999999999994</v>
      </c>
      <c r="V68" s="267">
        <v>8.7899999999999991</v>
      </c>
      <c r="W68" s="236">
        <v>8.5</v>
      </c>
      <c r="X68" s="236">
        <v>0.97</v>
      </c>
      <c r="Y68" s="236">
        <v>2</v>
      </c>
      <c r="Z68" s="236">
        <v>9</v>
      </c>
      <c r="AA68" s="236">
        <v>0</v>
      </c>
      <c r="AB68" s="235" t="s">
        <v>819</v>
      </c>
      <c r="AC68" s="236">
        <v>1983</v>
      </c>
      <c r="AD68" s="236" t="s">
        <v>1908</v>
      </c>
      <c r="AE68" s="237" t="s">
        <v>2182</v>
      </c>
      <c r="AF68"/>
      <c r="AG68"/>
      <c r="AH68" s="232" t="s">
        <v>1355</v>
      </c>
      <c r="AI68" s="344" t="s">
        <v>2124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337</v>
      </c>
      <c r="T69" s="233" t="s">
        <v>628</v>
      </c>
      <c r="U69" s="233">
        <v>8.77</v>
      </c>
      <c r="V69" s="267">
        <v>8.7899999999999991</v>
      </c>
      <c r="W69" s="233">
        <v>8.5</v>
      </c>
      <c r="X69" s="233">
        <v>0.99</v>
      </c>
      <c r="Y69" s="233">
        <v>3</v>
      </c>
      <c r="Z69" s="233">
        <v>13</v>
      </c>
      <c r="AA69" s="233">
        <v>0</v>
      </c>
      <c r="AB69" s="232" t="s">
        <v>758</v>
      </c>
      <c r="AC69" s="233">
        <v>2013</v>
      </c>
      <c r="AD69" s="233" t="s">
        <v>1925</v>
      </c>
      <c r="AE69" s="234" t="s">
        <v>2180</v>
      </c>
      <c r="AF69"/>
      <c r="AG69"/>
      <c r="AH69" s="235" t="s">
        <v>1089</v>
      </c>
      <c r="AI69" s="343" t="s">
        <v>1647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816</v>
      </c>
      <c r="T70" s="236" t="s">
        <v>817</v>
      </c>
      <c r="U70" s="236">
        <v>8.82</v>
      </c>
      <c r="V70" s="267">
        <v>8.7899999999999991</v>
      </c>
      <c r="W70" s="236">
        <v>9</v>
      </c>
      <c r="X70" s="236">
        <v>0.86</v>
      </c>
      <c r="Y70" s="236">
        <v>3</v>
      </c>
      <c r="Z70" s="236">
        <v>13</v>
      </c>
      <c r="AA70" s="236">
        <v>2</v>
      </c>
      <c r="AB70" s="235" t="s">
        <v>818</v>
      </c>
      <c r="AC70" s="236">
        <v>2010</v>
      </c>
      <c r="AD70" s="236" t="s">
        <v>1926</v>
      </c>
      <c r="AE70" s="237" t="s">
        <v>2170</v>
      </c>
      <c r="AF70"/>
      <c r="AG70"/>
      <c r="AH70" s="232" t="s">
        <v>1226</v>
      </c>
      <c r="AI70" s="344" t="s">
        <v>1227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1279</v>
      </c>
      <c r="T71" s="233" t="s">
        <v>1280</v>
      </c>
      <c r="U71" s="233">
        <v>8.67</v>
      </c>
      <c r="V71" s="267">
        <v>8.7899999999999991</v>
      </c>
      <c r="W71" s="233">
        <v>9</v>
      </c>
      <c r="X71" s="233">
        <v>1.08</v>
      </c>
      <c r="Y71" s="233">
        <v>2</v>
      </c>
      <c r="Z71" s="233">
        <v>9</v>
      </c>
      <c r="AA71" s="233">
        <v>0</v>
      </c>
      <c r="AB71" s="232" t="s">
        <v>1284</v>
      </c>
      <c r="AC71" s="233">
        <v>2008</v>
      </c>
      <c r="AD71" s="233" t="s">
        <v>1927</v>
      </c>
      <c r="AE71" s="234" t="s">
        <v>2157</v>
      </c>
      <c r="AF71"/>
      <c r="AG71"/>
      <c r="AH71" s="235" t="s">
        <v>1228</v>
      </c>
      <c r="AI71" s="343" t="s">
        <v>1227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334</v>
      </c>
      <c r="T72" s="236" t="s">
        <v>897</v>
      </c>
      <c r="U72" s="236">
        <v>8.7899999999999991</v>
      </c>
      <c r="V72" s="313">
        <v>8.7799999999999994</v>
      </c>
      <c r="W72" s="236">
        <v>8.5</v>
      </c>
      <c r="X72" s="236">
        <v>0.99</v>
      </c>
      <c r="Y72" s="236">
        <v>1</v>
      </c>
      <c r="Z72" s="236">
        <v>7</v>
      </c>
      <c r="AA72" s="236">
        <v>0</v>
      </c>
      <c r="AB72" s="235" t="s">
        <v>776</v>
      </c>
      <c r="AC72" s="236">
        <v>1999</v>
      </c>
      <c r="AD72" s="236" t="s">
        <v>1933</v>
      </c>
      <c r="AE72" s="237" t="s">
        <v>2167</v>
      </c>
      <c r="AF72"/>
      <c r="AG72"/>
      <c r="AH72" s="232" t="s">
        <v>1398</v>
      </c>
      <c r="AI72" s="344" t="s">
        <v>1227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1672</v>
      </c>
      <c r="T73" s="233" t="s">
        <v>1671</v>
      </c>
      <c r="U73" s="233">
        <v>8.85</v>
      </c>
      <c r="V73" s="313">
        <v>8.7799999999999994</v>
      </c>
      <c r="W73" s="233">
        <v>8.75</v>
      </c>
      <c r="X73" s="233">
        <v>0.55000000000000004</v>
      </c>
      <c r="Y73" s="233">
        <v>1</v>
      </c>
      <c r="Z73" s="233">
        <v>10</v>
      </c>
      <c r="AA73" s="233">
        <v>0</v>
      </c>
      <c r="AB73" s="232" t="s">
        <v>1673</v>
      </c>
      <c r="AC73" s="233">
        <v>2014</v>
      </c>
      <c r="AD73" s="233" t="s">
        <v>1928</v>
      </c>
      <c r="AE73" s="234" t="s">
        <v>2140</v>
      </c>
      <c r="AF73"/>
      <c r="AG73"/>
      <c r="AH73" s="235" t="s">
        <v>1786</v>
      </c>
      <c r="AI73" s="343" t="s">
        <v>1227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480</v>
      </c>
      <c r="T74" s="236" t="s">
        <v>2525</v>
      </c>
      <c r="U74" s="236">
        <v>8.75</v>
      </c>
      <c r="V74" s="313">
        <v>8.7799999999999994</v>
      </c>
      <c r="W74" s="236">
        <v>8.5</v>
      </c>
      <c r="X74" s="236">
        <v>0.68</v>
      </c>
      <c r="Y74" s="236">
        <v>1</v>
      </c>
      <c r="Z74" s="236">
        <v>10</v>
      </c>
      <c r="AA74" s="236">
        <v>0</v>
      </c>
      <c r="AB74" s="235" t="s">
        <v>2536</v>
      </c>
      <c r="AC74" s="236">
        <v>2000</v>
      </c>
      <c r="AD74" s="236" t="s">
        <v>1932</v>
      </c>
      <c r="AE74" s="237" t="s">
        <v>2520</v>
      </c>
      <c r="AF74"/>
      <c r="AG74"/>
      <c r="AH74" s="232" t="s">
        <v>1459</v>
      </c>
      <c r="AI74" s="344" t="s">
        <v>1227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331</v>
      </c>
      <c r="T75" s="233" t="s">
        <v>1394</v>
      </c>
      <c r="U75" s="233">
        <v>8.83</v>
      </c>
      <c r="V75" s="289">
        <v>8.77</v>
      </c>
      <c r="W75" s="233">
        <v>8.75</v>
      </c>
      <c r="X75" s="233">
        <v>0.62</v>
      </c>
      <c r="Y75" s="233">
        <v>1</v>
      </c>
      <c r="Z75" s="233">
        <v>6</v>
      </c>
      <c r="AA75" s="233">
        <v>0</v>
      </c>
      <c r="AB75" s="232" t="s">
        <v>1397</v>
      </c>
      <c r="AC75" s="233">
        <v>2023</v>
      </c>
      <c r="AD75" s="233" t="s">
        <v>1929</v>
      </c>
      <c r="AE75" s="234" t="s">
        <v>2152</v>
      </c>
      <c r="AF75"/>
      <c r="AG75"/>
      <c r="AH75" s="235" t="s">
        <v>775</v>
      </c>
      <c r="AI75" s="343" t="s">
        <v>2325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1775</v>
      </c>
      <c r="T76" s="236" t="s">
        <v>1776</v>
      </c>
      <c r="U76" s="236">
        <v>8.83</v>
      </c>
      <c r="V76" s="289">
        <v>8.77</v>
      </c>
      <c r="W76" s="236">
        <v>8.75</v>
      </c>
      <c r="X76" s="236">
        <v>0.62</v>
      </c>
      <c r="Y76" s="236">
        <v>1</v>
      </c>
      <c r="Z76" s="236">
        <v>6</v>
      </c>
      <c r="AA76" s="236">
        <v>0</v>
      </c>
      <c r="AB76" s="235" t="s">
        <v>1779</v>
      </c>
      <c r="AC76" s="236">
        <v>1991</v>
      </c>
      <c r="AD76" s="236" t="s">
        <v>1929</v>
      </c>
      <c r="AE76" s="237" t="s">
        <v>2135</v>
      </c>
      <c r="AF76"/>
      <c r="AG76"/>
      <c r="AH76" s="232" t="s">
        <v>1094</v>
      </c>
      <c r="AI76" s="344" t="s">
        <v>1745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2625</v>
      </c>
      <c r="T77" s="233" t="s">
        <v>2626</v>
      </c>
      <c r="U77" s="233">
        <v>8.8800000000000008</v>
      </c>
      <c r="V77" s="289">
        <v>8.77</v>
      </c>
      <c r="W77" s="233">
        <v>8.75</v>
      </c>
      <c r="X77" s="233">
        <v>0.89</v>
      </c>
      <c r="Y77" s="233">
        <v>1</v>
      </c>
      <c r="Z77" s="233">
        <v>6</v>
      </c>
      <c r="AA77" s="233">
        <v>2</v>
      </c>
      <c r="AB77" s="232" t="s">
        <v>2630</v>
      </c>
      <c r="AC77" s="233">
        <v>2000</v>
      </c>
      <c r="AD77" s="233" t="s">
        <v>2631</v>
      </c>
      <c r="AE77" s="234" t="s">
        <v>2632</v>
      </c>
      <c r="AF77"/>
      <c r="AG77"/>
      <c r="AH77" s="235" t="s">
        <v>2522</v>
      </c>
      <c r="AI77" s="343" t="s">
        <v>2523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346</v>
      </c>
      <c r="T78" s="236" t="s">
        <v>1182</v>
      </c>
      <c r="U78" s="236">
        <v>8.73</v>
      </c>
      <c r="V78" s="247">
        <v>8.76</v>
      </c>
      <c r="W78" s="236">
        <v>8.5</v>
      </c>
      <c r="X78" s="236">
        <v>0.87</v>
      </c>
      <c r="Y78" s="236">
        <v>2</v>
      </c>
      <c r="Z78" s="236">
        <v>13</v>
      </c>
      <c r="AA78" s="236">
        <v>0</v>
      </c>
      <c r="AB78" s="235" t="s">
        <v>1184</v>
      </c>
      <c r="AC78" s="236">
        <v>2009</v>
      </c>
      <c r="AD78" s="236" t="s">
        <v>1930</v>
      </c>
      <c r="AE78" s="237" t="s">
        <v>2192</v>
      </c>
      <c r="AF78"/>
      <c r="AG78"/>
      <c r="AH78" s="232" t="s">
        <v>1088</v>
      </c>
      <c r="AI78" s="344" t="s">
        <v>2913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44">
        <v>77</v>
      </c>
      <c r="S79" s="232" t="s">
        <v>342</v>
      </c>
      <c r="T79" s="233" t="s">
        <v>270</v>
      </c>
      <c r="U79" s="233">
        <v>8.7799999999999994</v>
      </c>
      <c r="V79" s="247">
        <v>8.76</v>
      </c>
      <c r="W79" s="233">
        <v>9</v>
      </c>
      <c r="X79" s="233">
        <v>0.79</v>
      </c>
      <c r="Y79" s="233">
        <v>2</v>
      </c>
      <c r="Z79" s="233">
        <v>10</v>
      </c>
      <c r="AA79" s="233">
        <v>1</v>
      </c>
      <c r="AB79" s="232" t="s">
        <v>761</v>
      </c>
      <c r="AC79" s="233">
        <v>1994</v>
      </c>
      <c r="AD79" s="233" t="s">
        <v>1929</v>
      </c>
      <c r="AE79" s="234" t="s">
        <v>2190</v>
      </c>
      <c r="AF79"/>
      <c r="AG79"/>
      <c r="AH79" s="235" t="s">
        <v>1242</v>
      </c>
      <c r="AI79" s="343" t="s">
        <v>2360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837</v>
      </c>
      <c r="T80" s="236" t="s">
        <v>832</v>
      </c>
      <c r="U80" s="236">
        <v>8.7100000000000009</v>
      </c>
      <c r="V80" s="247">
        <v>8.76</v>
      </c>
      <c r="W80" s="236">
        <v>8.5</v>
      </c>
      <c r="X80" s="236">
        <v>0.75</v>
      </c>
      <c r="Y80" s="236">
        <v>2</v>
      </c>
      <c r="Z80" s="236">
        <v>14</v>
      </c>
      <c r="AA80" s="236">
        <v>0</v>
      </c>
      <c r="AB80" s="235" t="s">
        <v>838</v>
      </c>
      <c r="AC80" s="236">
        <v>2005</v>
      </c>
      <c r="AD80" s="236" t="s">
        <v>1931</v>
      </c>
      <c r="AE80" s="237" t="s">
        <v>2169</v>
      </c>
      <c r="AF80"/>
      <c r="AG80"/>
      <c r="AH80" s="232" t="s">
        <v>1339</v>
      </c>
      <c r="AI80" s="344" t="s">
        <v>1340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1478</v>
      </c>
      <c r="T81" s="233" t="s">
        <v>1479</v>
      </c>
      <c r="U81" s="233">
        <v>8.73</v>
      </c>
      <c r="V81" s="247">
        <v>8.76</v>
      </c>
      <c r="W81" s="233">
        <v>8.5</v>
      </c>
      <c r="X81" s="233">
        <v>0.75</v>
      </c>
      <c r="Y81" s="233">
        <v>1</v>
      </c>
      <c r="Z81" s="233">
        <v>13</v>
      </c>
      <c r="AA81" s="233">
        <v>0</v>
      </c>
      <c r="AB81" s="232" t="s">
        <v>1480</v>
      </c>
      <c r="AC81" s="233">
        <v>1992</v>
      </c>
      <c r="AD81" s="233" t="s">
        <v>1925</v>
      </c>
      <c r="AE81" s="234" t="s">
        <v>2148</v>
      </c>
      <c r="AF81"/>
      <c r="AG81"/>
      <c r="AH81" s="235" t="s">
        <v>774</v>
      </c>
      <c r="AI81" s="343" t="s">
        <v>2572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327</v>
      </c>
      <c r="T82" s="236" t="s">
        <v>558</v>
      </c>
      <c r="U82" s="236">
        <v>8.77</v>
      </c>
      <c r="V82" s="284">
        <v>8.75</v>
      </c>
      <c r="W82" s="236">
        <v>9</v>
      </c>
      <c r="X82" s="236">
        <v>0.72</v>
      </c>
      <c r="Y82" s="236">
        <v>1</v>
      </c>
      <c r="Z82" s="236">
        <v>11</v>
      </c>
      <c r="AA82" s="236">
        <v>0</v>
      </c>
      <c r="AB82" s="235" t="s">
        <v>753</v>
      </c>
      <c r="AC82" s="236">
        <v>2016</v>
      </c>
      <c r="AD82" s="236" t="s">
        <v>1927</v>
      </c>
      <c r="AE82" s="237" t="s">
        <v>2183</v>
      </c>
      <c r="AF82"/>
      <c r="AG82"/>
      <c r="AH82" s="232" t="s">
        <v>1847</v>
      </c>
      <c r="AI82" s="344" t="s">
        <v>2715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717</v>
      </c>
      <c r="T83" s="233" t="s">
        <v>713</v>
      </c>
      <c r="U83" s="233">
        <v>8.67</v>
      </c>
      <c r="V83" s="284">
        <v>8.75</v>
      </c>
      <c r="W83" s="233">
        <v>8</v>
      </c>
      <c r="X83" s="233">
        <v>1.04</v>
      </c>
      <c r="Y83" s="233">
        <v>4</v>
      </c>
      <c r="Z83" s="233">
        <v>16</v>
      </c>
      <c r="AA83" s="233">
        <v>1</v>
      </c>
      <c r="AB83" s="232" t="s">
        <v>777</v>
      </c>
      <c r="AC83" s="233">
        <v>2010</v>
      </c>
      <c r="AD83" s="233" t="s">
        <v>1932</v>
      </c>
      <c r="AE83" s="234" t="s">
        <v>2176</v>
      </c>
      <c r="AF83"/>
      <c r="AG83"/>
      <c r="AH83" s="235" t="s">
        <v>1082</v>
      </c>
      <c r="AI83" s="343" t="s">
        <v>2800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2420</v>
      </c>
      <c r="T84" s="236" t="s">
        <v>2410</v>
      </c>
      <c r="U84" s="236">
        <v>8.86</v>
      </c>
      <c r="V84" s="291">
        <v>8.74</v>
      </c>
      <c r="W84" s="236">
        <v>8.5</v>
      </c>
      <c r="X84" s="236">
        <v>0.86</v>
      </c>
      <c r="Y84" s="236">
        <v>3</v>
      </c>
      <c r="Z84" s="236">
        <v>11</v>
      </c>
      <c r="AA84" s="236">
        <v>0</v>
      </c>
      <c r="AB84" s="235" t="s">
        <v>2422</v>
      </c>
      <c r="AC84" s="236">
        <v>1994</v>
      </c>
      <c r="AD84" s="236" t="s">
        <v>1911</v>
      </c>
      <c r="AE84" s="237" t="s">
        <v>2423</v>
      </c>
      <c r="AF84"/>
      <c r="AG84"/>
      <c r="AH84" s="232" t="s">
        <v>1183</v>
      </c>
      <c r="AI84" s="344" t="s">
        <v>2808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1439</v>
      </c>
      <c r="T85" s="233" t="s">
        <v>1440</v>
      </c>
      <c r="U85" s="233">
        <v>8.83</v>
      </c>
      <c r="V85" s="241">
        <v>8.7200000000000006</v>
      </c>
      <c r="W85" s="233">
        <v>8.5</v>
      </c>
      <c r="X85" s="233">
        <v>0.57999999999999996</v>
      </c>
      <c r="Y85" s="233">
        <v>1</v>
      </c>
      <c r="Z85" s="233">
        <v>9</v>
      </c>
      <c r="AA85" s="233">
        <v>0</v>
      </c>
      <c r="AB85" s="232" t="s">
        <v>1442</v>
      </c>
      <c r="AC85" s="233">
        <v>2002</v>
      </c>
      <c r="AD85" s="233" t="s">
        <v>1926</v>
      </c>
      <c r="AE85" s="234" t="s">
        <v>2150</v>
      </c>
      <c r="AF85"/>
      <c r="AG85"/>
      <c r="AH85" s="235" t="s">
        <v>2539</v>
      </c>
      <c r="AI85" s="343" t="s">
        <v>1241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409</v>
      </c>
      <c r="T86" s="236" t="s">
        <v>407</v>
      </c>
      <c r="U86" s="236">
        <v>8.67</v>
      </c>
      <c r="V86" s="329">
        <v>8.7100000000000009</v>
      </c>
      <c r="W86" s="236">
        <v>8.5</v>
      </c>
      <c r="X86" s="236">
        <v>0.85</v>
      </c>
      <c r="Y86" s="236">
        <v>2</v>
      </c>
      <c r="Z86" s="236">
        <v>12</v>
      </c>
      <c r="AA86" s="236">
        <v>0</v>
      </c>
      <c r="AB86" s="235" t="s">
        <v>819</v>
      </c>
      <c r="AC86" s="236">
        <v>1989</v>
      </c>
      <c r="AD86" s="236" t="s">
        <v>1935</v>
      </c>
      <c r="AE86" s="237" t="s">
        <v>2188</v>
      </c>
      <c r="AF86"/>
      <c r="AG86"/>
      <c r="AH86" s="232" t="s">
        <v>1507</v>
      </c>
      <c r="AI86" s="344" t="s">
        <v>1241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1504</v>
      </c>
      <c r="T87" s="233" t="s">
        <v>1505</v>
      </c>
      <c r="U87" s="233">
        <v>8.75</v>
      </c>
      <c r="V87" s="245">
        <v>8.6999999999999993</v>
      </c>
      <c r="W87" s="233">
        <v>8.75</v>
      </c>
      <c r="X87" s="233">
        <v>0.75</v>
      </c>
      <c r="Y87" s="233">
        <v>2</v>
      </c>
      <c r="Z87" s="233">
        <v>10</v>
      </c>
      <c r="AA87" s="233">
        <v>0</v>
      </c>
      <c r="AB87" s="232" t="s">
        <v>1506</v>
      </c>
      <c r="AC87" s="233">
        <v>1998</v>
      </c>
      <c r="AD87" s="233" t="s">
        <v>1936</v>
      </c>
      <c r="AE87" s="234" t="s">
        <v>2146</v>
      </c>
      <c r="AF87"/>
      <c r="AG87"/>
      <c r="AH87" s="235" t="s">
        <v>2801</v>
      </c>
      <c r="AI87" s="343" t="s">
        <v>1241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1694</v>
      </c>
      <c r="T88" s="236" t="s">
        <v>1690</v>
      </c>
      <c r="U88" s="236">
        <v>8.81</v>
      </c>
      <c r="V88" s="245">
        <v>8.6999999999999993</v>
      </c>
      <c r="W88" s="236">
        <v>8.5</v>
      </c>
      <c r="X88" s="236">
        <v>0.83</v>
      </c>
      <c r="Y88" s="236">
        <v>2</v>
      </c>
      <c r="Z88" s="236">
        <v>8</v>
      </c>
      <c r="AA88" s="236">
        <v>0</v>
      </c>
      <c r="AB88" s="235" t="s">
        <v>1355</v>
      </c>
      <c r="AC88" s="236">
        <v>1982</v>
      </c>
      <c r="AD88" s="236" t="s">
        <v>1913</v>
      </c>
      <c r="AE88" s="237" t="s">
        <v>2139</v>
      </c>
      <c r="AF88"/>
      <c r="AG88"/>
      <c r="AH88" s="232" t="s">
        <v>1649</v>
      </c>
      <c r="AI88" s="344" t="s">
        <v>1241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1458</v>
      </c>
      <c r="T89" s="233" t="s">
        <v>1463</v>
      </c>
      <c r="U89" s="233">
        <v>8.8000000000000007</v>
      </c>
      <c r="V89" s="292">
        <v>8.68</v>
      </c>
      <c r="W89" s="233">
        <v>8.5</v>
      </c>
      <c r="X89" s="233">
        <v>0.7</v>
      </c>
      <c r="Y89" s="233">
        <v>2</v>
      </c>
      <c r="Z89" s="233">
        <v>15</v>
      </c>
      <c r="AA89" s="233">
        <v>0</v>
      </c>
      <c r="AB89" s="232" t="s">
        <v>1460</v>
      </c>
      <c r="AC89" s="233">
        <v>2012</v>
      </c>
      <c r="AD89" s="233" t="s">
        <v>1912</v>
      </c>
      <c r="AE89" s="234" t="s">
        <v>2149</v>
      </c>
      <c r="AF89"/>
      <c r="AG89"/>
      <c r="AH89" s="235" t="s">
        <v>1650</v>
      </c>
      <c r="AI89" s="343" t="s">
        <v>1241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1478</v>
      </c>
      <c r="T90" s="236" t="s">
        <v>2624</v>
      </c>
      <c r="U90" s="236">
        <v>8.6300000000000008</v>
      </c>
      <c r="V90" s="248">
        <v>8.67</v>
      </c>
      <c r="W90" s="236">
        <v>8.5</v>
      </c>
      <c r="X90" s="236">
        <v>0.89</v>
      </c>
      <c r="Y90" s="236">
        <v>2</v>
      </c>
      <c r="Z90" s="236">
        <v>12</v>
      </c>
      <c r="AA90" s="236">
        <v>0</v>
      </c>
      <c r="AB90" s="235" t="s">
        <v>1847</v>
      </c>
      <c r="AC90" s="236">
        <v>1995</v>
      </c>
      <c r="AD90" s="236" t="s">
        <v>1931</v>
      </c>
      <c r="AE90" s="237" t="s">
        <v>2633</v>
      </c>
      <c r="AF90"/>
      <c r="AG90"/>
      <c r="AH90" s="232" t="s">
        <v>2207</v>
      </c>
      <c r="AI90" s="344" t="s">
        <v>1241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2745</v>
      </c>
      <c r="T91" s="233" t="s">
        <v>2746</v>
      </c>
      <c r="U91" s="233">
        <v>8.75</v>
      </c>
      <c r="V91" s="248">
        <v>8.67</v>
      </c>
      <c r="W91" s="233">
        <v>8.75</v>
      </c>
      <c r="X91" s="233">
        <v>0.75</v>
      </c>
      <c r="Y91" s="233">
        <v>1</v>
      </c>
      <c r="Z91" s="233">
        <v>11</v>
      </c>
      <c r="AA91" s="233">
        <v>1</v>
      </c>
      <c r="AB91" s="232" t="s">
        <v>2782</v>
      </c>
      <c r="AC91" s="233">
        <v>1991</v>
      </c>
      <c r="AD91" s="233" t="s">
        <v>1917</v>
      </c>
      <c r="AE91" s="234" t="s">
        <v>2749</v>
      </c>
      <c r="AF91"/>
      <c r="AG91"/>
      <c r="AH91" s="235" t="s">
        <v>1240</v>
      </c>
      <c r="AI91" s="343" t="s">
        <v>1241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1334</v>
      </c>
      <c r="T92" s="236" t="s">
        <v>1335</v>
      </c>
      <c r="U92" s="236">
        <v>8.77</v>
      </c>
      <c r="V92" s="280">
        <v>8.65</v>
      </c>
      <c r="W92" s="236">
        <v>8.5</v>
      </c>
      <c r="X92" s="236">
        <v>0.75</v>
      </c>
      <c r="Y92" s="236">
        <v>2</v>
      </c>
      <c r="Z92" s="236">
        <v>14</v>
      </c>
      <c r="AA92" s="236">
        <v>1</v>
      </c>
      <c r="AB92" s="235" t="s">
        <v>1338</v>
      </c>
      <c r="AC92" s="236">
        <v>2002</v>
      </c>
      <c r="AD92" s="236" t="s">
        <v>1914</v>
      </c>
      <c r="AE92" s="237" t="s">
        <v>2155</v>
      </c>
      <c r="AF92"/>
      <c r="AG92"/>
      <c r="AH92" s="232" t="s">
        <v>1102</v>
      </c>
      <c r="AI92" s="344" t="s">
        <v>2590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999</v>
      </c>
      <c r="N93" s="1">
        <f>ROUND(SUM(N94:N110)/COUNT(N94:N110), 2)</f>
        <v>8.5</v>
      </c>
      <c r="O93" s="17"/>
      <c r="R93" s="244">
        <v>91</v>
      </c>
      <c r="S93" s="232" t="s">
        <v>335</v>
      </c>
      <c r="T93" s="233" t="s">
        <v>335</v>
      </c>
      <c r="U93" s="233">
        <v>8.4600000000000009</v>
      </c>
      <c r="V93" s="280">
        <v>8.65</v>
      </c>
      <c r="W93" s="233">
        <v>8.5</v>
      </c>
      <c r="X93" s="233">
        <v>1.33</v>
      </c>
      <c r="Y93" s="233">
        <v>3</v>
      </c>
      <c r="Z93" s="233">
        <v>12</v>
      </c>
      <c r="AA93" s="233">
        <v>0</v>
      </c>
      <c r="AB93" s="232" t="s">
        <v>1355</v>
      </c>
      <c r="AC93" s="233">
        <v>2021</v>
      </c>
      <c r="AD93" s="233" t="s">
        <v>1933</v>
      </c>
      <c r="AE93" s="234" t="s">
        <v>2154</v>
      </c>
      <c r="AF93"/>
      <c r="AG93"/>
      <c r="AH93" s="235" t="s">
        <v>1196</v>
      </c>
      <c r="AI93" s="343" t="s">
        <v>1090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1645</v>
      </c>
      <c r="T94" s="236" t="s">
        <v>1641</v>
      </c>
      <c r="U94" s="236">
        <v>8.75</v>
      </c>
      <c r="V94" s="280">
        <v>8.65</v>
      </c>
      <c r="W94" s="236">
        <v>8.5</v>
      </c>
      <c r="X94" s="236">
        <v>0.56000000000000005</v>
      </c>
      <c r="Y94" s="236">
        <v>1</v>
      </c>
      <c r="Z94" s="236">
        <v>9</v>
      </c>
      <c r="AA94" s="236">
        <v>1</v>
      </c>
      <c r="AB94" s="235" t="s">
        <v>1648</v>
      </c>
      <c r="AC94" s="236">
        <v>2000</v>
      </c>
      <c r="AD94" s="236" t="s">
        <v>1901</v>
      </c>
      <c r="AE94" s="237" t="s">
        <v>2142</v>
      </c>
      <c r="AF94"/>
      <c r="AG94"/>
      <c r="AH94" s="232" t="s">
        <v>1491</v>
      </c>
      <c r="AI94" s="344" t="s">
        <v>1090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2205</v>
      </c>
      <c r="T95" s="233" t="s">
        <v>2206</v>
      </c>
      <c r="U95" s="233">
        <v>8.75</v>
      </c>
      <c r="V95" s="279">
        <v>8.64</v>
      </c>
      <c r="W95" s="233">
        <v>8.5</v>
      </c>
      <c r="X95" s="233">
        <v>0.66</v>
      </c>
      <c r="Y95" s="233">
        <v>1</v>
      </c>
      <c r="Z95" s="233">
        <v>8</v>
      </c>
      <c r="AA95" s="233">
        <v>0</v>
      </c>
      <c r="AB95" s="232" t="s">
        <v>2207</v>
      </c>
      <c r="AC95" s="233">
        <v>1996</v>
      </c>
      <c r="AD95" s="233" t="s">
        <v>1913</v>
      </c>
      <c r="AE95" s="234" t="s">
        <v>2125</v>
      </c>
      <c r="AF95"/>
      <c r="AG95"/>
      <c r="AH95" s="235" t="s">
        <v>1492</v>
      </c>
      <c r="AI95" s="343" t="s">
        <v>1090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334</v>
      </c>
      <c r="T96" s="236" t="s">
        <v>512</v>
      </c>
      <c r="U96" s="236">
        <v>8.69</v>
      </c>
      <c r="V96" s="271">
        <v>8.6300000000000008</v>
      </c>
      <c r="W96" s="236">
        <v>8.75</v>
      </c>
      <c r="X96" s="236">
        <v>0.79</v>
      </c>
      <c r="Y96" s="236">
        <v>1</v>
      </c>
      <c r="Z96" s="236">
        <v>8</v>
      </c>
      <c r="AA96" s="236">
        <v>0</v>
      </c>
      <c r="AB96" s="235" t="s">
        <v>776</v>
      </c>
      <c r="AC96" s="236">
        <v>2003</v>
      </c>
      <c r="AD96" s="236" t="s">
        <v>1936</v>
      </c>
      <c r="AE96" s="237" t="s">
        <v>2184</v>
      </c>
      <c r="AF96"/>
      <c r="AG96"/>
      <c r="AH96" s="232" t="s">
        <v>2243</v>
      </c>
      <c r="AI96" s="344" t="s">
        <v>1090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1238</v>
      </c>
      <c r="T97" s="233" t="s">
        <v>1233</v>
      </c>
      <c r="U97" s="233">
        <v>8.75</v>
      </c>
      <c r="V97" s="271">
        <v>8.6300000000000008</v>
      </c>
      <c r="W97" s="233">
        <v>8.5</v>
      </c>
      <c r="X97" s="233">
        <v>0.8</v>
      </c>
      <c r="Y97" s="233">
        <v>1</v>
      </c>
      <c r="Z97" s="233">
        <v>7</v>
      </c>
      <c r="AA97" s="233">
        <v>1</v>
      </c>
      <c r="AB97" s="232" t="s">
        <v>1239</v>
      </c>
      <c r="AC97" s="233">
        <v>2013</v>
      </c>
      <c r="AD97" s="233" t="s">
        <v>1915</v>
      </c>
      <c r="AE97" s="234" t="s">
        <v>2158</v>
      </c>
      <c r="AF97"/>
      <c r="AG97"/>
      <c r="AH97" s="235" t="s">
        <v>1091</v>
      </c>
      <c r="AI97" s="343" t="s">
        <v>1090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2265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1605</v>
      </c>
      <c r="T98" s="236" t="s">
        <v>1598</v>
      </c>
      <c r="U98" s="236">
        <v>8.75</v>
      </c>
      <c r="V98" s="271">
        <v>8.6300000000000008</v>
      </c>
      <c r="W98" s="236">
        <v>8.5</v>
      </c>
      <c r="X98" s="236">
        <v>0.87</v>
      </c>
      <c r="Y98" s="236">
        <v>2</v>
      </c>
      <c r="Z98" s="236">
        <v>10</v>
      </c>
      <c r="AA98" s="236">
        <v>0</v>
      </c>
      <c r="AB98" s="235" t="s">
        <v>1608</v>
      </c>
      <c r="AC98" s="236">
        <v>1979</v>
      </c>
      <c r="AD98" s="236" t="s">
        <v>1918</v>
      </c>
      <c r="AE98" s="237" t="s">
        <v>2144</v>
      </c>
      <c r="AF98"/>
      <c r="AG98"/>
      <c r="AH98" s="232" t="s">
        <v>1095</v>
      </c>
      <c r="AI98" s="344" t="s">
        <v>1508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1150</v>
      </c>
      <c r="T99" s="233" t="s">
        <v>1703</v>
      </c>
      <c r="U99" s="233">
        <v>8.57</v>
      </c>
      <c r="V99" s="271">
        <v>8.6300000000000008</v>
      </c>
      <c r="W99" s="233">
        <v>8.5</v>
      </c>
      <c r="X99" s="233">
        <v>0.78</v>
      </c>
      <c r="Y99" s="233">
        <v>3</v>
      </c>
      <c r="Z99" s="233">
        <v>28</v>
      </c>
      <c r="AA99" s="233">
        <v>1</v>
      </c>
      <c r="AB99" s="232" t="s">
        <v>1730</v>
      </c>
      <c r="AC99" s="233">
        <v>1995</v>
      </c>
      <c r="AD99" s="233" t="s">
        <v>1928</v>
      </c>
      <c r="AE99" s="234" t="s">
        <v>2137</v>
      </c>
      <c r="AF99"/>
      <c r="AG99"/>
      <c r="AH99" s="235" t="s">
        <v>2425</v>
      </c>
      <c r="AI99" s="343" t="s">
        <v>2750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2224</v>
      </c>
      <c r="T100" s="236" t="s">
        <v>2225</v>
      </c>
      <c r="U100" s="236">
        <v>8.73</v>
      </c>
      <c r="V100" s="271">
        <v>8.6300000000000008</v>
      </c>
      <c r="W100" s="236">
        <v>8.5</v>
      </c>
      <c r="X100" s="236">
        <v>0.67</v>
      </c>
      <c r="Y100" s="236">
        <v>2</v>
      </c>
      <c r="Z100" s="236">
        <v>15</v>
      </c>
      <c r="AA100" s="236">
        <v>2</v>
      </c>
      <c r="AB100" s="235" t="s">
        <v>2226</v>
      </c>
      <c r="AC100" s="236">
        <v>2024</v>
      </c>
      <c r="AD100" s="236" t="s">
        <v>1903</v>
      </c>
      <c r="AE100" s="237" t="s">
        <v>2227</v>
      </c>
      <c r="AF100"/>
      <c r="AG100"/>
      <c r="AH100" s="232" t="s">
        <v>1555</v>
      </c>
      <c r="AI100" s="344" t="s">
        <v>2106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600</v>
      </c>
      <c r="T101" s="233" t="s">
        <v>601</v>
      </c>
      <c r="U101" s="233">
        <v>8.73</v>
      </c>
      <c r="V101" s="243">
        <v>8.6199999999999992</v>
      </c>
      <c r="W101" s="233">
        <v>8.5</v>
      </c>
      <c r="X101" s="233">
        <v>0.89</v>
      </c>
      <c r="Y101" s="233">
        <v>3</v>
      </c>
      <c r="Z101" s="233">
        <v>13</v>
      </c>
      <c r="AA101" s="233">
        <v>2</v>
      </c>
      <c r="AB101" s="232" t="s">
        <v>820</v>
      </c>
      <c r="AC101" s="233">
        <v>2015</v>
      </c>
      <c r="AD101" s="233" t="s">
        <v>1911</v>
      </c>
      <c r="AE101" s="234" t="s">
        <v>2181</v>
      </c>
      <c r="AF101"/>
      <c r="AG101"/>
      <c r="AH101" s="235" t="s">
        <v>1092</v>
      </c>
      <c r="AI101" s="343" t="s">
        <v>2300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1439</v>
      </c>
      <c r="T102" s="236" t="s">
        <v>1682</v>
      </c>
      <c r="U102" s="236">
        <v>8.7100000000000009</v>
      </c>
      <c r="V102" s="243">
        <v>8.6199999999999992</v>
      </c>
      <c r="W102" s="236">
        <v>8.5</v>
      </c>
      <c r="X102" s="236">
        <v>0.65</v>
      </c>
      <c r="Y102" s="236">
        <v>1</v>
      </c>
      <c r="Z102" s="236">
        <v>8</v>
      </c>
      <c r="AA102" s="236">
        <v>1</v>
      </c>
      <c r="AB102" s="235" t="s">
        <v>1683</v>
      </c>
      <c r="AC102" s="236">
        <v>2006</v>
      </c>
      <c r="AD102" s="236" t="s">
        <v>1937</v>
      </c>
      <c r="AE102" s="237" t="s">
        <v>2139</v>
      </c>
      <c r="AF102"/>
      <c r="AG102"/>
      <c r="AH102" s="232" t="s">
        <v>2716</v>
      </c>
      <c r="AI102" s="344" t="s">
        <v>2456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816</v>
      </c>
      <c r="T103" s="233" t="s">
        <v>2935</v>
      </c>
      <c r="U103" s="233">
        <v>8.73</v>
      </c>
      <c r="V103" s="243">
        <v>8.6199999999999992</v>
      </c>
      <c r="W103" s="233">
        <v>8.5</v>
      </c>
      <c r="X103" s="233">
        <v>0.56999999999999995</v>
      </c>
      <c r="Y103" s="233">
        <v>1</v>
      </c>
      <c r="Z103" s="233">
        <v>21</v>
      </c>
      <c r="AA103" s="233">
        <v>6</v>
      </c>
      <c r="AB103" s="232" t="s">
        <v>2948</v>
      </c>
      <c r="AC103" s="233">
        <v>2004</v>
      </c>
      <c r="AD103" s="233" t="s">
        <v>1898</v>
      </c>
      <c r="AE103" s="234" t="s">
        <v>2887</v>
      </c>
      <c r="AF103"/>
      <c r="AG103"/>
      <c r="AH103" s="235" t="s">
        <v>2455</v>
      </c>
      <c r="AI103" s="343" t="s">
        <v>2456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2007</v>
      </c>
      <c r="T104" s="236" t="s">
        <v>2008</v>
      </c>
      <c r="U104" s="236">
        <v>8.67</v>
      </c>
      <c r="V104" s="308">
        <v>8.61</v>
      </c>
      <c r="W104" s="236">
        <v>8.75</v>
      </c>
      <c r="X104" s="236">
        <v>0.62</v>
      </c>
      <c r="Y104" s="236">
        <v>0</v>
      </c>
      <c r="Z104" s="236">
        <v>6</v>
      </c>
      <c r="AA104" s="236">
        <v>0</v>
      </c>
      <c r="AB104" s="235" t="s">
        <v>1076</v>
      </c>
      <c r="AC104" s="236">
        <v>2013</v>
      </c>
      <c r="AD104" s="236" t="s">
        <v>1907</v>
      </c>
      <c r="AE104" s="237" t="s">
        <v>2129</v>
      </c>
      <c r="AF104"/>
      <c r="AG104"/>
      <c r="AH104" s="232" t="s">
        <v>2457</v>
      </c>
      <c r="AI104" s="344" t="s">
        <v>2456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335</v>
      </c>
      <c r="T105" s="233" t="s">
        <v>2298</v>
      </c>
      <c r="U105" s="233">
        <v>8.6999999999999993</v>
      </c>
      <c r="V105" s="308">
        <v>8.61</v>
      </c>
      <c r="W105" s="233">
        <v>8.5</v>
      </c>
      <c r="X105" s="233">
        <v>0.75</v>
      </c>
      <c r="Y105" s="233">
        <v>2</v>
      </c>
      <c r="Z105" s="233">
        <v>10</v>
      </c>
      <c r="AA105" s="233">
        <v>0</v>
      </c>
      <c r="AB105" s="232" t="s">
        <v>775</v>
      </c>
      <c r="AC105" s="233">
        <v>1983</v>
      </c>
      <c r="AD105" s="233" t="s">
        <v>1911</v>
      </c>
      <c r="AE105" s="234" t="s">
        <v>2286</v>
      </c>
      <c r="AF105"/>
      <c r="AG105"/>
      <c r="AH105" s="235" t="s">
        <v>773</v>
      </c>
      <c r="AI105" s="343" t="s">
        <v>2684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931</v>
      </c>
      <c r="T106" s="236" t="s">
        <v>912</v>
      </c>
      <c r="U106" s="236">
        <v>8.5500000000000007</v>
      </c>
      <c r="V106" s="298">
        <v>8.6</v>
      </c>
      <c r="W106" s="236">
        <v>8.5</v>
      </c>
      <c r="X106" s="236">
        <v>0.96</v>
      </c>
      <c r="Y106" s="236">
        <v>3</v>
      </c>
      <c r="Z106" s="236">
        <v>19</v>
      </c>
      <c r="AA106" s="236">
        <v>0</v>
      </c>
      <c r="AB106" s="235" t="s">
        <v>932</v>
      </c>
      <c r="AC106" s="236">
        <v>1979</v>
      </c>
      <c r="AD106" s="236" t="s">
        <v>1914</v>
      </c>
      <c r="AE106" s="237" t="s">
        <v>2166</v>
      </c>
      <c r="AF106"/>
      <c r="AG106"/>
      <c r="AH106" s="232" t="s">
        <v>1101</v>
      </c>
      <c r="AI106" s="344" t="s">
        <v>2861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331</v>
      </c>
      <c r="T107" s="233" t="s">
        <v>2681</v>
      </c>
      <c r="U107" s="233">
        <v>8.7100000000000009</v>
      </c>
      <c r="V107" s="298">
        <v>8.6</v>
      </c>
      <c r="W107" s="233">
        <v>8.5</v>
      </c>
      <c r="X107" s="233">
        <v>0.59</v>
      </c>
      <c r="Y107" s="233">
        <v>0</v>
      </c>
      <c r="Z107" s="233">
        <v>7</v>
      </c>
      <c r="AA107" s="233">
        <v>0</v>
      </c>
      <c r="AB107" s="232" t="s">
        <v>754</v>
      </c>
      <c r="AC107" s="233">
        <v>1981</v>
      </c>
      <c r="AD107" s="233" t="s">
        <v>1934</v>
      </c>
      <c r="AE107" s="234" t="s">
        <v>2692</v>
      </c>
      <c r="AF107"/>
      <c r="AG107"/>
      <c r="AH107" s="235" t="s">
        <v>1385</v>
      </c>
      <c r="AI107" s="343" t="s">
        <v>2285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343</v>
      </c>
      <c r="T108" s="236" t="s">
        <v>245</v>
      </c>
      <c r="U108" s="236">
        <v>8.68</v>
      </c>
      <c r="V108" s="303">
        <v>8.58</v>
      </c>
      <c r="W108" s="236">
        <v>8.5</v>
      </c>
      <c r="X108" s="236">
        <v>0.81</v>
      </c>
      <c r="Y108" s="236">
        <v>2</v>
      </c>
      <c r="Z108" s="236">
        <v>11</v>
      </c>
      <c r="AA108" s="236">
        <v>0</v>
      </c>
      <c r="AB108" s="235" t="s">
        <v>763</v>
      </c>
      <c r="AC108" s="236">
        <v>1998</v>
      </c>
      <c r="AD108" s="236" t="s">
        <v>1931</v>
      </c>
      <c r="AE108" s="237" t="s">
        <v>2192</v>
      </c>
      <c r="AF108"/>
      <c r="AG108"/>
      <c r="AH108" s="232" t="s">
        <v>2244</v>
      </c>
      <c r="AI108" s="344" t="s">
        <v>2421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727</v>
      </c>
      <c r="T109" s="233" t="s">
        <v>728</v>
      </c>
      <c r="U109" s="233">
        <v>8.67</v>
      </c>
      <c r="V109" s="303">
        <v>8.58</v>
      </c>
      <c r="W109" s="233">
        <v>8.5</v>
      </c>
      <c r="X109" s="233">
        <v>0.62</v>
      </c>
      <c r="Y109" s="233">
        <v>1</v>
      </c>
      <c r="Z109" s="233">
        <v>9</v>
      </c>
      <c r="AA109" s="233">
        <v>0</v>
      </c>
      <c r="AB109" s="232" t="s">
        <v>778</v>
      </c>
      <c r="AC109" s="233">
        <v>1992</v>
      </c>
      <c r="AD109" s="233" t="s">
        <v>1923</v>
      </c>
      <c r="AE109" s="234" t="s">
        <v>2174</v>
      </c>
      <c r="AF109"/>
      <c r="AG109"/>
      <c r="AH109" s="235" t="s">
        <v>1285</v>
      </c>
      <c r="AI109" s="343" t="s">
        <v>1097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344</v>
      </c>
      <c r="T110" s="236" t="s">
        <v>161</v>
      </c>
      <c r="U110" s="236">
        <v>8.67</v>
      </c>
      <c r="V110" s="254">
        <v>8.57</v>
      </c>
      <c r="W110" s="236">
        <v>8.5</v>
      </c>
      <c r="X110" s="236">
        <v>0.77</v>
      </c>
      <c r="Y110" s="236">
        <v>2</v>
      </c>
      <c r="Z110" s="236">
        <v>12</v>
      </c>
      <c r="AA110" s="236">
        <v>0</v>
      </c>
      <c r="AB110" s="235" t="s">
        <v>2847</v>
      </c>
      <c r="AC110" s="236">
        <v>1977</v>
      </c>
      <c r="AD110" s="236" t="s">
        <v>1929</v>
      </c>
      <c r="AE110" s="237" t="s">
        <v>2125</v>
      </c>
      <c r="AF110"/>
      <c r="AG110"/>
      <c r="AH110" s="232" t="s">
        <v>778</v>
      </c>
      <c r="AI110" s="344" t="s">
        <v>1097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768</v>
      </c>
      <c r="T111" s="233" t="s">
        <v>769</v>
      </c>
      <c r="U111" s="233">
        <v>8.67</v>
      </c>
      <c r="V111" s="254">
        <v>8.57</v>
      </c>
      <c r="W111" s="233">
        <v>8.5</v>
      </c>
      <c r="X111" s="233">
        <v>0.75</v>
      </c>
      <c r="Y111" s="233">
        <v>1</v>
      </c>
      <c r="Z111" s="233">
        <v>6</v>
      </c>
      <c r="AA111" s="233">
        <v>0</v>
      </c>
      <c r="AB111" s="232" t="s">
        <v>771</v>
      </c>
      <c r="AC111" s="233">
        <v>2024</v>
      </c>
      <c r="AD111" s="233" t="s">
        <v>1936</v>
      </c>
      <c r="AE111" s="234" t="s">
        <v>2172</v>
      </c>
      <c r="AF111"/>
      <c r="AG111"/>
      <c r="AH111" s="235" t="s">
        <v>2862</v>
      </c>
      <c r="AI111" s="343" t="s">
        <v>1097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345</v>
      </c>
      <c r="T112" s="236" t="s">
        <v>160</v>
      </c>
      <c r="U112" s="236">
        <v>8.65</v>
      </c>
      <c r="V112" s="264">
        <v>8.56</v>
      </c>
      <c r="W112" s="236">
        <v>8.5</v>
      </c>
      <c r="X112" s="236">
        <v>0.72</v>
      </c>
      <c r="Y112" s="236">
        <v>2</v>
      </c>
      <c r="Z112" s="236">
        <v>13</v>
      </c>
      <c r="AA112" s="236">
        <v>0</v>
      </c>
      <c r="AB112" s="235" t="s">
        <v>782</v>
      </c>
      <c r="AC112" s="236">
        <v>2005</v>
      </c>
      <c r="AD112" s="236" t="s">
        <v>1933</v>
      </c>
      <c r="AE112" s="237" t="s">
        <v>2187</v>
      </c>
      <c r="AF112"/>
      <c r="AG112"/>
      <c r="AH112" s="232" t="s">
        <v>1093</v>
      </c>
      <c r="AI112" s="344" t="s">
        <v>2301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327</v>
      </c>
      <c r="T113" s="233" t="s">
        <v>855</v>
      </c>
      <c r="U113" s="233">
        <v>8.5</v>
      </c>
      <c r="V113" s="264">
        <v>8.56</v>
      </c>
      <c r="W113" s="233">
        <v>8.5</v>
      </c>
      <c r="X113" s="233">
        <v>0.96</v>
      </c>
      <c r="Y113" s="233">
        <v>2</v>
      </c>
      <c r="Z113" s="233">
        <v>14</v>
      </c>
      <c r="AA113" s="233">
        <v>1</v>
      </c>
      <c r="AB113" s="232" t="s">
        <v>753</v>
      </c>
      <c r="AC113" s="233">
        <v>2003</v>
      </c>
      <c r="AD113" s="233" t="s">
        <v>1932</v>
      </c>
      <c r="AE113" s="234" t="s">
        <v>2169</v>
      </c>
      <c r="AF113"/>
      <c r="AG113"/>
      <c r="AH113" s="235" t="s">
        <v>1116</v>
      </c>
      <c r="AI113" s="343" t="s">
        <v>2406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956</v>
      </c>
      <c r="T114" s="236" t="s">
        <v>954</v>
      </c>
      <c r="U114" s="236">
        <v>8.67</v>
      </c>
      <c r="V114" s="264">
        <v>8.56</v>
      </c>
      <c r="W114" s="236">
        <v>8.5</v>
      </c>
      <c r="X114" s="236">
        <v>0.71</v>
      </c>
      <c r="Y114" s="236">
        <v>1</v>
      </c>
      <c r="Z114" s="236">
        <v>10</v>
      </c>
      <c r="AA114" s="236">
        <v>1</v>
      </c>
      <c r="AB114" s="235" t="s">
        <v>957</v>
      </c>
      <c r="AC114" s="236">
        <v>1999</v>
      </c>
      <c r="AD114" s="236" t="s">
        <v>1938</v>
      </c>
      <c r="AE114" s="237" t="s">
        <v>2165</v>
      </c>
      <c r="AF114"/>
      <c r="AG114"/>
      <c r="AH114" s="232" t="s">
        <v>1117</v>
      </c>
      <c r="AI114" s="344" t="s">
        <v>2406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2402</v>
      </c>
      <c r="T115" s="233" t="s">
        <v>2403</v>
      </c>
      <c r="U115" s="233">
        <v>8.61</v>
      </c>
      <c r="V115" s="274">
        <v>8.5500000000000007</v>
      </c>
      <c r="W115" s="233">
        <v>8</v>
      </c>
      <c r="X115" s="233">
        <v>1.24</v>
      </c>
      <c r="Y115" s="233">
        <v>3</v>
      </c>
      <c r="Z115" s="233">
        <v>9</v>
      </c>
      <c r="AA115" s="233">
        <v>0</v>
      </c>
      <c r="AB115" s="232" t="s">
        <v>2244</v>
      </c>
      <c r="AC115" s="233">
        <v>1990</v>
      </c>
      <c r="AD115" s="233" t="s">
        <v>1908</v>
      </c>
      <c r="AE115" s="234" t="s">
        <v>2407</v>
      </c>
      <c r="AF115"/>
      <c r="AG115"/>
      <c r="AH115" s="235" t="s">
        <v>2886</v>
      </c>
      <c r="AI115" s="343" t="s">
        <v>2907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330</v>
      </c>
      <c r="T116" s="236" t="s">
        <v>2103</v>
      </c>
      <c r="U116" s="236">
        <v>8.6</v>
      </c>
      <c r="V116" s="301">
        <v>8.5399999999999991</v>
      </c>
      <c r="W116" s="236">
        <v>8</v>
      </c>
      <c r="X116" s="236">
        <v>1.02</v>
      </c>
      <c r="Y116" s="236">
        <v>2</v>
      </c>
      <c r="Z116" s="236">
        <v>10</v>
      </c>
      <c r="AA116" s="236">
        <v>0</v>
      </c>
      <c r="AB116" s="235" t="s">
        <v>2108</v>
      </c>
      <c r="AC116" s="236">
        <v>1970</v>
      </c>
      <c r="AD116" s="236" t="s">
        <v>1936</v>
      </c>
      <c r="AE116" s="237" t="s">
        <v>2127</v>
      </c>
      <c r="AF116"/>
      <c r="AG116"/>
      <c r="AH116" s="232" t="s">
        <v>1113</v>
      </c>
      <c r="AI116" s="344" t="s">
        <v>2629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1478</v>
      </c>
      <c r="T117" s="233" t="s">
        <v>2699</v>
      </c>
      <c r="U117" s="233">
        <v>8.69</v>
      </c>
      <c r="V117" s="301">
        <v>8.5399999999999991</v>
      </c>
      <c r="W117" s="233">
        <v>8.25</v>
      </c>
      <c r="X117" s="233">
        <v>1.06</v>
      </c>
      <c r="Y117" s="233">
        <v>3</v>
      </c>
      <c r="Z117" s="233">
        <v>8</v>
      </c>
      <c r="AA117" s="233">
        <v>0</v>
      </c>
      <c r="AB117" s="232" t="s">
        <v>2708</v>
      </c>
      <c r="AC117" s="233">
        <v>1997</v>
      </c>
      <c r="AD117" s="233" t="s">
        <v>2631</v>
      </c>
      <c r="AE117" s="234" t="s">
        <v>2709</v>
      </c>
      <c r="AF117"/>
      <c r="AG117"/>
      <c r="AH117" s="235" t="s">
        <v>2111</v>
      </c>
      <c r="AI117" s="343" t="s">
        <v>1862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2880</v>
      </c>
      <c r="T118" s="236" t="s">
        <v>2880</v>
      </c>
      <c r="U118" s="236">
        <v>8.6300000000000008</v>
      </c>
      <c r="V118" s="301">
        <v>8.5399999999999991</v>
      </c>
      <c r="W118" s="236">
        <v>8.5</v>
      </c>
      <c r="X118" s="236">
        <v>0.71</v>
      </c>
      <c r="Y118" s="236">
        <v>2</v>
      </c>
      <c r="Z118" s="236">
        <v>12</v>
      </c>
      <c r="AA118" s="236">
        <v>0</v>
      </c>
      <c r="AB118" s="235" t="s">
        <v>2886</v>
      </c>
      <c r="AC118" s="236">
        <v>2007</v>
      </c>
      <c r="AD118" s="236" t="s">
        <v>1917</v>
      </c>
      <c r="AE118" s="237" t="s">
        <v>2887</v>
      </c>
      <c r="AF118"/>
      <c r="AG118"/>
      <c r="AH118" s="232" t="s">
        <v>1861</v>
      </c>
      <c r="AI118" s="344" t="s">
        <v>1862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2435</v>
      </c>
      <c r="T119" s="233" t="s">
        <v>2436</v>
      </c>
      <c r="U119" s="233">
        <v>8.69</v>
      </c>
      <c r="V119" s="272">
        <v>8.5299999999999994</v>
      </c>
      <c r="W119" s="233">
        <v>8.25</v>
      </c>
      <c r="X119" s="233">
        <v>0.79</v>
      </c>
      <c r="Y119" s="233">
        <v>1</v>
      </c>
      <c r="Z119" s="233">
        <v>8</v>
      </c>
      <c r="AA119" s="233">
        <v>0</v>
      </c>
      <c r="AB119" s="232" t="s">
        <v>2445</v>
      </c>
      <c r="AC119" s="233">
        <v>1976</v>
      </c>
      <c r="AD119" s="233" t="s">
        <v>1913</v>
      </c>
      <c r="AE119" s="234" t="s">
        <v>2446</v>
      </c>
      <c r="AF119"/>
      <c r="AG119"/>
      <c r="AH119" s="235" t="s">
        <v>1103</v>
      </c>
      <c r="AI119" s="343" t="s">
        <v>1104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1156</v>
      </c>
      <c r="T120" s="236" t="s">
        <v>2484</v>
      </c>
      <c r="U120" s="236">
        <v>8.61</v>
      </c>
      <c r="V120" s="272">
        <v>8.5299999999999994</v>
      </c>
      <c r="W120" s="236">
        <v>8.5</v>
      </c>
      <c r="X120" s="236">
        <v>0.66</v>
      </c>
      <c r="Y120" s="236">
        <v>1</v>
      </c>
      <c r="Z120" s="236">
        <v>9</v>
      </c>
      <c r="AA120" s="236">
        <v>0</v>
      </c>
      <c r="AB120" s="235" t="s">
        <v>776</v>
      </c>
      <c r="AC120" s="236">
        <v>1998</v>
      </c>
      <c r="AD120" s="236" t="s">
        <v>1932</v>
      </c>
      <c r="AE120" s="237" t="s">
        <v>2502</v>
      </c>
      <c r="AF120"/>
      <c r="AG120"/>
      <c r="AH120" s="232" t="s">
        <v>1461</v>
      </c>
      <c r="AI120" s="344" t="s">
        <v>2090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1859</v>
      </c>
      <c r="T121" s="233" t="s">
        <v>1860</v>
      </c>
      <c r="U121" s="233">
        <v>8.6</v>
      </c>
      <c r="V121" s="252">
        <v>8.52</v>
      </c>
      <c r="W121" s="233">
        <v>8.5</v>
      </c>
      <c r="X121" s="233">
        <v>0.66</v>
      </c>
      <c r="Y121" s="233">
        <v>1</v>
      </c>
      <c r="Z121" s="233">
        <v>10</v>
      </c>
      <c r="AA121" s="233">
        <v>0</v>
      </c>
      <c r="AB121" s="232" t="s">
        <v>1861</v>
      </c>
      <c r="AC121" s="233">
        <v>2024</v>
      </c>
      <c r="AD121" s="233" t="s">
        <v>1936</v>
      </c>
      <c r="AE121" s="234" t="s">
        <v>2132</v>
      </c>
      <c r="AF121"/>
      <c r="AG121"/>
      <c r="AH121" s="235" t="s">
        <v>1099</v>
      </c>
      <c r="AI121" s="343" t="s">
        <v>1441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2357</v>
      </c>
      <c r="T122" s="236" t="s">
        <v>2356</v>
      </c>
      <c r="U122" s="236">
        <v>8.61</v>
      </c>
      <c r="V122" s="252">
        <v>8.52</v>
      </c>
      <c r="W122" s="236">
        <v>8.5</v>
      </c>
      <c r="X122" s="236">
        <v>0.87</v>
      </c>
      <c r="Y122" s="236">
        <v>2</v>
      </c>
      <c r="Z122" s="236">
        <v>10</v>
      </c>
      <c r="AA122" s="236">
        <v>1</v>
      </c>
      <c r="AB122" s="235" t="s">
        <v>2358</v>
      </c>
      <c r="AC122" s="236">
        <v>2015</v>
      </c>
      <c r="AD122" s="236" t="s">
        <v>1932</v>
      </c>
      <c r="AE122" s="237" t="s">
        <v>2359</v>
      </c>
      <c r="AF122"/>
      <c r="AG122"/>
      <c r="AH122" s="232" t="s">
        <v>1096</v>
      </c>
      <c r="AI122" s="344" t="s">
        <v>1777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1632</v>
      </c>
      <c r="T123" s="233" t="s">
        <v>1633</v>
      </c>
      <c r="U123" s="233">
        <v>8.6</v>
      </c>
      <c r="V123" s="326">
        <v>8.5</v>
      </c>
      <c r="W123" s="233">
        <v>8.5</v>
      </c>
      <c r="X123" s="233">
        <v>0.83</v>
      </c>
      <c r="Y123" s="233">
        <v>1</v>
      </c>
      <c r="Z123" s="233">
        <v>10</v>
      </c>
      <c r="AA123" s="233">
        <v>0</v>
      </c>
      <c r="AB123" s="232" t="s">
        <v>762</v>
      </c>
      <c r="AC123" s="233">
        <v>1993</v>
      </c>
      <c r="AD123" s="233" t="s">
        <v>1913</v>
      </c>
      <c r="AE123" s="234" t="s">
        <v>2143</v>
      </c>
      <c r="AF123"/>
      <c r="AG123"/>
      <c r="AH123" s="235" t="s">
        <v>1105</v>
      </c>
      <c r="AI123" s="343" t="s">
        <v>2884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2241</v>
      </c>
      <c r="T124" s="236" t="s">
        <v>2242</v>
      </c>
      <c r="U124" s="236">
        <v>8.58</v>
      </c>
      <c r="V124" s="326">
        <v>8.5</v>
      </c>
      <c r="W124" s="236">
        <v>8.5</v>
      </c>
      <c r="X124" s="236">
        <v>0.67</v>
      </c>
      <c r="Y124" s="236">
        <v>1</v>
      </c>
      <c r="Z124" s="236">
        <v>12</v>
      </c>
      <c r="AA124" s="236">
        <v>0</v>
      </c>
      <c r="AB124" s="235" t="s">
        <v>2245</v>
      </c>
      <c r="AC124" s="236">
        <v>1992</v>
      </c>
      <c r="AD124" s="236" t="s">
        <v>1932</v>
      </c>
      <c r="AE124" s="237" t="s">
        <v>2227</v>
      </c>
      <c r="AF124"/>
      <c r="AG124"/>
      <c r="AH124" s="232" t="s">
        <v>1085</v>
      </c>
      <c r="AI124" s="344" t="s">
        <v>1107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48" t="s">
        <v>2695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837</v>
      </c>
      <c r="T125" s="233" t="s">
        <v>2283</v>
      </c>
      <c r="U125" s="233">
        <v>8.57</v>
      </c>
      <c r="V125" s="310">
        <v>8.49</v>
      </c>
      <c r="W125" s="233">
        <v>8.5</v>
      </c>
      <c r="X125" s="233">
        <v>0.6</v>
      </c>
      <c r="Y125" s="233">
        <v>1</v>
      </c>
      <c r="Z125" s="233">
        <v>15</v>
      </c>
      <c r="AA125" s="233">
        <v>0</v>
      </c>
      <c r="AB125" s="232" t="s">
        <v>838</v>
      </c>
      <c r="AC125" s="233">
        <v>2003</v>
      </c>
      <c r="AD125" s="233" t="s">
        <v>1933</v>
      </c>
      <c r="AE125" s="234" t="s">
        <v>2286</v>
      </c>
      <c r="AF125"/>
      <c r="AG125"/>
      <c r="AH125" s="235" t="s">
        <v>1106</v>
      </c>
      <c r="AI125" s="343" t="s">
        <v>1107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1022</v>
      </c>
      <c r="T126" s="236" t="s">
        <v>1023</v>
      </c>
      <c r="U126" s="236">
        <v>8.5500000000000007</v>
      </c>
      <c r="V126" s="278">
        <v>8.4700000000000006</v>
      </c>
      <c r="W126" s="236">
        <v>8.5</v>
      </c>
      <c r="X126" s="236">
        <v>0.69</v>
      </c>
      <c r="Y126" s="236">
        <v>1</v>
      </c>
      <c r="Z126" s="236">
        <v>12</v>
      </c>
      <c r="AA126" s="236">
        <v>1</v>
      </c>
      <c r="AB126" s="235" t="s">
        <v>774</v>
      </c>
      <c r="AC126" s="236">
        <v>1999</v>
      </c>
      <c r="AD126" s="236" t="s">
        <v>1902</v>
      </c>
      <c r="AE126" s="237" t="s">
        <v>2161</v>
      </c>
      <c r="AF126"/>
      <c r="AG126"/>
      <c r="AH126" s="232" t="s">
        <v>1108</v>
      </c>
      <c r="AI126" s="344" t="s">
        <v>1107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2747</v>
      </c>
      <c r="T127" s="233" t="s">
        <v>2743</v>
      </c>
      <c r="U127" s="233">
        <v>8.5500000000000007</v>
      </c>
      <c r="V127" s="278">
        <v>8.4700000000000006</v>
      </c>
      <c r="W127" s="233">
        <v>8.5</v>
      </c>
      <c r="X127" s="233">
        <v>0.78</v>
      </c>
      <c r="Y127" s="233">
        <v>2</v>
      </c>
      <c r="Z127" s="233">
        <v>11</v>
      </c>
      <c r="AA127" s="233">
        <v>0</v>
      </c>
      <c r="AB127" s="232" t="s">
        <v>2748</v>
      </c>
      <c r="AC127" s="233">
        <v>1970</v>
      </c>
      <c r="AD127" s="233" t="s">
        <v>1924</v>
      </c>
      <c r="AE127" s="234" t="s">
        <v>2749</v>
      </c>
      <c r="AF127"/>
      <c r="AG127"/>
      <c r="AH127" s="235" t="s">
        <v>1660</v>
      </c>
      <c r="AI127" s="343" t="s">
        <v>1107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1742</v>
      </c>
      <c r="T128" s="236" t="s">
        <v>2858</v>
      </c>
      <c r="U128" s="236">
        <v>8.5</v>
      </c>
      <c r="V128" s="278">
        <v>8.4700000000000006</v>
      </c>
      <c r="W128" s="236">
        <v>8</v>
      </c>
      <c r="X128" s="236">
        <v>0.8</v>
      </c>
      <c r="Y128" s="236">
        <v>1</v>
      </c>
      <c r="Z128" s="236">
        <v>11</v>
      </c>
      <c r="AA128" s="236">
        <v>0</v>
      </c>
      <c r="AB128" s="235" t="s">
        <v>943</v>
      </c>
      <c r="AC128" s="236">
        <v>2008</v>
      </c>
      <c r="AD128" s="236" t="s">
        <v>1922</v>
      </c>
      <c r="AE128" s="237" t="s">
        <v>2867</v>
      </c>
      <c r="AF128"/>
      <c r="AG128"/>
      <c r="AH128" s="232" t="s">
        <v>1109</v>
      </c>
      <c r="AI128" s="344" t="s">
        <v>1110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334</v>
      </c>
      <c r="T129" s="233" t="s">
        <v>1999</v>
      </c>
      <c r="U129" s="233">
        <v>8.5</v>
      </c>
      <c r="V129" s="314">
        <v>8.4600000000000009</v>
      </c>
      <c r="W129" s="233">
        <v>8.5</v>
      </c>
      <c r="X129" s="233">
        <v>0.35</v>
      </c>
      <c r="Y129" s="233">
        <v>0</v>
      </c>
      <c r="Z129" s="233">
        <v>8</v>
      </c>
      <c r="AA129" s="233">
        <v>0</v>
      </c>
      <c r="AB129" s="232" t="s">
        <v>774</v>
      </c>
      <c r="AC129" s="233">
        <v>2024</v>
      </c>
      <c r="AD129" s="233" t="s">
        <v>1944</v>
      </c>
      <c r="AE129" s="234" t="s">
        <v>2130</v>
      </c>
      <c r="AF129"/>
      <c r="AG129"/>
      <c r="AH129" s="235" t="s">
        <v>2751</v>
      </c>
      <c r="AI129" s="343" t="s">
        <v>1110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1224</v>
      </c>
      <c r="T130" s="236" t="s">
        <v>1225</v>
      </c>
      <c r="U130" s="236">
        <v>8.5299999999999994</v>
      </c>
      <c r="V130" s="259">
        <v>8.4499999999999993</v>
      </c>
      <c r="W130" s="236">
        <v>8.5</v>
      </c>
      <c r="X130" s="236">
        <v>0.96</v>
      </c>
      <c r="Y130" s="236">
        <v>3</v>
      </c>
      <c r="Z130" s="236">
        <v>15</v>
      </c>
      <c r="AA130" s="236">
        <v>0</v>
      </c>
      <c r="AB130" s="235" t="s">
        <v>1229</v>
      </c>
      <c r="AC130" s="236">
        <v>2024</v>
      </c>
      <c r="AD130" s="236" t="s">
        <v>1905</v>
      </c>
      <c r="AE130" s="237" t="s">
        <v>2158</v>
      </c>
      <c r="AF130"/>
      <c r="AG130"/>
      <c r="AH130" s="232" t="s">
        <v>1086</v>
      </c>
      <c r="AI130" s="344" t="s">
        <v>2685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1766</v>
      </c>
      <c r="T131" s="233" t="s">
        <v>1767</v>
      </c>
      <c r="U131" s="233">
        <v>8.5</v>
      </c>
      <c r="V131" s="259">
        <v>8.4499999999999993</v>
      </c>
      <c r="W131" s="233">
        <v>8.5</v>
      </c>
      <c r="X131" s="233">
        <v>0.41</v>
      </c>
      <c r="Y131" s="233">
        <v>0</v>
      </c>
      <c r="Z131" s="233">
        <v>9</v>
      </c>
      <c r="AA131" s="233">
        <v>0</v>
      </c>
      <c r="AB131" s="232" t="s">
        <v>1229</v>
      </c>
      <c r="AC131" s="233">
        <v>2026</v>
      </c>
      <c r="AD131" s="233" t="s">
        <v>1939</v>
      </c>
      <c r="AE131" s="234" t="s">
        <v>2136</v>
      </c>
      <c r="AF131"/>
      <c r="AG131"/>
      <c r="AH131" s="235" t="s">
        <v>1111</v>
      </c>
      <c r="AI131" s="343" t="s">
        <v>1112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533</v>
      </c>
      <c r="T132" s="236" t="s">
        <v>534</v>
      </c>
      <c r="U132" s="236">
        <v>8.5</v>
      </c>
      <c r="V132" s="282">
        <v>8.43</v>
      </c>
      <c r="W132" s="236">
        <v>8.5</v>
      </c>
      <c r="X132" s="236">
        <v>0.59</v>
      </c>
      <c r="Y132" s="236">
        <v>0</v>
      </c>
      <c r="Z132" s="236">
        <v>17</v>
      </c>
      <c r="AA132" s="236">
        <v>4</v>
      </c>
      <c r="AB132" s="235" t="s">
        <v>783</v>
      </c>
      <c r="AC132" s="236">
        <v>2016</v>
      </c>
      <c r="AD132" s="236" t="s">
        <v>1937</v>
      </c>
      <c r="AE132" s="237" t="s">
        <v>2183</v>
      </c>
      <c r="AF132"/>
      <c r="AG132"/>
      <c r="AH132" s="232" t="s">
        <v>764</v>
      </c>
      <c r="AI132" s="344" t="s">
        <v>1778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334</v>
      </c>
      <c r="T133" s="233" t="s">
        <v>2324</v>
      </c>
      <c r="U133" s="233">
        <v>8.5</v>
      </c>
      <c r="V133" s="282">
        <v>8.43</v>
      </c>
      <c r="W133" s="233">
        <v>8.5</v>
      </c>
      <c r="X133" s="233">
        <v>0.76</v>
      </c>
      <c r="Y133" s="233">
        <v>1</v>
      </c>
      <c r="Z133" s="233">
        <v>7</v>
      </c>
      <c r="AA133" s="233">
        <v>0</v>
      </c>
      <c r="AB133" s="232" t="s">
        <v>774</v>
      </c>
      <c r="AC133" s="233">
        <v>2008</v>
      </c>
      <c r="AD133" s="233" t="s">
        <v>1940</v>
      </c>
      <c r="AE133" s="234" t="s">
        <v>2345</v>
      </c>
      <c r="AF133"/>
      <c r="AG133"/>
      <c r="AH133" s="235" t="s">
        <v>1281</v>
      </c>
      <c r="AI133" s="343" t="s">
        <v>1282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2261</v>
      </c>
      <c r="T134" s="236" t="s">
        <v>2262</v>
      </c>
      <c r="U134" s="236">
        <v>8.5399999999999991</v>
      </c>
      <c r="V134" s="239">
        <v>8.41</v>
      </c>
      <c r="W134" s="236">
        <v>8.25</v>
      </c>
      <c r="X134" s="236">
        <v>0.81</v>
      </c>
      <c r="Y134" s="236">
        <v>2</v>
      </c>
      <c r="Z134" s="236">
        <v>14</v>
      </c>
      <c r="AA134" s="236">
        <v>0</v>
      </c>
      <c r="AB134" s="235" t="s">
        <v>2264</v>
      </c>
      <c r="AC134" s="236">
        <v>1991</v>
      </c>
      <c r="AD134" s="236" t="s">
        <v>1917</v>
      </c>
      <c r="AE134" s="237" t="s">
        <v>2282</v>
      </c>
      <c r="AF134"/>
      <c r="AG134"/>
      <c r="AH134" s="232" t="s">
        <v>1283</v>
      </c>
      <c r="AI134" s="344" t="s">
        <v>1282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372</v>
      </c>
      <c r="T135" s="233" t="s">
        <v>373</v>
      </c>
      <c r="U135" s="233">
        <v>8.4600000000000009</v>
      </c>
      <c r="V135" s="302">
        <v>8.39</v>
      </c>
      <c r="W135" s="233">
        <v>8.5</v>
      </c>
      <c r="X135" s="233">
        <v>0.84</v>
      </c>
      <c r="Y135" s="233">
        <v>2</v>
      </c>
      <c r="Z135" s="233">
        <v>13</v>
      </c>
      <c r="AA135" s="233">
        <v>0</v>
      </c>
      <c r="AB135" s="232" t="s">
        <v>780</v>
      </c>
      <c r="AC135" s="233">
        <v>2018</v>
      </c>
      <c r="AD135" s="233" t="s">
        <v>1920</v>
      </c>
      <c r="AE135" s="234" t="s">
        <v>2189</v>
      </c>
      <c r="AF135"/>
      <c r="AG135"/>
      <c r="AH135" s="235" t="s">
        <v>1583</v>
      </c>
      <c r="AI135" s="343" t="s">
        <v>1584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1800</v>
      </c>
      <c r="K136" s="12">
        <f>ROUND(SUM(K137:K147)/COUNT(K137:K147), 2)</f>
        <v>8.91</v>
      </c>
      <c r="L136" s="2"/>
      <c r="M136" s="16"/>
      <c r="N136" s="16"/>
      <c r="O136" s="17"/>
      <c r="R136" s="244">
        <v>134</v>
      </c>
      <c r="S136" s="235" t="s">
        <v>1268</v>
      </c>
      <c r="T136" s="236" t="s">
        <v>1258</v>
      </c>
      <c r="U136" s="236">
        <v>8.4499999999999993</v>
      </c>
      <c r="V136" s="251">
        <v>8.3800000000000008</v>
      </c>
      <c r="W136" s="236">
        <v>8.5</v>
      </c>
      <c r="X136" s="236">
        <v>0.78</v>
      </c>
      <c r="Y136" s="236">
        <v>1</v>
      </c>
      <c r="Z136" s="236">
        <v>11</v>
      </c>
      <c r="AA136" s="236">
        <v>0</v>
      </c>
      <c r="AB136" s="235" t="s">
        <v>1269</v>
      </c>
      <c r="AC136" s="236">
        <v>2024</v>
      </c>
      <c r="AD136" s="236" t="s">
        <v>1939</v>
      </c>
      <c r="AE136" s="237" t="s">
        <v>2157</v>
      </c>
      <c r="AF136"/>
      <c r="AG136"/>
      <c r="AH136" s="232" t="s">
        <v>2023</v>
      </c>
      <c r="AI136" s="344" t="s">
        <v>2034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44">
        <v>135</v>
      </c>
      <c r="S137" s="232" t="s">
        <v>2021</v>
      </c>
      <c r="T137" s="233" t="s">
        <v>2022</v>
      </c>
      <c r="U137" s="233">
        <v>8.43</v>
      </c>
      <c r="V137" s="251">
        <v>8.3800000000000008</v>
      </c>
      <c r="W137" s="233">
        <v>8.5</v>
      </c>
      <c r="X137" s="233">
        <v>0.49</v>
      </c>
      <c r="Y137" s="233">
        <v>0</v>
      </c>
      <c r="Z137" s="233">
        <v>8</v>
      </c>
      <c r="AA137" s="233">
        <v>1</v>
      </c>
      <c r="AB137" s="232" t="s">
        <v>2023</v>
      </c>
      <c r="AC137" s="233">
        <v>2026</v>
      </c>
      <c r="AD137" s="233" t="s">
        <v>1931</v>
      </c>
      <c r="AE137" s="234" t="s">
        <v>2129</v>
      </c>
      <c r="AF137"/>
      <c r="AG137"/>
      <c r="AH137" s="235" t="s">
        <v>772</v>
      </c>
      <c r="AI137" s="343" t="s">
        <v>2863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1657</v>
      </c>
      <c r="T138" s="236" t="s">
        <v>1658</v>
      </c>
      <c r="U138" s="236">
        <v>8.4</v>
      </c>
      <c r="V138" s="309">
        <v>8.3699999999999992</v>
      </c>
      <c r="W138" s="236">
        <v>8.5</v>
      </c>
      <c r="X138" s="236">
        <v>0.37</v>
      </c>
      <c r="Y138" s="236">
        <v>0</v>
      </c>
      <c r="Z138" s="236">
        <v>5</v>
      </c>
      <c r="AA138" s="236">
        <v>0</v>
      </c>
      <c r="AB138" s="235" t="s">
        <v>1659</v>
      </c>
      <c r="AC138" s="236">
        <v>2026</v>
      </c>
      <c r="AD138" s="236" t="s">
        <v>1911</v>
      </c>
      <c r="AE138" s="237" t="s">
        <v>2141</v>
      </c>
      <c r="AF138"/>
      <c r="AG138"/>
      <c r="AH138" s="232" t="s">
        <v>1087</v>
      </c>
      <c r="AI138" s="344" t="s">
        <v>2863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349</v>
      </c>
      <c r="T139" s="233" t="s">
        <v>350</v>
      </c>
      <c r="U139" s="233">
        <v>8.42</v>
      </c>
      <c r="V139" s="283">
        <v>8.34</v>
      </c>
      <c r="W139" s="233">
        <v>8.5</v>
      </c>
      <c r="X139" s="233">
        <v>0.91</v>
      </c>
      <c r="Y139" s="233">
        <v>1</v>
      </c>
      <c r="Z139" s="233">
        <v>13</v>
      </c>
      <c r="AA139" s="233">
        <v>1</v>
      </c>
      <c r="AB139" s="232" t="s">
        <v>765</v>
      </c>
      <c r="AC139" s="233">
        <v>2000</v>
      </c>
      <c r="AD139" s="233" t="s">
        <v>1934</v>
      </c>
      <c r="AE139" s="234" t="s">
        <v>2192</v>
      </c>
      <c r="AF139"/>
      <c r="AG139"/>
      <c r="AH139" s="235" t="s">
        <v>1120</v>
      </c>
      <c r="AI139" s="343" t="s">
        <v>2885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10.5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1522</v>
      </c>
      <c r="T140" s="236" t="s">
        <v>1577</v>
      </c>
      <c r="U140" s="236">
        <v>8.44</v>
      </c>
      <c r="V140" s="283">
        <v>8.34</v>
      </c>
      <c r="W140" s="236">
        <v>8.5</v>
      </c>
      <c r="X140" s="236">
        <v>1.28</v>
      </c>
      <c r="Y140" s="236">
        <v>2</v>
      </c>
      <c r="Z140" s="236">
        <v>10</v>
      </c>
      <c r="AA140" s="236">
        <v>1</v>
      </c>
      <c r="AB140" s="235" t="s">
        <v>1582</v>
      </c>
      <c r="AC140" s="236">
        <v>2016</v>
      </c>
      <c r="AD140" s="236" t="s">
        <v>1936</v>
      </c>
      <c r="AE140" s="237" t="s">
        <v>2144</v>
      </c>
      <c r="AF140"/>
      <c r="AG140"/>
      <c r="AH140" s="232" t="s">
        <v>2091</v>
      </c>
      <c r="AI140" s="344" t="s">
        <v>1114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2055</v>
      </c>
      <c r="T141" s="233" t="s">
        <v>2041</v>
      </c>
      <c r="U141" s="233">
        <v>8.3800000000000008</v>
      </c>
      <c r="V141" s="330">
        <v>8.33</v>
      </c>
      <c r="W141" s="233">
        <v>8.5</v>
      </c>
      <c r="X141" s="233">
        <v>0.78</v>
      </c>
      <c r="Y141" s="233">
        <v>2</v>
      </c>
      <c r="Z141" s="233">
        <v>19</v>
      </c>
      <c r="AA141" s="233">
        <v>2</v>
      </c>
      <c r="AB141" s="232" t="s">
        <v>2057</v>
      </c>
      <c r="AC141" s="233">
        <v>1994</v>
      </c>
      <c r="AD141" s="233" t="s">
        <v>1898</v>
      </c>
      <c r="AE141" s="234" t="s">
        <v>2128</v>
      </c>
      <c r="AF141"/>
      <c r="AG141"/>
      <c r="AH141" s="235" t="s">
        <v>1115</v>
      </c>
      <c r="AI141" s="343" t="s">
        <v>1114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1150</v>
      </c>
      <c r="T142" s="236" t="s">
        <v>1151</v>
      </c>
      <c r="U142" s="236">
        <v>8.4600000000000009</v>
      </c>
      <c r="V142" s="315">
        <v>8.27</v>
      </c>
      <c r="W142" s="236">
        <v>8</v>
      </c>
      <c r="X142" s="236">
        <v>1.1299999999999999</v>
      </c>
      <c r="Y142" s="236">
        <v>3</v>
      </c>
      <c r="Z142" s="236">
        <v>13</v>
      </c>
      <c r="AA142" s="236">
        <v>1</v>
      </c>
      <c r="AB142" s="235" t="s">
        <v>1152</v>
      </c>
      <c r="AC142" s="236">
        <v>1993</v>
      </c>
      <c r="AD142" s="236" t="s">
        <v>1933</v>
      </c>
      <c r="AE142" s="237" t="s">
        <v>2159</v>
      </c>
      <c r="AF142"/>
      <c r="AG142"/>
      <c r="AH142" s="232" t="s">
        <v>780</v>
      </c>
      <c r="AI142" s="344" t="s">
        <v>1118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334</v>
      </c>
      <c r="T143" s="233" t="s">
        <v>1829</v>
      </c>
      <c r="U143" s="233">
        <v>8.2899999999999991</v>
      </c>
      <c r="V143" s="315">
        <v>8.27</v>
      </c>
      <c r="W143" s="233">
        <v>8.5</v>
      </c>
      <c r="X143" s="233">
        <v>0.45</v>
      </c>
      <c r="Y143" s="233">
        <v>0</v>
      </c>
      <c r="Z143" s="233">
        <v>9</v>
      </c>
      <c r="AA143" s="233">
        <v>2</v>
      </c>
      <c r="AB143" s="232" t="s">
        <v>776</v>
      </c>
      <c r="AC143" s="233">
        <v>1998</v>
      </c>
      <c r="AD143" s="233" t="s">
        <v>1933</v>
      </c>
      <c r="AE143" s="234" t="s">
        <v>2133</v>
      </c>
      <c r="AF143"/>
      <c r="AG143"/>
      <c r="AH143" s="235" t="s">
        <v>1895</v>
      </c>
      <c r="AI143" s="343" t="s">
        <v>1896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44">
        <v>142</v>
      </c>
      <c r="S144" s="235" t="s">
        <v>347</v>
      </c>
      <c r="T144" s="236" t="s">
        <v>162</v>
      </c>
      <c r="U144" s="236">
        <v>8.3800000000000008</v>
      </c>
      <c r="V144" s="246">
        <v>8.25</v>
      </c>
      <c r="W144" s="236">
        <v>8.25</v>
      </c>
      <c r="X144" s="236">
        <v>1.06</v>
      </c>
      <c r="Y144" s="236">
        <v>2</v>
      </c>
      <c r="Z144" s="236">
        <v>12</v>
      </c>
      <c r="AA144" s="236">
        <v>0</v>
      </c>
      <c r="AB144" s="235" t="s">
        <v>821</v>
      </c>
      <c r="AC144" s="236">
        <v>1992</v>
      </c>
      <c r="AD144" s="236" t="s">
        <v>1930</v>
      </c>
      <c r="AE144" s="237" t="s">
        <v>2125</v>
      </c>
      <c r="AF144"/>
      <c r="AG144"/>
      <c r="AH144" s="232" t="s">
        <v>1303</v>
      </c>
      <c r="AI144" s="344" t="s">
        <v>1304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334</v>
      </c>
      <c r="T145" s="233" t="s">
        <v>1701</v>
      </c>
      <c r="U145" s="233">
        <v>8.4</v>
      </c>
      <c r="V145" s="246">
        <v>8.25</v>
      </c>
      <c r="W145" s="233">
        <v>8</v>
      </c>
      <c r="X145" s="233">
        <v>0.86</v>
      </c>
      <c r="Y145" s="233">
        <v>1</v>
      </c>
      <c r="Z145" s="233">
        <v>5</v>
      </c>
      <c r="AA145" s="233">
        <v>0</v>
      </c>
      <c r="AB145" s="232" t="s">
        <v>774</v>
      </c>
      <c r="AC145" s="233">
        <v>1996</v>
      </c>
      <c r="AD145" s="233" t="s">
        <v>1925</v>
      </c>
      <c r="AE145" s="234" t="s">
        <v>2138</v>
      </c>
      <c r="AF145"/>
      <c r="AG145"/>
      <c r="AH145" s="235" t="s">
        <v>1568</v>
      </c>
      <c r="AI145" s="343" t="s">
        <v>1569</v>
      </c>
    </row>
    <row r="146" spans="1:35" ht="16.05" customHeight="1" thickBot="1">
      <c r="A146" s="11" t="s">
        <v>786</v>
      </c>
      <c r="B146" s="150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717</v>
      </c>
      <c r="T146" s="236" t="s">
        <v>717</v>
      </c>
      <c r="U146" s="236">
        <v>8.24</v>
      </c>
      <c r="V146" s="285">
        <v>8.23</v>
      </c>
      <c r="W146" s="236">
        <v>8</v>
      </c>
      <c r="X146" s="236">
        <v>1.1299999999999999</v>
      </c>
      <c r="Y146" s="236">
        <v>3</v>
      </c>
      <c r="Z146" s="236">
        <v>17</v>
      </c>
      <c r="AA146" s="236">
        <v>0</v>
      </c>
      <c r="AB146" s="235" t="s">
        <v>2672</v>
      </c>
      <c r="AC146" s="236">
        <v>2001</v>
      </c>
      <c r="AD146" s="236" t="s">
        <v>1953</v>
      </c>
      <c r="AE146" s="237" t="s">
        <v>2673</v>
      </c>
      <c r="AF146"/>
      <c r="AG146"/>
      <c r="AH146" s="232" t="s">
        <v>1570</v>
      </c>
      <c r="AI146" s="344" t="s">
        <v>1569</v>
      </c>
    </row>
    <row r="147" spans="1:35" ht="16.05" customHeight="1" thickBot="1">
      <c r="A147" s="4" t="s">
        <v>787</v>
      </c>
      <c r="B147" s="151">
        <v>9</v>
      </c>
      <c r="C147" s="17"/>
      <c r="D147" s="11" t="s">
        <v>803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326</v>
      </c>
      <c r="T147" s="233" t="s">
        <v>312</v>
      </c>
      <c r="U147" s="233">
        <v>8.35</v>
      </c>
      <c r="V147" s="336">
        <v>8.2200000000000006</v>
      </c>
      <c r="W147" s="233">
        <v>8.25</v>
      </c>
      <c r="X147" s="233">
        <v>1.32</v>
      </c>
      <c r="Y147" s="233">
        <v>3</v>
      </c>
      <c r="Z147" s="233">
        <v>10</v>
      </c>
      <c r="AA147" s="233">
        <v>0</v>
      </c>
      <c r="AB147" s="232" t="s">
        <v>772</v>
      </c>
      <c r="AC147" s="233">
        <v>1993</v>
      </c>
      <c r="AD147" s="233" t="s">
        <v>1926</v>
      </c>
      <c r="AE147" s="234" t="s">
        <v>2189</v>
      </c>
      <c r="AF147"/>
      <c r="AG147"/>
      <c r="AH147" s="235" t="s">
        <v>1100</v>
      </c>
      <c r="AI147" s="343" t="s">
        <v>2864</v>
      </c>
    </row>
    <row r="148" spans="1:35" ht="16.05" customHeight="1" thickBot="1">
      <c r="A148" s="4" t="s">
        <v>788</v>
      </c>
      <c r="B148" s="151">
        <v>10</v>
      </c>
      <c r="C148" s="17"/>
      <c r="D148" s="4" t="s">
        <v>804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348</v>
      </c>
      <c r="T148" s="236" t="s">
        <v>305</v>
      </c>
      <c r="U148" s="236">
        <v>8.35</v>
      </c>
      <c r="V148" s="293">
        <v>8.1999999999999993</v>
      </c>
      <c r="W148" s="236">
        <v>8</v>
      </c>
      <c r="X148" s="236">
        <v>0.78</v>
      </c>
      <c r="Y148" s="236">
        <v>1</v>
      </c>
      <c r="Z148" s="236">
        <v>10</v>
      </c>
      <c r="AA148" s="236">
        <v>0</v>
      </c>
      <c r="AB148" s="235" t="s">
        <v>823</v>
      </c>
      <c r="AC148" s="236">
        <v>1979</v>
      </c>
      <c r="AD148" s="236" t="s">
        <v>1929</v>
      </c>
      <c r="AE148" s="237" t="s">
        <v>2189</v>
      </c>
      <c r="AF148"/>
      <c r="AG148"/>
      <c r="AH148" s="232" t="s">
        <v>1119</v>
      </c>
      <c r="AI148" s="344" t="s">
        <v>1962</v>
      </c>
    </row>
    <row r="149" spans="1:35" ht="16.05" customHeight="1" thickBot="1">
      <c r="A149" s="4" t="s">
        <v>789</v>
      </c>
      <c r="B149" s="151">
        <v>8</v>
      </c>
      <c r="C149" s="17"/>
      <c r="D149" s="4" t="s">
        <v>805</v>
      </c>
      <c r="E149" s="151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353</v>
      </c>
      <c r="T149" s="233" t="s">
        <v>354</v>
      </c>
      <c r="U149" s="233">
        <v>8.33</v>
      </c>
      <c r="V149" s="295">
        <v>8.17</v>
      </c>
      <c r="W149" s="233">
        <v>8</v>
      </c>
      <c r="X149" s="233">
        <v>0.94</v>
      </c>
      <c r="Y149" s="233">
        <v>1</v>
      </c>
      <c r="Z149" s="233">
        <v>9</v>
      </c>
      <c r="AA149" s="233">
        <v>0</v>
      </c>
      <c r="AB149" s="232" t="s">
        <v>761</v>
      </c>
      <c r="AC149" s="233">
        <v>1993</v>
      </c>
      <c r="AD149" s="233" t="s">
        <v>1924</v>
      </c>
      <c r="AE149" s="234" t="s">
        <v>2190</v>
      </c>
      <c r="AF149"/>
      <c r="AG149"/>
      <c r="AH149" s="235" t="s">
        <v>1197</v>
      </c>
      <c r="AI149" s="343" t="s">
        <v>1208</v>
      </c>
    </row>
    <row r="150" spans="1:35" ht="16.05" customHeight="1" thickBot="1">
      <c r="A150" s="4" t="s">
        <v>790</v>
      </c>
      <c r="B150" s="151">
        <v>7</v>
      </c>
      <c r="C150" s="17"/>
      <c r="D150" s="4" t="s">
        <v>806</v>
      </c>
      <c r="E150" s="151"/>
      <c r="F150" s="2"/>
      <c r="G150" s="11" t="s">
        <v>824</v>
      </c>
      <c r="H150" s="150">
        <v>10</v>
      </c>
      <c r="I150" s="17"/>
      <c r="J150" s="11" t="s">
        <v>841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573</v>
      </c>
      <c r="T150" s="236" t="s">
        <v>574</v>
      </c>
      <c r="U150" s="236">
        <v>8.31</v>
      </c>
      <c r="V150" s="295">
        <v>8.16</v>
      </c>
      <c r="W150" s="236">
        <v>8</v>
      </c>
      <c r="X150" s="236">
        <v>0.89</v>
      </c>
      <c r="Y150" s="236">
        <v>2</v>
      </c>
      <c r="Z150" s="236">
        <v>14</v>
      </c>
      <c r="AA150" s="236">
        <v>1</v>
      </c>
      <c r="AB150" s="235" t="s">
        <v>764</v>
      </c>
      <c r="AC150" s="236">
        <v>2016</v>
      </c>
      <c r="AD150" s="236" t="s">
        <v>1920</v>
      </c>
      <c r="AE150" s="237" t="s">
        <v>2182</v>
      </c>
      <c r="AF150"/>
      <c r="AG150"/>
      <c r="AH150" s="232" t="s">
        <v>1121</v>
      </c>
      <c r="AI150" s="344" t="s">
        <v>1122</v>
      </c>
    </row>
    <row r="151" spans="1:35" ht="16.05" customHeight="1" thickBot="1">
      <c r="A151" s="4" t="s">
        <v>791</v>
      </c>
      <c r="B151" s="151">
        <v>9.5</v>
      </c>
      <c r="C151" s="17"/>
      <c r="D151" s="4" t="s">
        <v>807</v>
      </c>
      <c r="E151" s="151">
        <v>9</v>
      </c>
      <c r="F151" s="2"/>
      <c r="G151" s="4" t="s">
        <v>825</v>
      </c>
      <c r="H151" s="151">
        <v>9</v>
      </c>
      <c r="I151" s="17"/>
      <c r="J151" s="4" t="s">
        <v>842</v>
      </c>
      <c r="K151" s="151">
        <v>9</v>
      </c>
      <c r="L151" s="2"/>
      <c r="M151" s="16"/>
      <c r="N151" s="16"/>
      <c r="O151" s="17"/>
      <c r="R151" s="244">
        <v>149</v>
      </c>
      <c r="S151" s="232" t="s">
        <v>801</v>
      </c>
      <c r="T151" s="233" t="s">
        <v>802</v>
      </c>
      <c r="U151" s="233">
        <v>8.33</v>
      </c>
      <c r="V151" s="295">
        <v>8.16</v>
      </c>
      <c r="W151" s="233">
        <v>8</v>
      </c>
      <c r="X151" s="233">
        <v>1.1599999999999999</v>
      </c>
      <c r="Y151" s="233">
        <v>3</v>
      </c>
      <c r="Z151" s="233">
        <v>15</v>
      </c>
      <c r="AA151" s="233">
        <v>0</v>
      </c>
      <c r="AB151" s="232" t="s">
        <v>822</v>
      </c>
      <c r="AC151" s="233">
        <v>2003</v>
      </c>
      <c r="AD151" s="233" t="s">
        <v>1940</v>
      </c>
      <c r="AE151" s="234" t="s">
        <v>2171</v>
      </c>
      <c r="AF151"/>
      <c r="AG151"/>
      <c r="AH151" s="235" t="s">
        <v>1123</v>
      </c>
      <c r="AI151" s="343" t="s">
        <v>1122</v>
      </c>
    </row>
    <row r="152" spans="1:35" ht="16.05" customHeight="1" thickBot="1">
      <c r="A152" s="4" t="s">
        <v>792</v>
      </c>
      <c r="B152" s="151">
        <v>8.5</v>
      </c>
      <c r="C152" s="17"/>
      <c r="D152" s="4" t="s">
        <v>808</v>
      </c>
      <c r="E152" s="151">
        <v>7.5</v>
      </c>
      <c r="F152" s="2"/>
      <c r="G152" s="4" t="s">
        <v>826</v>
      </c>
      <c r="H152" s="151">
        <v>8.5</v>
      </c>
      <c r="I152" s="17"/>
      <c r="J152" s="4" t="s">
        <v>843</v>
      </c>
      <c r="K152" s="151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44">
        <v>150</v>
      </c>
      <c r="S152" s="235" t="s">
        <v>1817</v>
      </c>
      <c r="T152" s="236" t="s">
        <v>1817</v>
      </c>
      <c r="U152" s="236">
        <v>8.2899999999999991</v>
      </c>
      <c r="V152" s="295">
        <v>8.16</v>
      </c>
      <c r="W152" s="236">
        <v>8</v>
      </c>
      <c r="X152" s="236">
        <v>0.52</v>
      </c>
      <c r="Y152" s="236">
        <v>0</v>
      </c>
      <c r="Z152" s="236">
        <v>7</v>
      </c>
      <c r="AA152" s="236">
        <v>0</v>
      </c>
      <c r="AB152" s="235" t="s">
        <v>1818</v>
      </c>
      <c r="AC152" s="236">
        <v>2018</v>
      </c>
      <c r="AD152" s="236" t="s">
        <v>1941</v>
      </c>
      <c r="AE152" s="237" t="s">
        <v>2134</v>
      </c>
      <c r="AF152"/>
      <c r="AG152"/>
      <c r="AH152" s="232" t="s">
        <v>781</v>
      </c>
      <c r="AI152" s="344" t="s">
        <v>1124</v>
      </c>
    </row>
    <row r="153" spans="1:35" ht="16.05" customHeight="1">
      <c r="A153" s="4" t="s">
        <v>793</v>
      </c>
      <c r="B153" s="151">
        <v>8</v>
      </c>
      <c r="C153" s="17"/>
      <c r="D153" s="4" t="s">
        <v>809</v>
      </c>
      <c r="E153" s="151">
        <v>8</v>
      </c>
      <c r="F153" s="2"/>
      <c r="G153" s="4" t="s">
        <v>827</v>
      </c>
      <c r="H153" s="151">
        <v>10.5</v>
      </c>
      <c r="I153" s="17"/>
      <c r="J153" s="4" t="s">
        <v>844</v>
      </c>
      <c r="K153" s="151">
        <v>8.5</v>
      </c>
      <c r="L153" s="17"/>
      <c r="M153" s="11" t="s">
        <v>858</v>
      </c>
      <c r="N153" s="150">
        <v>9.5</v>
      </c>
      <c r="O153" s="17"/>
      <c r="R153" s="244">
        <v>151</v>
      </c>
      <c r="S153" s="232" t="s">
        <v>2767</v>
      </c>
      <c r="T153" s="233" t="s">
        <v>2768</v>
      </c>
      <c r="U153" s="233">
        <v>8.31</v>
      </c>
      <c r="V153" s="295">
        <v>8.16</v>
      </c>
      <c r="W153" s="233">
        <v>8</v>
      </c>
      <c r="X153" s="233">
        <v>0.93</v>
      </c>
      <c r="Y153" s="233">
        <v>1</v>
      </c>
      <c r="Z153" s="233">
        <v>8</v>
      </c>
      <c r="AA153" s="233">
        <v>0</v>
      </c>
      <c r="AB153" s="232" t="s">
        <v>1076</v>
      </c>
      <c r="AC153" s="233">
        <v>2016</v>
      </c>
      <c r="AD153" s="233" t="s">
        <v>1905</v>
      </c>
      <c r="AE153" s="234" t="s">
        <v>2769</v>
      </c>
      <c r="AF153"/>
      <c r="AG153"/>
      <c r="AH153"/>
      <c r="AI153"/>
    </row>
    <row r="154" spans="1:35" ht="16.05" customHeight="1">
      <c r="A154" s="4" t="s">
        <v>794</v>
      </c>
      <c r="B154" s="151">
        <v>7.5</v>
      </c>
      <c r="C154" s="17"/>
      <c r="D154" s="4" t="s">
        <v>810</v>
      </c>
      <c r="E154" s="151">
        <v>10</v>
      </c>
      <c r="F154" s="2"/>
      <c r="G154" s="4" t="s">
        <v>828</v>
      </c>
      <c r="H154" s="151">
        <v>8</v>
      </c>
      <c r="I154" s="17"/>
      <c r="J154" s="4" t="s">
        <v>845</v>
      </c>
      <c r="K154" s="151">
        <v>8</v>
      </c>
      <c r="L154" s="17"/>
      <c r="M154" s="4" t="s">
        <v>859</v>
      </c>
      <c r="N154" s="151">
        <v>8</v>
      </c>
      <c r="O154" s="17"/>
      <c r="R154" s="244">
        <v>152</v>
      </c>
      <c r="S154" s="235" t="s">
        <v>2404</v>
      </c>
      <c r="T154" s="236" t="s">
        <v>2405</v>
      </c>
      <c r="U154" s="236">
        <v>8.1999999999999993</v>
      </c>
      <c r="V154" s="299">
        <v>8.1300000000000008</v>
      </c>
      <c r="W154" s="236">
        <v>8</v>
      </c>
      <c r="X154" s="236">
        <v>0.24</v>
      </c>
      <c r="Y154" s="236">
        <v>0</v>
      </c>
      <c r="Z154" s="236">
        <v>5</v>
      </c>
      <c r="AA154" s="236">
        <v>0</v>
      </c>
      <c r="AB154" s="235" t="s">
        <v>1087</v>
      </c>
      <c r="AC154" s="236">
        <v>2026</v>
      </c>
      <c r="AD154" s="236" t="s">
        <v>1942</v>
      </c>
      <c r="AE154" s="237" t="s">
        <v>2407</v>
      </c>
      <c r="AF154"/>
      <c r="AG154"/>
      <c r="AH154" s="342" t="s">
        <v>1963</v>
      </c>
      <c r="AI154" s="342"/>
    </row>
    <row r="155" spans="1:35" ht="16.05" customHeight="1">
      <c r="A155" s="4" t="s">
        <v>795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846</v>
      </c>
      <c r="K155" s="151">
        <v>8</v>
      </c>
      <c r="L155" s="17"/>
      <c r="M155" s="4" t="s">
        <v>860</v>
      </c>
      <c r="N155" s="151">
        <v>9.5</v>
      </c>
      <c r="O155" s="17"/>
      <c r="R155" s="244">
        <v>153</v>
      </c>
      <c r="S155" s="232" t="s">
        <v>327</v>
      </c>
      <c r="T155" s="233" t="s">
        <v>613</v>
      </c>
      <c r="U155" s="233">
        <v>8.0500000000000007</v>
      </c>
      <c r="V155" s="322">
        <v>8.11</v>
      </c>
      <c r="W155" s="233">
        <v>8.25</v>
      </c>
      <c r="X155" s="233">
        <v>1.19</v>
      </c>
      <c r="Y155" s="233">
        <v>1</v>
      </c>
      <c r="Z155" s="233">
        <v>11</v>
      </c>
      <c r="AA155" s="233">
        <v>1</v>
      </c>
      <c r="AB155" s="232" t="s">
        <v>753</v>
      </c>
      <c r="AC155" s="233">
        <v>2001</v>
      </c>
      <c r="AD155" s="233" t="s">
        <v>1936</v>
      </c>
      <c r="AE155" s="234" t="s">
        <v>2181</v>
      </c>
      <c r="AF155"/>
      <c r="AG155"/>
      <c r="AH155" s="235" t="s">
        <v>1964</v>
      </c>
      <c r="AI155" s="343" t="s">
        <v>2943</v>
      </c>
    </row>
    <row r="156" spans="1:35" ht="16.05" customHeight="1">
      <c r="A156" s="4" t="s">
        <v>796</v>
      </c>
      <c r="B156" s="151">
        <v>10</v>
      </c>
      <c r="C156" s="17"/>
      <c r="D156" s="4" t="s">
        <v>811</v>
      </c>
      <c r="E156" s="151">
        <v>8</v>
      </c>
      <c r="F156" s="2"/>
      <c r="G156" s="4" t="s">
        <v>829</v>
      </c>
      <c r="H156" s="151">
        <v>8</v>
      </c>
      <c r="I156" s="17"/>
      <c r="J156" s="4" t="s">
        <v>847</v>
      </c>
      <c r="K156" s="151">
        <v>7.5</v>
      </c>
      <c r="L156" s="17"/>
      <c r="M156" s="4" t="s">
        <v>861</v>
      </c>
      <c r="N156" s="151">
        <v>8.5</v>
      </c>
      <c r="O156" s="17"/>
      <c r="R156" s="244">
        <v>154</v>
      </c>
      <c r="S156" s="235" t="s">
        <v>465</v>
      </c>
      <c r="T156" s="236" t="s">
        <v>466</v>
      </c>
      <c r="U156" s="236">
        <v>8.18</v>
      </c>
      <c r="V156" s="332">
        <v>8.06</v>
      </c>
      <c r="W156" s="236">
        <v>8</v>
      </c>
      <c r="X156" s="236">
        <v>0.89</v>
      </c>
      <c r="Y156" s="236">
        <v>2</v>
      </c>
      <c r="Z156" s="236">
        <v>19</v>
      </c>
      <c r="AA156" s="236">
        <v>0</v>
      </c>
      <c r="AB156" s="235" t="s">
        <v>779</v>
      </c>
      <c r="AC156" s="236">
        <v>2023</v>
      </c>
      <c r="AD156" s="236" t="s">
        <v>1919</v>
      </c>
      <c r="AE156" s="237" t="s">
        <v>2185</v>
      </c>
      <c r="AF156"/>
      <c r="AG156"/>
      <c r="AH156" s="232" t="s">
        <v>1965</v>
      </c>
      <c r="AI156" s="344">
        <v>1967</v>
      </c>
    </row>
    <row r="157" spans="1:35" ht="16.05" customHeight="1">
      <c r="A157" s="4" t="s">
        <v>797</v>
      </c>
      <c r="B157" s="151">
        <v>6</v>
      </c>
      <c r="C157" s="17"/>
      <c r="D157" s="4" t="s">
        <v>812</v>
      </c>
      <c r="E157" s="151">
        <v>9</v>
      </c>
      <c r="F157" s="2"/>
      <c r="G157" s="4" t="s">
        <v>830</v>
      </c>
      <c r="H157" s="151">
        <v>9</v>
      </c>
      <c r="I157" s="17"/>
      <c r="J157" s="4" t="s">
        <v>848</v>
      </c>
      <c r="K157" s="151">
        <v>7</v>
      </c>
      <c r="L157" s="17"/>
      <c r="M157" s="4" t="s">
        <v>896</v>
      </c>
      <c r="N157" s="151">
        <v>10.5</v>
      </c>
      <c r="O157" s="17"/>
      <c r="R157" s="244">
        <v>155</v>
      </c>
      <c r="S157" s="232" t="s">
        <v>339</v>
      </c>
      <c r="T157" s="233" t="s">
        <v>1865</v>
      </c>
      <c r="U157" s="233">
        <v>8.18</v>
      </c>
      <c r="V157" s="332">
        <v>8.06</v>
      </c>
      <c r="W157" s="233">
        <v>8</v>
      </c>
      <c r="X157" s="233">
        <v>0.86</v>
      </c>
      <c r="Y157" s="233">
        <v>1</v>
      </c>
      <c r="Z157" s="233">
        <v>11</v>
      </c>
      <c r="AA157" s="233">
        <v>0</v>
      </c>
      <c r="AB157" s="232" t="s">
        <v>1875</v>
      </c>
      <c r="AC157" s="233">
        <v>2001</v>
      </c>
      <c r="AD157" s="233" t="s">
        <v>1897</v>
      </c>
      <c r="AE157" s="234" t="s">
        <v>2131</v>
      </c>
      <c r="AF157"/>
      <c r="AG157"/>
      <c r="AH157" s="235" t="s">
        <v>1966</v>
      </c>
      <c r="AI157" s="343">
        <v>2026</v>
      </c>
    </row>
    <row r="158" spans="1:35" ht="16.05" customHeight="1">
      <c r="A158" s="4" t="s">
        <v>798</v>
      </c>
      <c r="B158" s="151">
        <v>7</v>
      </c>
      <c r="C158" s="17"/>
      <c r="D158" s="4" t="s">
        <v>813</v>
      </c>
      <c r="E158" s="151">
        <v>8</v>
      </c>
      <c r="F158" s="2"/>
      <c r="G158" s="4" t="s">
        <v>831</v>
      </c>
      <c r="H158" s="151">
        <v>9</v>
      </c>
      <c r="I158" s="17"/>
      <c r="J158" s="4" t="s">
        <v>849</v>
      </c>
      <c r="K158" s="151">
        <v>10.5</v>
      </c>
      <c r="L158" s="17"/>
      <c r="M158" s="4" t="s">
        <v>862</v>
      </c>
      <c r="N158" s="151">
        <v>8</v>
      </c>
      <c r="O158" s="17"/>
      <c r="R158" s="244">
        <v>156</v>
      </c>
      <c r="S158" s="235" t="s">
        <v>334</v>
      </c>
      <c r="T158" s="236" t="s">
        <v>2474</v>
      </c>
      <c r="U158" s="236">
        <v>8.11</v>
      </c>
      <c r="V158" s="316">
        <v>8.0299999999999994</v>
      </c>
      <c r="W158" s="236">
        <v>8</v>
      </c>
      <c r="X158" s="236">
        <v>0.46</v>
      </c>
      <c r="Y158" s="236">
        <v>0</v>
      </c>
      <c r="Z158" s="236">
        <v>11</v>
      </c>
      <c r="AA158" s="236">
        <v>2</v>
      </c>
      <c r="AB158" s="235" t="s">
        <v>1076</v>
      </c>
      <c r="AC158" s="236">
        <v>2016</v>
      </c>
      <c r="AD158" s="236" t="s">
        <v>1932</v>
      </c>
      <c r="AE158" s="237" t="s">
        <v>2503</v>
      </c>
      <c r="AF158"/>
      <c r="AG158"/>
      <c r="AH158" s="232" t="s">
        <v>1967</v>
      </c>
      <c r="AI158" s="344" t="s">
        <v>2909</v>
      </c>
    </row>
    <row r="159" spans="1:35" ht="16.05" customHeight="1" thickBot="1">
      <c r="A159" s="4" t="s">
        <v>799</v>
      </c>
      <c r="B159" s="151">
        <v>10</v>
      </c>
      <c r="C159" s="2"/>
      <c r="D159" s="7" t="s">
        <v>814</v>
      </c>
      <c r="E159" s="152"/>
      <c r="F159" s="2"/>
      <c r="G159" s="4" t="s">
        <v>832</v>
      </c>
      <c r="H159" s="151">
        <v>8.5</v>
      </c>
      <c r="I159" s="17"/>
      <c r="J159" s="4" t="s">
        <v>850</v>
      </c>
      <c r="K159" s="151"/>
      <c r="L159" s="17"/>
      <c r="M159" s="7" t="s">
        <v>863</v>
      </c>
      <c r="N159" s="152">
        <v>7.5</v>
      </c>
      <c r="O159" s="17"/>
      <c r="R159" s="244">
        <v>157</v>
      </c>
      <c r="S159" s="232" t="s">
        <v>717</v>
      </c>
      <c r="T159" s="233" t="s">
        <v>1286</v>
      </c>
      <c r="U159" s="233">
        <v>8.11</v>
      </c>
      <c r="V159" s="286">
        <v>8</v>
      </c>
      <c r="W159" s="233">
        <v>8</v>
      </c>
      <c r="X159" s="233">
        <v>0.71</v>
      </c>
      <c r="Y159" s="233">
        <v>0</v>
      </c>
      <c r="Z159" s="233">
        <v>15</v>
      </c>
      <c r="AA159" s="233">
        <v>1</v>
      </c>
      <c r="AB159" s="232" t="s">
        <v>1302</v>
      </c>
      <c r="AC159" s="233">
        <v>2026</v>
      </c>
      <c r="AD159" s="233" t="s">
        <v>1916</v>
      </c>
      <c r="AE159" s="234" t="s">
        <v>2156</v>
      </c>
      <c r="AF159"/>
      <c r="AG159"/>
      <c r="AH159" s="235" t="s">
        <v>1968</v>
      </c>
      <c r="AI159" s="343" t="s">
        <v>2752</v>
      </c>
    </row>
    <row r="160" spans="1:35" ht="16.05" customHeight="1" thickBot="1">
      <c r="A160" s="7" t="s">
        <v>800</v>
      </c>
      <c r="B160" s="152">
        <v>8.5</v>
      </c>
      <c r="C160" s="2"/>
      <c r="D160" s="14"/>
      <c r="E160" s="16"/>
      <c r="F160" s="2"/>
      <c r="G160" s="4" t="s">
        <v>833</v>
      </c>
      <c r="H160" s="151">
        <v>8</v>
      </c>
      <c r="I160" s="17"/>
      <c r="J160" s="4" t="s">
        <v>851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385</v>
      </c>
      <c r="T160" s="236" t="s">
        <v>378</v>
      </c>
      <c r="U160" s="236">
        <v>8</v>
      </c>
      <c r="V160" s="325">
        <v>7.98</v>
      </c>
      <c r="W160" s="236">
        <v>8.25</v>
      </c>
      <c r="X160" s="236">
        <v>0.56000000000000005</v>
      </c>
      <c r="Y160" s="236">
        <v>0</v>
      </c>
      <c r="Z160" s="236">
        <v>9</v>
      </c>
      <c r="AA160" s="236">
        <v>1</v>
      </c>
      <c r="AB160" s="235" t="s">
        <v>756</v>
      </c>
      <c r="AC160" s="236">
        <v>2005</v>
      </c>
      <c r="AD160" s="236" t="s">
        <v>1931</v>
      </c>
      <c r="AE160" s="237" t="s">
        <v>2189</v>
      </c>
      <c r="AF160"/>
      <c r="AG160"/>
      <c r="AH160"/>
      <c r="AI160"/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1">
        <v>8.5</v>
      </c>
      <c r="I161" s="17"/>
      <c r="J161" s="4" t="s">
        <v>852</v>
      </c>
      <c r="K161" s="151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44">
        <v>159</v>
      </c>
      <c r="S161" s="232" t="s">
        <v>337</v>
      </c>
      <c r="T161" s="233" t="s">
        <v>691</v>
      </c>
      <c r="U161" s="233">
        <v>8.07</v>
      </c>
      <c r="V161" s="268">
        <v>7.95</v>
      </c>
      <c r="W161" s="233">
        <v>8</v>
      </c>
      <c r="X161" s="233">
        <v>1.07</v>
      </c>
      <c r="Y161" s="233">
        <v>2</v>
      </c>
      <c r="Z161" s="233">
        <v>16</v>
      </c>
      <c r="AA161" s="233">
        <v>2</v>
      </c>
      <c r="AB161" s="232" t="s">
        <v>758</v>
      </c>
      <c r="AC161" s="233">
        <v>1997</v>
      </c>
      <c r="AD161" s="233" t="s">
        <v>1925</v>
      </c>
      <c r="AE161" s="234" t="s">
        <v>2177</v>
      </c>
      <c r="AF161"/>
      <c r="AG161"/>
      <c r="AH161" s="342" t="s">
        <v>1969</v>
      </c>
      <c r="AI161" s="342"/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50">
        <v>10</v>
      </c>
      <c r="F162" s="2"/>
      <c r="G162" s="4" t="s">
        <v>835</v>
      </c>
      <c r="H162" s="151">
        <v>8</v>
      </c>
      <c r="I162" s="17"/>
      <c r="J162" s="4" t="s">
        <v>853</v>
      </c>
      <c r="K162" s="151">
        <v>7.5</v>
      </c>
      <c r="L162" s="2"/>
      <c r="M162" s="11" t="s">
        <v>912</v>
      </c>
      <c r="N162" s="150">
        <v>10</v>
      </c>
      <c r="O162" s="17"/>
      <c r="R162" s="244">
        <v>160</v>
      </c>
      <c r="S162" s="235" t="s">
        <v>1409</v>
      </c>
      <c r="T162" s="236" t="s">
        <v>1410</v>
      </c>
      <c r="U162" s="236">
        <v>8.0500000000000007</v>
      </c>
      <c r="V162" s="268">
        <v>7.95</v>
      </c>
      <c r="W162" s="236">
        <v>8</v>
      </c>
      <c r="X162" s="236">
        <v>0.72</v>
      </c>
      <c r="Y162" s="236">
        <v>0</v>
      </c>
      <c r="Z162" s="236">
        <v>10</v>
      </c>
      <c r="AA162" s="236">
        <v>0</v>
      </c>
      <c r="AB162" s="235" t="s">
        <v>752</v>
      </c>
      <c r="AC162" s="236">
        <v>2026</v>
      </c>
      <c r="AD162" s="236" t="s">
        <v>1931</v>
      </c>
      <c r="AE162" s="237" t="s">
        <v>2151</v>
      </c>
      <c r="AF162"/>
      <c r="AG162"/>
      <c r="AH162" s="232" t="s">
        <v>1970</v>
      </c>
      <c r="AI162" s="344" t="s">
        <v>2524</v>
      </c>
    </row>
    <row r="163" spans="1:35" ht="16.05" customHeight="1" thickBot="1">
      <c r="A163" s="11" t="s">
        <v>934</v>
      </c>
      <c r="B163" s="150">
        <v>9</v>
      </c>
      <c r="C163" s="2"/>
      <c r="D163" s="4" t="s">
        <v>900</v>
      </c>
      <c r="E163" s="151">
        <v>10</v>
      </c>
      <c r="F163" s="2"/>
      <c r="G163" s="7" t="s">
        <v>836</v>
      </c>
      <c r="H163" s="152">
        <v>9</v>
      </c>
      <c r="I163" s="17"/>
      <c r="J163" s="7" t="s">
        <v>854</v>
      </c>
      <c r="K163" s="152">
        <v>9</v>
      </c>
      <c r="L163" s="2"/>
      <c r="M163" s="4" t="s">
        <v>913</v>
      </c>
      <c r="N163" s="151">
        <v>9</v>
      </c>
      <c r="O163" s="17"/>
      <c r="R163" s="244">
        <v>161</v>
      </c>
      <c r="S163" s="232" t="s">
        <v>334</v>
      </c>
      <c r="T163" s="233" t="s">
        <v>1755</v>
      </c>
      <c r="U163" s="233">
        <v>8.06</v>
      </c>
      <c r="V163" s="268">
        <v>7.95</v>
      </c>
      <c r="W163" s="233">
        <v>8</v>
      </c>
      <c r="X163" s="233">
        <v>0.81</v>
      </c>
      <c r="Y163" s="233">
        <v>0</v>
      </c>
      <c r="Z163" s="233">
        <v>8</v>
      </c>
      <c r="AA163" s="233">
        <v>0</v>
      </c>
      <c r="AB163" s="232" t="s">
        <v>1076</v>
      </c>
      <c r="AC163" s="233">
        <v>2014</v>
      </c>
      <c r="AD163" s="233" t="s">
        <v>1940</v>
      </c>
      <c r="AE163" s="234" t="s">
        <v>2136</v>
      </c>
      <c r="AF163"/>
      <c r="AG163"/>
      <c r="AH163" s="235" t="s">
        <v>1971</v>
      </c>
      <c r="AI163" s="343" t="s">
        <v>2809</v>
      </c>
    </row>
    <row r="164" spans="1:35" ht="16.05" customHeight="1" thickBot="1">
      <c r="A164" s="4" t="s">
        <v>935</v>
      </c>
      <c r="B164" s="151">
        <v>7</v>
      </c>
      <c r="C164" s="2"/>
      <c r="D164" s="4" t="s">
        <v>901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1">
        <v>9</v>
      </c>
      <c r="O164" s="17"/>
      <c r="R164" s="244">
        <v>162</v>
      </c>
      <c r="S164" s="235" t="s">
        <v>2314</v>
      </c>
      <c r="T164" s="236" t="s">
        <v>2315</v>
      </c>
      <c r="U164" s="236">
        <v>8</v>
      </c>
      <c r="V164" s="257">
        <v>7.94</v>
      </c>
      <c r="W164" s="236">
        <v>8</v>
      </c>
      <c r="X164" s="236">
        <v>0.45</v>
      </c>
      <c r="Y164" s="236">
        <v>0</v>
      </c>
      <c r="Z164" s="236">
        <v>10</v>
      </c>
      <c r="AA164" s="236">
        <v>0</v>
      </c>
      <c r="AB164" s="235" t="s">
        <v>1087</v>
      </c>
      <c r="AC164" s="236">
        <v>2025</v>
      </c>
      <c r="AD164" s="236" t="s">
        <v>1934</v>
      </c>
      <c r="AE164" s="237" t="s">
        <v>2286</v>
      </c>
      <c r="AF164"/>
      <c r="AG164"/>
      <c r="AH164" s="232" t="s">
        <v>1972</v>
      </c>
      <c r="AI164" s="344" t="s">
        <v>2802</v>
      </c>
    </row>
    <row r="165" spans="1:35" ht="16.05" customHeight="1" thickBot="1">
      <c r="A165" s="4" t="s">
        <v>936</v>
      </c>
      <c r="B165" s="151">
        <v>7.5</v>
      </c>
      <c r="C165" s="2"/>
      <c r="D165" s="4" t="s">
        <v>902</v>
      </c>
      <c r="E165" s="151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10" t="s">
        <v>958</v>
      </c>
      <c r="K165" s="12">
        <f>ROUND(SUM(K166:K173)/COUNT(K166:K173), 2)</f>
        <v>9</v>
      </c>
      <c r="L165" s="2"/>
      <c r="M165" s="4" t="s">
        <v>915</v>
      </c>
      <c r="N165" s="151">
        <v>10</v>
      </c>
      <c r="O165" s="17"/>
      <c r="R165" s="244">
        <v>163</v>
      </c>
      <c r="S165" s="232" t="s">
        <v>337</v>
      </c>
      <c r="T165" s="233" t="s">
        <v>1556</v>
      </c>
      <c r="U165" s="233">
        <v>8</v>
      </c>
      <c r="V165" s="269">
        <v>7.79</v>
      </c>
      <c r="W165" s="233">
        <v>7.5</v>
      </c>
      <c r="X165" s="233">
        <v>0.88</v>
      </c>
      <c r="Y165" s="233">
        <v>0</v>
      </c>
      <c r="Z165" s="233">
        <v>10</v>
      </c>
      <c r="AA165" s="233">
        <v>1</v>
      </c>
      <c r="AB165" s="232" t="s">
        <v>1567</v>
      </c>
      <c r="AC165" s="233">
        <v>2005</v>
      </c>
      <c r="AD165" s="233" t="s">
        <v>1923</v>
      </c>
      <c r="AE165" s="234" t="s">
        <v>2145</v>
      </c>
      <c r="AF165"/>
      <c r="AG165"/>
      <c r="AH165" s="235" t="s">
        <v>1973</v>
      </c>
      <c r="AI165" s="343" t="s">
        <v>2803</v>
      </c>
    </row>
    <row r="166" spans="1:35" ht="16.05" customHeight="1">
      <c r="A166" s="4" t="s">
        <v>937</v>
      </c>
      <c r="B166" s="151">
        <v>6.5</v>
      </c>
      <c r="C166" s="2"/>
      <c r="D166" s="4" t="s">
        <v>903</v>
      </c>
      <c r="E166" s="151"/>
      <c r="F166" s="2"/>
      <c r="G166" s="11" t="s">
        <v>946</v>
      </c>
      <c r="H166" s="150"/>
      <c r="I166" s="17"/>
      <c r="J166" s="11" t="s">
        <v>959</v>
      </c>
      <c r="K166" s="150">
        <v>10.5</v>
      </c>
      <c r="L166" s="2"/>
      <c r="M166" s="4" t="s">
        <v>916</v>
      </c>
      <c r="N166" s="151">
        <v>8.5</v>
      </c>
      <c r="O166" s="17"/>
      <c r="R166" s="244">
        <v>164</v>
      </c>
      <c r="S166" s="235" t="s">
        <v>327</v>
      </c>
      <c r="T166" s="236" t="s">
        <v>942</v>
      </c>
      <c r="U166" s="236">
        <v>7.88</v>
      </c>
      <c r="V166" s="323">
        <v>7.74</v>
      </c>
      <c r="W166" s="236">
        <v>7.75</v>
      </c>
      <c r="X166" s="236">
        <v>0.86</v>
      </c>
      <c r="Y166" s="236">
        <v>0</v>
      </c>
      <c r="Z166" s="236">
        <v>8</v>
      </c>
      <c r="AA166" s="236">
        <v>0</v>
      </c>
      <c r="AB166" s="235" t="s">
        <v>943</v>
      </c>
      <c r="AC166" s="236">
        <v>2011</v>
      </c>
      <c r="AD166" s="236" t="s">
        <v>1934</v>
      </c>
      <c r="AE166" s="237" t="s">
        <v>2166</v>
      </c>
      <c r="AF166"/>
      <c r="AG166"/>
      <c r="AH166" s="232" t="s">
        <v>1974</v>
      </c>
      <c r="AI166" s="344" t="s">
        <v>2910</v>
      </c>
    </row>
    <row r="167" spans="1:35" ht="16.05" customHeight="1">
      <c r="A167" s="4" t="s">
        <v>938</v>
      </c>
      <c r="B167" s="151">
        <v>9</v>
      </c>
      <c r="C167" s="2"/>
      <c r="D167" s="4" t="s">
        <v>904</v>
      </c>
      <c r="E167" s="151">
        <v>10.5</v>
      </c>
      <c r="F167" s="2"/>
      <c r="G167" s="4" t="s">
        <v>947</v>
      </c>
      <c r="H167" s="151">
        <v>10</v>
      </c>
      <c r="I167" s="17"/>
      <c r="J167" s="4" t="s">
        <v>960</v>
      </c>
      <c r="K167" s="151">
        <v>10</v>
      </c>
      <c r="L167" s="2"/>
      <c r="M167" s="4" t="s">
        <v>917</v>
      </c>
      <c r="N167" s="151">
        <v>9.5</v>
      </c>
      <c r="O167" s="17"/>
      <c r="R167" s="244">
        <v>165</v>
      </c>
      <c r="S167" s="232" t="s">
        <v>647</v>
      </c>
      <c r="T167" s="233" t="s">
        <v>648</v>
      </c>
      <c r="U167" s="233">
        <v>7.72</v>
      </c>
      <c r="V167" s="277">
        <v>7.7</v>
      </c>
      <c r="W167" s="233">
        <v>8</v>
      </c>
      <c r="X167" s="233">
        <v>0.57999999999999996</v>
      </c>
      <c r="Y167" s="233">
        <v>0</v>
      </c>
      <c r="Z167" s="233">
        <v>18</v>
      </c>
      <c r="AA167" s="233">
        <v>0</v>
      </c>
      <c r="AB167" s="232" t="s">
        <v>780</v>
      </c>
      <c r="AC167" s="233">
        <v>2026</v>
      </c>
      <c r="AD167" s="233" t="s">
        <v>1922</v>
      </c>
      <c r="AE167" s="234" t="s">
        <v>2179</v>
      </c>
      <c r="AF167"/>
      <c r="AG167"/>
      <c r="AH167" s="235" t="s">
        <v>1975</v>
      </c>
      <c r="AI167" s="343" t="s">
        <v>2844</v>
      </c>
    </row>
    <row r="168" spans="1:35" ht="16.05" customHeight="1">
      <c r="A168" s="4" t="s">
        <v>939</v>
      </c>
      <c r="B168" s="151">
        <v>8.5</v>
      </c>
      <c r="C168" s="2"/>
      <c r="D168" s="4" t="s">
        <v>905</v>
      </c>
      <c r="E168" s="151">
        <v>8</v>
      </c>
      <c r="F168" s="2"/>
      <c r="G168" s="4" t="s">
        <v>948</v>
      </c>
      <c r="H168" s="151">
        <v>8.5</v>
      </c>
      <c r="I168" s="17"/>
      <c r="J168" s="4" t="s">
        <v>961</v>
      </c>
      <c r="K168" s="151">
        <v>8.5</v>
      </c>
      <c r="L168" s="2"/>
      <c r="M168" s="4" t="s">
        <v>918</v>
      </c>
      <c r="N168" s="151">
        <v>8</v>
      </c>
      <c r="O168" s="17"/>
      <c r="R168" s="244">
        <v>166</v>
      </c>
      <c r="S168" s="235" t="s">
        <v>495</v>
      </c>
      <c r="T168" s="236" t="s">
        <v>496</v>
      </c>
      <c r="U168" s="236">
        <v>7.67</v>
      </c>
      <c r="V168" s="270">
        <v>7.66</v>
      </c>
      <c r="W168" s="236">
        <v>8</v>
      </c>
      <c r="X168" s="236">
        <v>0.59</v>
      </c>
      <c r="Y168" s="236">
        <v>0</v>
      </c>
      <c r="Z168" s="236">
        <v>12</v>
      </c>
      <c r="AA168" s="236">
        <v>0</v>
      </c>
      <c r="AB168" s="235" t="s">
        <v>766</v>
      </c>
      <c r="AC168" s="236">
        <v>2021</v>
      </c>
      <c r="AD168" s="236" t="s">
        <v>1937</v>
      </c>
      <c r="AE168" s="237" t="s">
        <v>2184</v>
      </c>
      <c r="AF168"/>
      <c r="AG168"/>
      <c r="AH168" s="232" t="s">
        <v>1976</v>
      </c>
      <c r="AI168" s="344" t="s">
        <v>2696</v>
      </c>
    </row>
    <row r="169" spans="1:35" ht="16.05" customHeight="1">
      <c r="A169" s="4" t="s">
        <v>940</v>
      </c>
      <c r="B169" s="151">
        <v>7.5</v>
      </c>
      <c r="C169" s="2"/>
      <c r="D169" s="4" t="s">
        <v>906</v>
      </c>
      <c r="E169" s="151">
        <v>8</v>
      </c>
      <c r="F169" s="2"/>
      <c r="G169" s="4" t="s">
        <v>949</v>
      </c>
      <c r="H169" s="151">
        <v>8.5</v>
      </c>
      <c r="I169" s="17"/>
      <c r="J169" s="4" t="s">
        <v>962</v>
      </c>
      <c r="K169" s="151">
        <v>8</v>
      </c>
      <c r="L169" s="2"/>
      <c r="M169" s="4" t="s">
        <v>919</v>
      </c>
      <c r="N169" s="151">
        <v>9</v>
      </c>
      <c r="O169" s="17"/>
      <c r="R169" s="244">
        <v>167</v>
      </c>
      <c r="S169" s="232" t="s">
        <v>338</v>
      </c>
      <c r="T169" s="233" t="s">
        <v>338</v>
      </c>
      <c r="U169" s="233">
        <v>7.77</v>
      </c>
      <c r="V169" s="304">
        <v>7.64</v>
      </c>
      <c r="W169" s="233">
        <v>7.5</v>
      </c>
      <c r="X169" s="233">
        <v>0.62</v>
      </c>
      <c r="Y169" s="233">
        <v>0</v>
      </c>
      <c r="Z169" s="233">
        <v>11</v>
      </c>
      <c r="AA169" s="233">
        <v>0</v>
      </c>
      <c r="AB169" s="232" t="s">
        <v>775</v>
      </c>
      <c r="AC169" s="233">
        <v>2026</v>
      </c>
      <c r="AD169" s="233" t="s">
        <v>1908</v>
      </c>
      <c r="AE169" s="234" t="s">
        <v>2186</v>
      </c>
      <c r="AF169"/>
      <c r="AG169"/>
      <c r="AH169"/>
      <c r="AI169"/>
    </row>
    <row r="170" spans="1:35" ht="16.05" customHeight="1" thickBot="1">
      <c r="A170" s="7" t="s">
        <v>941</v>
      </c>
      <c r="B170" s="152">
        <v>8</v>
      </c>
      <c r="C170" s="2"/>
      <c r="D170" s="7" t="s">
        <v>907</v>
      </c>
      <c r="E170" s="152">
        <v>9</v>
      </c>
      <c r="F170" s="2"/>
      <c r="G170" s="4" t="s">
        <v>950</v>
      </c>
      <c r="H170" s="151">
        <v>9.5</v>
      </c>
      <c r="I170" s="17"/>
      <c r="J170" s="4" t="s">
        <v>963</v>
      </c>
      <c r="K170" s="151">
        <v>8.5</v>
      </c>
      <c r="L170" s="2"/>
      <c r="M170" s="4" t="s">
        <v>920</v>
      </c>
      <c r="N170" s="151">
        <v>8</v>
      </c>
      <c r="O170" s="17"/>
      <c r="R170" s="244">
        <v>168</v>
      </c>
      <c r="S170" s="235" t="s">
        <v>1194</v>
      </c>
      <c r="T170" s="236" t="s">
        <v>1195</v>
      </c>
      <c r="U170" s="236">
        <v>7.71</v>
      </c>
      <c r="V170" s="273">
        <v>7.61</v>
      </c>
      <c r="W170" s="236">
        <v>7.5</v>
      </c>
      <c r="X170" s="236">
        <v>0.45</v>
      </c>
      <c r="Y170" s="236">
        <v>0</v>
      </c>
      <c r="Z170" s="236">
        <v>8</v>
      </c>
      <c r="AA170" s="236">
        <v>1</v>
      </c>
      <c r="AB170" s="235" t="s">
        <v>1197</v>
      </c>
      <c r="AC170" s="236">
        <v>2020</v>
      </c>
      <c r="AD170" s="236" t="s">
        <v>1942</v>
      </c>
      <c r="AE170" s="237" t="s">
        <v>2158</v>
      </c>
      <c r="AF170"/>
      <c r="AG170"/>
      <c r="AH170" s="342" t="s">
        <v>1977</v>
      </c>
      <c r="AI170" s="342"/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1">
        <v>8</v>
      </c>
      <c r="I171" s="17"/>
      <c r="J171" s="4" t="s">
        <v>964</v>
      </c>
      <c r="K171" s="151">
        <v>8</v>
      </c>
      <c r="L171" s="2"/>
      <c r="M171" s="4" t="s">
        <v>921</v>
      </c>
      <c r="N171" s="151">
        <v>8</v>
      </c>
      <c r="O171" s="17"/>
      <c r="R171" s="244">
        <v>169</v>
      </c>
      <c r="S171" s="232" t="s">
        <v>327</v>
      </c>
      <c r="T171" s="233" t="s">
        <v>981</v>
      </c>
      <c r="U171" s="233">
        <v>7.5</v>
      </c>
      <c r="V171" s="324">
        <v>7.4</v>
      </c>
      <c r="W171" s="233">
        <v>7.5</v>
      </c>
      <c r="X171" s="233">
        <v>0.76</v>
      </c>
      <c r="Y171" s="233">
        <v>0</v>
      </c>
      <c r="Z171" s="233">
        <v>12</v>
      </c>
      <c r="AA171" s="233">
        <v>0</v>
      </c>
      <c r="AB171" s="232" t="s">
        <v>773</v>
      </c>
      <c r="AC171" s="233">
        <v>1993</v>
      </c>
      <c r="AD171" s="233" t="s">
        <v>1900</v>
      </c>
      <c r="AE171" s="234" t="s">
        <v>2164</v>
      </c>
      <c r="AF171"/>
      <c r="AG171"/>
      <c r="AH171" s="235" t="s">
        <v>1978</v>
      </c>
      <c r="AI171" s="343" t="s">
        <v>2943</v>
      </c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1">
        <v>8.5</v>
      </c>
      <c r="I172" s="17"/>
      <c r="J172" s="4" t="s">
        <v>965</v>
      </c>
      <c r="K172" s="151">
        <v>9</v>
      </c>
      <c r="L172" s="2"/>
      <c r="M172" s="4" t="s">
        <v>922</v>
      </c>
      <c r="N172" s="151">
        <v>7.5</v>
      </c>
      <c r="O172" s="17"/>
      <c r="R172" s="244">
        <v>170</v>
      </c>
      <c r="S172" s="235" t="s">
        <v>816</v>
      </c>
      <c r="T172" s="236" t="s">
        <v>1884</v>
      </c>
      <c r="U172" s="236">
        <v>7.31</v>
      </c>
      <c r="V172" s="294">
        <v>7.2</v>
      </c>
      <c r="W172" s="236">
        <v>7.25</v>
      </c>
      <c r="X172" s="236">
        <v>0.73</v>
      </c>
      <c r="Y172" s="236">
        <v>0</v>
      </c>
      <c r="Z172" s="236">
        <v>18</v>
      </c>
      <c r="AA172" s="236">
        <v>0</v>
      </c>
      <c r="AB172" s="235" t="s">
        <v>1119</v>
      </c>
      <c r="AC172" s="236">
        <v>2026</v>
      </c>
      <c r="AD172" s="236" t="s">
        <v>1900</v>
      </c>
      <c r="AE172" s="237" t="s">
        <v>2131</v>
      </c>
      <c r="AF172"/>
      <c r="AG172"/>
      <c r="AH172" s="232" t="s">
        <v>1979</v>
      </c>
      <c r="AI172" s="344" t="s">
        <v>1907</v>
      </c>
    </row>
    <row r="173" spans="1:35" ht="16.05" customHeight="1" thickBot="1">
      <c r="A173" s="11" t="s">
        <v>983</v>
      </c>
      <c r="B173" s="150">
        <v>9</v>
      </c>
      <c r="C173" s="34"/>
      <c r="D173" s="95" t="s">
        <v>969</v>
      </c>
      <c r="E173" s="150">
        <v>8</v>
      </c>
      <c r="F173" s="2"/>
      <c r="G173" s="4" t="s">
        <v>953</v>
      </c>
      <c r="H173" s="151">
        <v>9</v>
      </c>
      <c r="I173" s="17"/>
      <c r="J173" s="7" t="s">
        <v>966</v>
      </c>
      <c r="K173" s="152">
        <v>9.5</v>
      </c>
      <c r="L173" s="2"/>
      <c r="M173" s="4" t="s">
        <v>923</v>
      </c>
      <c r="N173" s="151">
        <v>8.5</v>
      </c>
      <c r="O173" s="17"/>
      <c r="R173" s="244">
        <v>171</v>
      </c>
      <c r="S173" s="232" t="s">
        <v>417</v>
      </c>
      <c r="T173" s="233" t="s">
        <v>418</v>
      </c>
      <c r="U173" s="233">
        <v>7.29</v>
      </c>
      <c r="V173" s="288">
        <v>7.16</v>
      </c>
      <c r="W173" s="233">
        <v>7</v>
      </c>
      <c r="X173" s="233">
        <v>0.52</v>
      </c>
      <c r="Y173" s="233">
        <v>0</v>
      </c>
      <c r="Z173" s="233">
        <v>7</v>
      </c>
      <c r="AA173" s="233">
        <v>0</v>
      </c>
      <c r="AB173" s="232" t="s">
        <v>781</v>
      </c>
      <c r="AC173" s="233">
        <v>2021</v>
      </c>
      <c r="AD173" s="233" t="s">
        <v>1943</v>
      </c>
      <c r="AE173" s="234" t="s">
        <v>2187</v>
      </c>
      <c r="AF173"/>
      <c r="AG173"/>
      <c r="AH173" s="235" t="s">
        <v>1980</v>
      </c>
      <c r="AI173" s="343" t="s">
        <v>2107</v>
      </c>
    </row>
    <row r="174" spans="1:35" ht="16.05" customHeight="1" thickBot="1">
      <c r="A174" s="4" t="s">
        <v>984</v>
      </c>
      <c r="B174" s="151">
        <v>10</v>
      </c>
      <c r="C174" s="2"/>
      <c r="D174" s="4" t="s">
        <v>970</v>
      </c>
      <c r="E174" s="151">
        <v>9</v>
      </c>
      <c r="F174" s="2"/>
      <c r="G174" s="4" t="s">
        <v>954</v>
      </c>
      <c r="H174" s="151">
        <v>8.5</v>
      </c>
      <c r="I174" s="2"/>
      <c r="J174" s="14"/>
      <c r="K174" s="14"/>
      <c r="L174" s="2"/>
      <c r="M174" s="4" t="s">
        <v>924</v>
      </c>
      <c r="N174" s="151">
        <v>8.5</v>
      </c>
      <c r="O174" s="17"/>
      <c r="R174" s="244">
        <v>172</v>
      </c>
      <c r="S174" s="235" t="s">
        <v>2499</v>
      </c>
      <c r="T174" s="236" t="s">
        <v>2500</v>
      </c>
      <c r="U174" s="236">
        <v>7.17</v>
      </c>
      <c r="V174" s="249">
        <v>7.04</v>
      </c>
      <c r="W174" s="236">
        <v>7</v>
      </c>
      <c r="X174" s="236">
        <v>0.72</v>
      </c>
      <c r="Y174" s="236">
        <v>0</v>
      </c>
      <c r="Z174" s="236">
        <v>12</v>
      </c>
      <c r="AA174" s="236">
        <v>0</v>
      </c>
      <c r="AB174" s="235" t="s">
        <v>2504</v>
      </c>
      <c r="AC174" s="236">
        <v>2013</v>
      </c>
      <c r="AD174" s="236" t="s">
        <v>1905</v>
      </c>
      <c r="AE174" s="237" t="s">
        <v>2503</v>
      </c>
      <c r="AF174"/>
      <c r="AG174"/>
      <c r="AH174" s="232" t="s">
        <v>1981</v>
      </c>
      <c r="AI174" s="344" t="s">
        <v>1982</v>
      </c>
    </row>
    <row r="175" spans="1:35" ht="16.05" customHeight="1" thickBot="1">
      <c r="A175" s="4" t="s">
        <v>985</v>
      </c>
      <c r="B175" s="151">
        <v>9</v>
      </c>
      <c r="C175" s="2"/>
      <c r="D175" s="4" t="s">
        <v>971</v>
      </c>
      <c r="E175" s="151">
        <v>7.5</v>
      </c>
      <c r="F175" s="2"/>
      <c r="G175" s="7" t="s">
        <v>955</v>
      </c>
      <c r="H175" s="152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1">
        <v>9</v>
      </c>
      <c r="O175" s="17"/>
      <c r="R175" s="244">
        <v>173</v>
      </c>
      <c r="S175" s="232" t="s">
        <v>668</v>
      </c>
      <c r="T175" s="233" t="s">
        <v>669</v>
      </c>
      <c r="U175" s="233">
        <v>7.06</v>
      </c>
      <c r="V175" s="290">
        <v>6.99</v>
      </c>
      <c r="W175" s="233">
        <v>7</v>
      </c>
      <c r="X175" s="233">
        <v>0.44</v>
      </c>
      <c r="Y175" s="233">
        <v>0</v>
      </c>
      <c r="Z175" s="233">
        <v>10</v>
      </c>
      <c r="AA175" s="233">
        <v>1</v>
      </c>
      <c r="AB175" s="232" t="s">
        <v>774</v>
      </c>
      <c r="AC175" s="233">
        <v>2026</v>
      </c>
      <c r="AD175" s="233" t="s">
        <v>1944</v>
      </c>
      <c r="AE175" s="234" t="s">
        <v>2178</v>
      </c>
      <c r="AF175"/>
      <c r="AG175"/>
      <c r="AH175"/>
      <c r="AI175"/>
    </row>
    <row r="176" spans="1:35" ht="16.05" customHeight="1" thickBot="1">
      <c r="A176" s="4" t="s">
        <v>986</v>
      </c>
      <c r="B176" s="151">
        <v>9.5</v>
      </c>
      <c r="C176" s="2"/>
      <c r="D176" s="4" t="s">
        <v>972</v>
      </c>
      <c r="E176" s="151">
        <v>8.5</v>
      </c>
      <c r="F176" s="2"/>
      <c r="G176" s="16"/>
      <c r="H176" s="16"/>
      <c r="I176" s="2"/>
      <c r="J176" s="11" t="s">
        <v>1005</v>
      </c>
      <c r="K176" s="150">
        <v>9</v>
      </c>
      <c r="L176" s="2"/>
      <c r="M176" s="4" t="s">
        <v>926</v>
      </c>
      <c r="N176" s="151">
        <v>7.5</v>
      </c>
      <c r="O176" s="17"/>
      <c r="R176" s="244">
        <v>174</v>
      </c>
      <c r="S176" s="235" t="s">
        <v>335</v>
      </c>
      <c r="T176" s="236" t="s">
        <v>1789</v>
      </c>
      <c r="U176" s="236">
        <v>3.68</v>
      </c>
      <c r="V176" s="250">
        <v>3.37</v>
      </c>
      <c r="W176" s="236">
        <v>3</v>
      </c>
      <c r="X176" s="236">
        <v>1.37</v>
      </c>
      <c r="Y176" s="236">
        <v>0</v>
      </c>
      <c r="Z176" s="236">
        <v>11</v>
      </c>
      <c r="AA176" s="236">
        <v>0</v>
      </c>
      <c r="AB176" s="235" t="s">
        <v>772</v>
      </c>
      <c r="AC176" s="236">
        <v>2003</v>
      </c>
      <c r="AD176" s="236" t="s">
        <v>1901</v>
      </c>
      <c r="AE176" s="237" t="s">
        <v>2135</v>
      </c>
      <c r="AF176"/>
      <c r="AG176"/>
      <c r="AH176" s="342" t="s">
        <v>1983</v>
      </c>
      <c r="AI176" s="342"/>
    </row>
    <row r="177" spans="1:35" ht="16.05" customHeight="1" thickBot="1">
      <c r="A177" s="4" t="s">
        <v>987</v>
      </c>
      <c r="B177" s="151">
        <v>10.5</v>
      </c>
      <c r="C177" s="2"/>
      <c r="D177" s="4" t="s">
        <v>973</v>
      </c>
      <c r="E177" s="151">
        <v>7.5</v>
      </c>
      <c r="F177" s="17"/>
      <c r="G177" s="155" t="s">
        <v>1254</v>
      </c>
      <c r="H177" s="12">
        <f>ROUND(SUM(H178:H189)/COUNT(H178:H189), 2)</f>
        <v>8.5500000000000007</v>
      </c>
      <c r="I177" s="2"/>
      <c r="J177" s="4" t="s">
        <v>1006</v>
      </c>
      <c r="K177" s="151">
        <v>10</v>
      </c>
      <c r="L177" s="2"/>
      <c r="M177" s="4" t="s">
        <v>927</v>
      </c>
      <c r="N177" s="151">
        <v>7</v>
      </c>
      <c r="O177" s="17"/>
      <c r="R177" s="244">
        <v>175</v>
      </c>
      <c r="S177" s="232" t="s">
        <v>2627</v>
      </c>
      <c r="T177" s="233" t="s">
        <v>2628</v>
      </c>
      <c r="U177" s="233">
        <v>2.5</v>
      </c>
      <c r="V177" s="250">
        <v>2.39</v>
      </c>
      <c r="W177" s="233">
        <v>2.75</v>
      </c>
      <c r="X177" s="233">
        <v>1.3</v>
      </c>
      <c r="Y177" s="233">
        <v>0</v>
      </c>
      <c r="Z177" s="233">
        <v>10</v>
      </c>
      <c r="AA177" s="233">
        <v>0</v>
      </c>
      <c r="AB177" s="232" t="s">
        <v>1100</v>
      </c>
      <c r="AC177" s="233">
        <v>2025</v>
      </c>
      <c r="AD177" s="233" t="s">
        <v>2634</v>
      </c>
      <c r="AE177" s="234" t="s">
        <v>2633</v>
      </c>
      <c r="AF177"/>
      <c r="AG177"/>
      <c r="AH177" s="235" t="s">
        <v>1984</v>
      </c>
      <c r="AI177" s="343"/>
    </row>
    <row r="178" spans="1:35" ht="16.05" customHeight="1">
      <c r="A178" s="4" t="s">
        <v>988</v>
      </c>
      <c r="B178" s="151">
        <v>8</v>
      </c>
      <c r="C178" s="2"/>
      <c r="D178" s="4" t="s">
        <v>974</v>
      </c>
      <c r="E178" s="151">
        <v>7.5</v>
      </c>
      <c r="F178" s="2"/>
      <c r="G178" s="11" t="s">
        <v>1010</v>
      </c>
      <c r="H178" s="150"/>
      <c r="I178" s="2"/>
      <c r="J178" s="4" t="s">
        <v>1007</v>
      </c>
      <c r="K178" s="151">
        <v>9</v>
      </c>
      <c r="L178" s="2"/>
      <c r="M178" s="4" t="s">
        <v>928</v>
      </c>
      <c r="N178" s="151">
        <v>7.5</v>
      </c>
      <c r="O178" s="17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 s="232" t="s">
        <v>1035</v>
      </c>
      <c r="AI178" s="344" t="s">
        <v>2944</v>
      </c>
    </row>
    <row r="179" spans="1:35" ht="16.05" customHeight="1">
      <c r="A179" s="4" t="s">
        <v>989</v>
      </c>
      <c r="B179" s="151">
        <v>7.5</v>
      </c>
      <c r="C179" s="2"/>
      <c r="D179" s="4" t="s">
        <v>975</v>
      </c>
      <c r="E179" s="151">
        <v>6.5</v>
      </c>
      <c r="F179" s="2"/>
      <c r="G179" s="4" t="s">
        <v>1011</v>
      </c>
      <c r="H179" s="151">
        <v>8.5</v>
      </c>
      <c r="I179" s="2"/>
      <c r="J179" s="4" t="s">
        <v>1008</v>
      </c>
      <c r="K179" s="151">
        <v>8</v>
      </c>
      <c r="L179" s="2"/>
      <c r="M179" s="4" t="s">
        <v>929</v>
      </c>
      <c r="N179" s="151">
        <v>7.5</v>
      </c>
      <c r="O179" s="17"/>
      <c r="R179" s="368" t="s">
        <v>1336</v>
      </c>
      <c r="S179" s="368"/>
      <c r="T179" s="368"/>
      <c r="U179" s="368"/>
      <c r="V179" s="368"/>
      <c r="W179" s="368"/>
      <c r="X179" s="368"/>
      <c r="Y179" s="368"/>
      <c r="Z179" s="368"/>
      <c r="AA179" s="368"/>
      <c r="AB179" s="368"/>
      <c r="AC179" s="368"/>
      <c r="AD179" s="368"/>
      <c r="AE179" s="368"/>
      <c r="AF179"/>
      <c r="AG179"/>
      <c r="AH179" s="235" t="s">
        <v>1985</v>
      </c>
      <c r="AI179" s="343" t="s">
        <v>2846</v>
      </c>
    </row>
    <row r="180" spans="1:35" ht="16.05" customHeight="1" thickBot="1">
      <c r="A180" s="4" t="s">
        <v>990</v>
      </c>
      <c r="B180" s="151">
        <v>9</v>
      </c>
      <c r="C180" s="2"/>
      <c r="D180" s="4" t="s">
        <v>976</v>
      </c>
      <c r="E180" s="151">
        <v>7.5</v>
      </c>
      <c r="F180" s="2"/>
      <c r="G180" s="4" t="s">
        <v>1012</v>
      </c>
      <c r="H180" s="151">
        <v>9</v>
      </c>
      <c r="I180" s="2"/>
      <c r="J180" s="7" t="s">
        <v>1009</v>
      </c>
      <c r="K180" s="152">
        <v>10.5</v>
      </c>
      <c r="L180" s="2"/>
      <c r="M180" s="7" t="s">
        <v>930</v>
      </c>
      <c r="N180" s="152">
        <v>10.5</v>
      </c>
      <c r="O180" s="17"/>
      <c r="R180" s="231" t="s">
        <v>352</v>
      </c>
      <c r="S180" s="231" t="s">
        <v>319</v>
      </c>
      <c r="T180" s="231" t="s">
        <v>515</v>
      </c>
      <c r="U180" s="231" t="s">
        <v>321</v>
      </c>
      <c r="V180" s="231" t="s">
        <v>2011</v>
      </c>
      <c r="W180" s="231" t="s">
        <v>513</v>
      </c>
      <c r="X180" s="231" t="s">
        <v>322</v>
      </c>
      <c r="Y180" s="231" t="s">
        <v>323</v>
      </c>
      <c r="Z180" s="231" t="s">
        <v>324</v>
      </c>
      <c r="AA180" s="231" t="s">
        <v>325</v>
      </c>
      <c r="AB180" s="231" t="s">
        <v>910</v>
      </c>
      <c r="AC180" s="231" t="s">
        <v>1945</v>
      </c>
      <c r="AD180" s="231" t="s">
        <v>1946</v>
      </c>
      <c r="AE180" s="231" t="s">
        <v>2122</v>
      </c>
      <c r="AF180"/>
      <c r="AG180"/>
      <c r="AH180" s="232" t="s">
        <v>1038</v>
      </c>
      <c r="AI180" s="344" t="s">
        <v>2945</v>
      </c>
    </row>
    <row r="181" spans="1:35" ht="16.05" customHeight="1" thickBot="1">
      <c r="A181" s="4" t="s">
        <v>991</v>
      </c>
      <c r="B181" s="151">
        <v>8</v>
      </c>
      <c r="C181" s="2"/>
      <c r="D181" s="4" t="s">
        <v>977</v>
      </c>
      <c r="E181" s="151">
        <v>7</v>
      </c>
      <c r="F181" s="2"/>
      <c r="G181" s="4" t="s">
        <v>1013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38">
        <v>1</v>
      </c>
      <c r="S181" s="232" t="s">
        <v>332</v>
      </c>
      <c r="T181" s="233">
        <v>4</v>
      </c>
      <c r="U181" s="233">
        <v>9.48</v>
      </c>
      <c r="V181" s="335">
        <v>9.73</v>
      </c>
      <c r="W181" s="233">
        <v>9.56</v>
      </c>
      <c r="X181" s="233">
        <v>0.76</v>
      </c>
      <c r="Y181" s="233">
        <v>13</v>
      </c>
      <c r="Z181" s="233">
        <v>26</v>
      </c>
      <c r="AA181" s="233">
        <v>1</v>
      </c>
      <c r="AB181" s="232" t="s">
        <v>1030</v>
      </c>
      <c r="AC181" s="233" t="s">
        <v>1947</v>
      </c>
      <c r="AD181" s="233" t="s">
        <v>1936</v>
      </c>
      <c r="AE181" s="234" t="s">
        <v>2194</v>
      </c>
      <c r="AF181"/>
      <c r="AG181"/>
      <c r="AH181" s="235" t="s">
        <v>1044</v>
      </c>
      <c r="AI181" s="343" t="s">
        <v>2946</v>
      </c>
    </row>
    <row r="182" spans="1:35" ht="16.05" customHeight="1" thickBot="1">
      <c r="A182" s="4" t="s">
        <v>992</v>
      </c>
      <c r="B182" s="151">
        <v>8</v>
      </c>
      <c r="C182" s="2"/>
      <c r="D182" s="4" t="s">
        <v>978</v>
      </c>
      <c r="E182" s="151">
        <v>6.5</v>
      </c>
      <c r="F182" s="2"/>
      <c r="G182" s="4" t="s">
        <v>1014</v>
      </c>
      <c r="H182" s="151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40">
        <v>2</v>
      </c>
      <c r="S182" s="235" t="s">
        <v>326</v>
      </c>
      <c r="T182" s="236">
        <v>6</v>
      </c>
      <c r="U182" s="236">
        <v>9.35</v>
      </c>
      <c r="V182" s="363">
        <v>9.64</v>
      </c>
      <c r="W182" s="236">
        <v>9.6300000000000008</v>
      </c>
      <c r="X182" s="236">
        <v>0.92</v>
      </c>
      <c r="Y182" s="236">
        <v>25</v>
      </c>
      <c r="Z182" s="236">
        <v>66</v>
      </c>
      <c r="AA182" s="236">
        <v>16</v>
      </c>
      <c r="AB182" s="235" t="s">
        <v>2437</v>
      </c>
      <c r="AC182" s="236" t="s">
        <v>1948</v>
      </c>
      <c r="AD182" s="236" t="s">
        <v>1898</v>
      </c>
      <c r="AE182" s="237" t="s">
        <v>2194</v>
      </c>
      <c r="AF182"/>
      <c r="AG182"/>
      <c r="AH182" s="232" t="s">
        <v>323</v>
      </c>
      <c r="AI182" s="344" t="s">
        <v>2865</v>
      </c>
    </row>
    <row r="183" spans="1:35" ht="16.05" customHeight="1" thickBot="1">
      <c r="A183" s="7" t="s">
        <v>993</v>
      </c>
      <c r="B183" s="152">
        <v>7.5</v>
      </c>
      <c r="C183" s="2"/>
      <c r="D183" s="4" t="s">
        <v>979</v>
      </c>
      <c r="E183" s="151">
        <v>6.5</v>
      </c>
      <c r="F183" s="2"/>
      <c r="G183" s="4" t="s">
        <v>1015</v>
      </c>
      <c r="H183" s="151">
        <v>8</v>
      </c>
      <c r="I183" s="17"/>
      <c r="J183" s="11" t="s">
        <v>1024</v>
      </c>
      <c r="K183" s="150">
        <v>10.5</v>
      </c>
      <c r="L183" s="2"/>
      <c r="M183" s="156" t="s">
        <v>994</v>
      </c>
      <c r="N183" s="157">
        <v>10.5</v>
      </c>
      <c r="O183" s="17"/>
      <c r="R183" s="242">
        <v>3</v>
      </c>
      <c r="S183" s="232" t="s">
        <v>2689</v>
      </c>
      <c r="T183" s="233">
        <v>2</v>
      </c>
      <c r="U183" s="233">
        <v>9.36</v>
      </c>
      <c r="V183" s="300">
        <v>9.5299999999999994</v>
      </c>
      <c r="W183" s="233">
        <v>9.5</v>
      </c>
      <c r="X183" s="233">
        <v>0.45</v>
      </c>
      <c r="Y183" s="233">
        <v>2</v>
      </c>
      <c r="Z183" s="233">
        <v>7</v>
      </c>
      <c r="AA183" s="233">
        <v>0</v>
      </c>
      <c r="AB183" s="232" t="s">
        <v>1098</v>
      </c>
      <c r="AC183" s="233" t="s">
        <v>2707</v>
      </c>
      <c r="AD183" s="233" t="s">
        <v>1901</v>
      </c>
      <c r="AE183" s="234" t="s">
        <v>2194</v>
      </c>
      <c r="AF183"/>
      <c r="AG183"/>
      <c r="AH183" s="235" t="s">
        <v>1986</v>
      </c>
      <c r="AI183" s="343" t="s">
        <v>2845</v>
      </c>
    </row>
    <row r="184" spans="1:35" ht="16.05" customHeight="1" thickBot="1">
      <c r="A184" s="16"/>
      <c r="B184" s="16"/>
      <c r="C184" s="2"/>
      <c r="D184" s="7" t="s">
        <v>980</v>
      </c>
      <c r="E184" s="152">
        <v>8</v>
      </c>
      <c r="F184" s="2"/>
      <c r="G184" s="4" t="s">
        <v>1016</v>
      </c>
      <c r="H184" s="151">
        <v>7.5</v>
      </c>
      <c r="I184" s="17"/>
      <c r="J184" s="4" t="s">
        <v>1025</v>
      </c>
      <c r="K184" s="151">
        <v>9</v>
      </c>
      <c r="L184" s="2"/>
      <c r="M184" s="16"/>
      <c r="N184" s="16"/>
      <c r="O184" s="17"/>
      <c r="R184" s="244">
        <v>4</v>
      </c>
      <c r="S184" s="235" t="s">
        <v>331</v>
      </c>
      <c r="T184" s="236">
        <v>4</v>
      </c>
      <c r="U184" s="236">
        <v>9.06</v>
      </c>
      <c r="V184" s="338">
        <v>9.0500000000000007</v>
      </c>
      <c r="W184" s="236">
        <v>8.81</v>
      </c>
      <c r="X184" s="236">
        <v>0.7</v>
      </c>
      <c r="Y184" s="236">
        <v>5</v>
      </c>
      <c r="Z184" s="236">
        <v>23</v>
      </c>
      <c r="AA184" s="236">
        <v>0</v>
      </c>
      <c r="AB184" s="235" t="s">
        <v>2438</v>
      </c>
      <c r="AC184" s="236" t="s">
        <v>1949</v>
      </c>
      <c r="AD184" s="236" t="s">
        <v>1923</v>
      </c>
      <c r="AE184" s="237" t="s">
        <v>2194</v>
      </c>
      <c r="AF184"/>
      <c r="AG184"/>
      <c r="AH184" s="232" t="s">
        <v>1987</v>
      </c>
      <c r="AI184" s="344" t="s">
        <v>2911</v>
      </c>
    </row>
    <row r="185" spans="1:35" ht="16.05" customHeight="1" thickBot="1">
      <c r="A185" s="103" t="s">
        <v>1125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1">
        <v>8</v>
      </c>
      <c r="I185" s="17"/>
      <c r="J185" s="4" t="s">
        <v>1026</v>
      </c>
      <c r="K185" s="151">
        <v>10</v>
      </c>
      <c r="L185" s="17"/>
      <c r="M185" s="129" t="s">
        <v>1524</v>
      </c>
      <c r="N185" s="12">
        <f>ROUND(SUM(N186:N209)/COUNT(N186:N209), 2)</f>
        <v>8.7200000000000006</v>
      </c>
      <c r="O185" s="17"/>
      <c r="R185" s="244">
        <v>5</v>
      </c>
      <c r="S185" s="232" t="s">
        <v>330</v>
      </c>
      <c r="T185" s="233">
        <v>2</v>
      </c>
      <c r="U185" s="233">
        <v>8.99</v>
      </c>
      <c r="V185" s="312">
        <v>9.0399999999999991</v>
      </c>
      <c r="W185" s="233">
        <v>8.75</v>
      </c>
      <c r="X185" s="233">
        <v>0.9</v>
      </c>
      <c r="Y185" s="233">
        <v>5</v>
      </c>
      <c r="Z185" s="233">
        <v>18</v>
      </c>
      <c r="AA185" s="233">
        <v>0</v>
      </c>
      <c r="AB185" s="232" t="s">
        <v>2439</v>
      </c>
      <c r="AC185" s="233" t="s">
        <v>2109</v>
      </c>
      <c r="AD185" s="233" t="s">
        <v>1936</v>
      </c>
      <c r="AE185" s="234" t="s">
        <v>2194</v>
      </c>
      <c r="AF185"/>
      <c r="AG185"/>
      <c r="AH185"/>
      <c r="AI185"/>
    </row>
    <row r="186" spans="1:35" ht="16.05" customHeight="1" thickBot="1">
      <c r="A186" s="11" t="s">
        <v>1126</v>
      </c>
      <c r="B186" s="150">
        <v>9.5</v>
      </c>
      <c r="C186" s="34"/>
      <c r="D186" s="104" t="s">
        <v>1136</v>
      </c>
      <c r="E186" s="12">
        <f>ROUND(SUM(E187:E199)/COUNT(E187:E199), 2)</f>
        <v>8.4600000000000009</v>
      </c>
      <c r="F186" s="2"/>
      <c r="G186" s="4" t="s">
        <v>1018</v>
      </c>
      <c r="H186" s="151">
        <v>9.5</v>
      </c>
      <c r="I186" s="17"/>
      <c r="J186" s="4" t="s">
        <v>1027</v>
      </c>
      <c r="K186" s="151">
        <v>10.5</v>
      </c>
      <c r="L186" s="2"/>
      <c r="M186" s="11" t="s">
        <v>1153</v>
      </c>
      <c r="N186" s="150">
        <v>8</v>
      </c>
      <c r="O186" s="17"/>
      <c r="R186" s="244">
        <v>6</v>
      </c>
      <c r="S186" s="235" t="s">
        <v>480</v>
      </c>
      <c r="T186" s="236">
        <v>4</v>
      </c>
      <c r="U186" s="236">
        <v>8.91</v>
      </c>
      <c r="V186" s="318">
        <v>8.9700000000000006</v>
      </c>
      <c r="W186" s="236">
        <v>8.75</v>
      </c>
      <c r="X186" s="236">
        <v>0.81</v>
      </c>
      <c r="Y186" s="236">
        <v>7</v>
      </c>
      <c r="Z186" s="236">
        <v>37</v>
      </c>
      <c r="AA186" s="236">
        <v>0</v>
      </c>
      <c r="AB186" s="235" t="s">
        <v>2537</v>
      </c>
      <c r="AC186" s="236" t="s">
        <v>2538</v>
      </c>
      <c r="AD186" s="236" t="s">
        <v>1915</v>
      </c>
      <c r="AE186" s="237" t="s">
        <v>2194</v>
      </c>
      <c r="AF186"/>
      <c r="AG186"/>
      <c r="AH186" s="232" t="s">
        <v>1988</v>
      </c>
      <c r="AI186" s="344" t="s">
        <v>2866</v>
      </c>
    </row>
    <row r="187" spans="1:35" ht="16.05" customHeight="1" thickBot="1">
      <c r="A187" s="4" t="s">
        <v>1127</v>
      </c>
      <c r="B187" s="151">
        <v>9</v>
      </c>
      <c r="C187" s="2"/>
      <c r="D187" s="11" t="s">
        <v>1137</v>
      </c>
      <c r="E187" s="150">
        <v>9</v>
      </c>
      <c r="F187" s="2"/>
      <c r="G187" s="4" t="s">
        <v>1019</v>
      </c>
      <c r="H187" s="151">
        <v>10</v>
      </c>
      <c r="I187" s="17"/>
      <c r="J187" s="7" t="s">
        <v>1028</v>
      </c>
      <c r="K187" s="152">
        <v>10</v>
      </c>
      <c r="L187" s="2"/>
      <c r="M187" s="4" t="s">
        <v>1154</v>
      </c>
      <c r="N187" s="151">
        <v>8.5</v>
      </c>
      <c r="O187" s="17"/>
      <c r="R187" s="244">
        <v>7</v>
      </c>
      <c r="S187" s="232" t="s">
        <v>1177</v>
      </c>
      <c r="T187" s="233">
        <v>2</v>
      </c>
      <c r="U187" s="233">
        <v>8.7200000000000006</v>
      </c>
      <c r="V187" s="256">
        <v>8.9</v>
      </c>
      <c r="W187" s="233">
        <v>8.5</v>
      </c>
      <c r="X187" s="233">
        <v>0.94</v>
      </c>
      <c r="Y187" s="233">
        <v>10</v>
      </c>
      <c r="Z187" s="233">
        <v>54</v>
      </c>
      <c r="AA187" s="233">
        <v>2</v>
      </c>
      <c r="AB187" s="232" t="s">
        <v>1554</v>
      </c>
      <c r="AC187" s="233" t="s">
        <v>2104</v>
      </c>
      <c r="AD187" s="233" t="s">
        <v>2105</v>
      </c>
      <c r="AE187" s="234" t="s">
        <v>2194</v>
      </c>
      <c r="AF187"/>
      <c r="AG187"/>
      <c r="AH187" s="235" t="s">
        <v>1989</v>
      </c>
      <c r="AI187" s="343" t="s">
        <v>2947</v>
      </c>
    </row>
    <row r="188" spans="1:35" ht="16.05" customHeight="1" thickBot="1">
      <c r="A188" s="4" t="s">
        <v>1128</v>
      </c>
      <c r="B188" s="151">
        <v>10</v>
      </c>
      <c r="C188" s="2"/>
      <c r="D188" s="4" t="s">
        <v>1138</v>
      </c>
      <c r="E188" s="151">
        <v>8</v>
      </c>
      <c r="F188" s="2"/>
      <c r="G188" s="4" t="s">
        <v>1020</v>
      </c>
      <c r="H188" s="151">
        <v>8.5</v>
      </c>
      <c r="I188" s="2"/>
      <c r="J188" s="16"/>
      <c r="K188" s="16"/>
      <c r="L188" s="2"/>
      <c r="M188" s="4" t="s">
        <v>1155</v>
      </c>
      <c r="N188" s="151">
        <v>10</v>
      </c>
      <c r="O188" s="17"/>
      <c r="R188" s="244">
        <v>8</v>
      </c>
      <c r="S188" s="235" t="s">
        <v>341</v>
      </c>
      <c r="T188" s="236">
        <v>2</v>
      </c>
      <c r="U188" s="236">
        <v>8.83</v>
      </c>
      <c r="V188" s="263">
        <v>8.85</v>
      </c>
      <c r="W188" s="236">
        <v>8.5</v>
      </c>
      <c r="X188" s="236">
        <v>0.88</v>
      </c>
      <c r="Y188" s="236">
        <v>4</v>
      </c>
      <c r="Z188" s="236">
        <v>18</v>
      </c>
      <c r="AA188" s="236">
        <v>0</v>
      </c>
      <c r="AB188" s="235" t="s">
        <v>2694</v>
      </c>
      <c r="AC188" s="236" t="s">
        <v>1951</v>
      </c>
      <c r="AD188" s="236" t="s">
        <v>1917</v>
      </c>
      <c r="AE188" s="237" t="s">
        <v>2194</v>
      </c>
      <c r="AF188"/>
      <c r="AG188"/>
      <c r="AH188"/>
      <c r="AI188"/>
    </row>
    <row r="189" spans="1:35" ht="16.05" customHeight="1" thickBot="1">
      <c r="A189" s="4" t="s">
        <v>1129</v>
      </c>
      <c r="B189" s="151">
        <v>10.5</v>
      </c>
      <c r="C189" s="2"/>
      <c r="D189" s="4" t="s">
        <v>1139</v>
      </c>
      <c r="E189" s="151">
        <v>10</v>
      </c>
      <c r="F189" s="2"/>
      <c r="G189" s="7" t="s">
        <v>1021</v>
      </c>
      <c r="H189" s="152">
        <v>8.5</v>
      </c>
      <c r="I189" s="17"/>
      <c r="J189" s="108" t="s">
        <v>1185</v>
      </c>
      <c r="K189" s="12">
        <f>ROUND(SUM(K190:K197)/COUNT(K190:K197), 2)</f>
        <v>7.71</v>
      </c>
      <c r="L189" s="2"/>
      <c r="M189" s="4" t="s">
        <v>1156</v>
      </c>
      <c r="N189" s="151"/>
      <c r="O189" s="17"/>
      <c r="R189" s="244">
        <v>9</v>
      </c>
      <c r="S189" s="232" t="s">
        <v>346</v>
      </c>
      <c r="T189" s="233">
        <v>2</v>
      </c>
      <c r="U189" s="233">
        <v>8.85</v>
      </c>
      <c r="V189" s="275">
        <v>8.84</v>
      </c>
      <c r="W189" s="233">
        <v>8.75</v>
      </c>
      <c r="X189" s="233">
        <v>0.73</v>
      </c>
      <c r="Y189" s="233">
        <v>4</v>
      </c>
      <c r="Z189" s="233">
        <v>25</v>
      </c>
      <c r="AA189" s="233">
        <v>0</v>
      </c>
      <c r="AB189" s="232" t="s">
        <v>1846</v>
      </c>
      <c r="AC189" s="233" t="s">
        <v>1950</v>
      </c>
      <c r="AD189" s="233" t="s">
        <v>1914</v>
      </c>
      <c r="AE189" s="234" t="s">
        <v>2194</v>
      </c>
      <c r="AF189"/>
      <c r="AG189"/>
      <c r="AH189"/>
      <c r="AI189"/>
    </row>
    <row r="190" spans="1:35" ht="16.05" customHeight="1" thickBot="1">
      <c r="A190" s="4" t="s">
        <v>1130</v>
      </c>
      <c r="B190" s="151">
        <v>8</v>
      </c>
      <c r="C190" s="2"/>
      <c r="D190" s="4" t="s">
        <v>1140</v>
      </c>
      <c r="E190" s="151">
        <v>7.5</v>
      </c>
      <c r="F190" s="2"/>
      <c r="G190" s="16"/>
      <c r="H190" s="16"/>
      <c r="I190" s="2"/>
      <c r="J190" s="11" t="s">
        <v>1186</v>
      </c>
      <c r="K190" s="150"/>
      <c r="L190" s="2"/>
      <c r="M190" s="4" t="s">
        <v>1157</v>
      </c>
      <c r="N190" s="151">
        <v>10.5</v>
      </c>
      <c r="O190" s="17"/>
      <c r="R190" s="244">
        <v>10</v>
      </c>
      <c r="S190" s="235" t="s">
        <v>2343</v>
      </c>
      <c r="T190" s="236">
        <v>2</v>
      </c>
      <c r="U190" s="236">
        <v>8.8000000000000007</v>
      </c>
      <c r="V190" s="275">
        <v>8.84</v>
      </c>
      <c r="W190" s="236">
        <v>8.6300000000000008</v>
      </c>
      <c r="X190" s="236">
        <v>0.74</v>
      </c>
      <c r="Y190" s="236">
        <v>3</v>
      </c>
      <c r="Z190" s="236">
        <v>30</v>
      </c>
      <c r="AA190" s="236">
        <v>2</v>
      </c>
      <c r="AB190" s="235" t="s">
        <v>2519</v>
      </c>
      <c r="AC190" s="236" t="s">
        <v>2521</v>
      </c>
      <c r="AD190" s="236" t="s">
        <v>1936</v>
      </c>
      <c r="AE190" s="237" t="s">
        <v>2194</v>
      </c>
      <c r="AF190"/>
      <c r="AG190"/>
      <c r="AH190"/>
      <c r="AI190"/>
    </row>
    <row r="191" spans="1:35" ht="16.05" customHeight="1" thickBot="1">
      <c r="A191" s="4" t="s">
        <v>1131</v>
      </c>
      <c r="B191" s="151">
        <v>8.5</v>
      </c>
      <c r="C191" s="2"/>
      <c r="D191" s="4" t="s">
        <v>1141</v>
      </c>
      <c r="E191" s="151">
        <v>7</v>
      </c>
      <c r="F191" s="17"/>
      <c r="G191" s="109" t="s">
        <v>1198</v>
      </c>
      <c r="H191" s="12">
        <f>ROUND(SUM(H192:H200)/COUNT(H192:H200), 2)</f>
        <v>8.83</v>
      </c>
      <c r="I191" s="2"/>
      <c r="J191" s="4" t="s">
        <v>1187</v>
      </c>
      <c r="K191" s="151">
        <v>7</v>
      </c>
      <c r="L191" s="2"/>
      <c r="M191" s="4" t="s">
        <v>1158</v>
      </c>
      <c r="N191" s="151">
        <v>10</v>
      </c>
      <c r="O191" s="17"/>
      <c r="R191" s="244">
        <v>11</v>
      </c>
      <c r="S191" s="232" t="s">
        <v>1605</v>
      </c>
      <c r="T191" s="233">
        <v>2</v>
      </c>
      <c r="U191" s="233">
        <v>8.91</v>
      </c>
      <c r="V191" s="339">
        <v>8.82</v>
      </c>
      <c r="W191" s="233">
        <v>8.75</v>
      </c>
      <c r="X191" s="233">
        <v>0.8</v>
      </c>
      <c r="Y191" s="233">
        <v>4</v>
      </c>
      <c r="Z191" s="233">
        <v>17</v>
      </c>
      <c r="AA191" s="233">
        <v>0</v>
      </c>
      <c r="AB191" s="232" t="s">
        <v>1608</v>
      </c>
      <c r="AC191" s="233" t="s">
        <v>2371</v>
      </c>
      <c r="AD191" s="233" t="s">
        <v>1923</v>
      </c>
      <c r="AE191" s="234" t="s">
        <v>2194</v>
      </c>
      <c r="AF191"/>
      <c r="AG191"/>
      <c r="AH191"/>
      <c r="AI191"/>
    </row>
    <row r="192" spans="1:35" ht="16.05" customHeight="1">
      <c r="A192" s="4" t="s">
        <v>1132</v>
      </c>
      <c r="B192" s="151">
        <v>8</v>
      </c>
      <c r="C192" s="2"/>
      <c r="D192" s="4" t="s">
        <v>1142</v>
      </c>
      <c r="E192" s="151">
        <v>9.5</v>
      </c>
      <c r="F192" s="2"/>
      <c r="G192" s="11" t="s">
        <v>1199</v>
      </c>
      <c r="H192" s="150">
        <v>9</v>
      </c>
      <c r="I192" s="2"/>
      <c r="J192" s="4" t="s">
        <v>1188</v>
      </c>
      <c r="K192" s="151">
        <v>7.5</v>
      </c>
      <c r="L192" s="2"/>
      <c r="M192" s="4" t="s">
        <v>1159</v>
      </c>
      <c r="N192" s="151">
        <v>9</v>
      </c>
      <c r="O192" s="17"/>
      <c r="R192" s="244">
        <v>12</v>
      </c>
      <c r="S192" s="235" t="s">
        <v>327</v>
      </c>
      <c r="T192" s="236">
        <v>9</v>
      </c>
      <c r="U192" s="236">
        <v>8.67</v>
      </c>
      <c r="V192" s="267">
        <v>8.7899999999999991</v>
      </c>
      <c r="W192" s="236">
        <v>8.69</v>
      </c>
      <c r="X192" s="236">
        <v>0.86</v>
      </c>
      <c r="Y192" s="236">
        <v>20</v>
      </c>
      <c r="Z192" s="236">
        <v>101</v>
      </c>
      <c r="AA192" s="236">
        <v>4</v>
      </c>
      <c r="AB192" s="235" t="s">
        <v>944</v>
      </c>
      <c r="AC192" s="236" t="s">
        <v>1954</v>
      </c>
      <c r="AD192" s="236" t="s">
        <v>1908</v>
      </c>
      <c r="AE192" s="237" t="s">
        <v>2194</v>
      </c>
      <c r="AF192"/>
      <c r="AG192"/>
      <c r="AH192"/>
      <c r="AI192"/>
    </row>
    <row r="193" spans="1:35" ht="16.05" customHeight="1">
      <c r="A193" s="4" t="s">
        <v>1133</v>
      </c>
      <c r="B193" s="151">
        <v>9.5</v>
      </c>
      <c r="C193" s="2"/>
      <c r="D193" s="4" t="s">
        <v>1143</v>
      </c>
      <c r="E193" s="151">
        <v>8</v>
      </c>
      <c r="F193" s="2"/>
      <c r="G193" s="4" t="s">
        <v>1200</v>
      </c>
      <c r="H193" s="151">
        <v>8.5</v>
      </c>
      <c r="I193" s="2"/>
      <c r="J193" s="4" t="s">
        <v>1189</v>
      </c>
      <c r="K193" s="151">
        <v>8</v>
      </c>
      <c r="L193" s="2"/>
      <c r="M193" s="4" t="s">
        <v>1160</v>
      </c>
      <c r="N193" s="151">
        <v>9</v>
      </c>
      <c r="O193" s="17"/>
      <c r="R193" s="244">
        <v>13</v>
      </c>
      <c r="S193" s="232" t="s">
        <v>345</v>
      </c>
      <c r="T193" s="233">
        <v>3</v>
      </c>
      <c r="U193" s="233">
        <v>8.77</v>
      </c>
      <c r="V193" s="267">
        <v>8.7899999999999991</v>
      </c>
      <c r="W193" s="233">
        <v>8.67</v>
      </c>
      <c r="X193" s="233">
        <v>0.81</v>
      </c>
      <c r="Y193" s="233">
        <v>6</v>
      </c>
      <c r="Z193" s="233">
        <v>34</v>
      </c>
      <c r="AA193" s="233">
        <v>1</v>
      </c>
      <c r="AB193" s="232" t="s">
        <v>1646</v>
      </c>
      <c r="AC193" s="233" t="s">
        <v>1952</v>
      </c>
      <c r="AD193" s="233" t="s">
        <v>1927</v>
      </c>
      <c r="AE193" s="234" t="s">
        <v>2194</v>
      </c>
      <c r="AF193"/>
      <c r="AG193"/>
      <c r="AH193"/>
      <c r="AI193"/>
    </row>
    <row r="194" spans="1:35" ht="16.05" customHeight="1" thickBot="1">
      <c r="A194" s="7" t="s">
        <v>1134</v>
      </c>
      <c r="B194" s="152">
        <v>8</v>
      </c>
      <c r="C194" s="2"/>
      <c r="D194" s="4" t="s">
        <v>1144</v>
      </c>
      <c r="E194" s="151">
        <v>7.5</v>
      </c>
      <c r="F194" s="2"/>
      <c r="G194" s="4" t="s">
        <v>1201</v>
      </c>
      <c r="H194" s="151">
        <v>8.5</v>
      </c>
      <c r="I194" s="2"/>
      <c r="J194" s="4" t="s">
        <v>1190</v>
      </c>
      <c r="K194" s="151">
        <v>7.5</v>
      </c>
      <c r="L194" s="2"/>
      <c r="M194" s="4" t="s">
        <v>1161</v>
      </c>
      <c r="N194" s="151">
        <v>8.5</v>
      </c>
      <c r="O194" s="17"/>
      <c r="R194" s="244">
        <v>14</v>
      </c>
      <c r="S194" s="235" t="s">
        <v>1694</v>
      </c>
      <c r="T194" s="236">
        <v>2</v>
      </c>
      <c r="U194" s="236">
        <v>8.81</v>
      </c>
      <c r="V194" s="289">
        <v>8.77</v>
      </c>
      <c r="W194" s="236">
        <v>8.5</v>
      </c>
      <c r="X194" s="236">
        <v>0.81</v>
      </c>
      <c r="Y194" s="236">
        <v>3</v>
      </c>
      <c r="Z194" s="236">
        <v>16</v>
      </c>
      <c r="AA194" s="236">
        <v>0</v>
      </c>
      <c r="AB194" s="235" t="s">
        <v>1355</v>
      </c>
      <c r="AC194" s="236" t="s">
        <v>2123</v>
      </c>
      <c r="AD194" s="236" t="s">
        <v>1900</v>
      </c>
      <c r="AE194" s="237" t="s">
        <v>2194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1145</v>
      </c>
      <c r="E195" s="151">
        <v>10</v>
      </c>
      <c r="F195" s="2"/>
      <c r="G195" s="4" t="s">
        <v>1202</v>
      </c>
      <c r="H195" s="151">
        <v>10</v>
      </c>
      <c r="I195" s="2"/>
      <c r="J195" s="4" t="s">
        <v>1191</v>
      </c>
      <c r="K195" s="151">
        <v>8.5</v>
      </c>
      <c r="L195" s="2"/>
      <c r="M195" s="4" t="s">
        <v>1162</v>
      </c>
      <c r="N195" s="151">
        <v>8</v>
      </c>
      <c r="O195" s="17"/>
      <c r="R195" s="244">
        <v>15</v>
      </c>
      <c r="S195" s="232" t="s">
        <v>1742</v>
      </c>
      <c r="T195" s="233">
        <v>2</v>
      </c>
      <c r="U195" s="233">
        <v>8.7100000000000009</v>
      </c>
      <c r="V195" s="292">
        <v>8.68</v>
      </c>
      <c r="W195" s="233">
        <v>8.5</v>
      </c>
      <c r="X195" s="233">
        <v>0.74</v>
      </c>
      <c r="Y195" s="233">
        <v>3</v>
      </c>
      <c r="Z195" s="233">
        <v>22</v>
      </c>
      <c r="AA195" s="233">
        <v>0</v>
      </c>
      <c r="AB195" s="232" t="s">
        <v>2881</v>
      </c>
      <c r="AC195" s="233" t="s">
        <v>2882</v>
      </c>
      <c r="AD195" s="233" t="s">
        <v>1922</v>
      </c>
      <c r="AE195" s="234" t="s">
        <v>2194</v>
      </c>
      <c r="AF195"/>
      <c r="AG195"/>
      <c r="AH195"/>
      <c r="AI195"/>
    </row>
    <row r="196" spans="1:35" ht="16.05" customHeight="1" thickBot="1">
      <c r="A196" s="112" t="s">
        <v>1223</v>
      </c>
      <c r="B196" s="12">
        <f>ROUND(SUM(B197:B211)/COUNT(B197:B211), 2)</f>
        <v>8.5299999999999994</v>
      </c>
      <c r="C196" s="2"/>
      <c r="D196" s="4" t="s">
        <v>1146</v>
      </c>
      <c r="E196" s="151">
        <v>8</v>
      </c>
      <c r="F196" s="2"/>
      <c r="G196" s="4" t="s">
        <v>1203</v>
      </c>
      <c r="H196" s="151">
        <v>8</v>
      </c>
      <c r="I196" s="2"/>
      <c r="J196" s="4" t="s">
        <v>1192</v>
      </c>
      <c r="K196" s="151">
        <v>8</v>
      </c>
      <c r="L196" s="2"/>
      <c r="M196" s="4" t="s">
        <v>1163</v>
      </c>
      <c r="N196" s="151">
        <v>10.5</v>
      </c>
      <c r="O196" s="17"/>
      <c r="R196" s="244">
        <v>16</v>
      </c>
      <c r="S196" s="235" t="s">
        <v>1439</v>
      </c>
      <c r="T196" s="236">
        <v>2</v>
      </c>
      <c r="U196" s="236">
        <v>8.77</v>
      </c>
      <c r="V196" s="248">
        <v>8.67</v>
      </c>
      <c r="W196" s="236">
        <v>8.5</v>
      </c>
      <c r="X196" s="236">
        <v>0.62</v>
      </c>
      <c r="Y196" s="236">
        <v>2</v>
      </c>
      <c r="Z196" s="236">
        <v>17</v>
      </c>
      <c r="AA196" s="236">
        <v>1</v>
      </c>
      <c r="AB196" s="235" t="s">
        <v>2440</v>
      </c>
      <c r="AC196" s="236" t="s">
        <v>2263</v>
      </c>
      <c r="AD196" s="236" t="s">
        <v>1953</v>
      </c>
      <c r="AE196" s="237" t="s">
        <v>2194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1147</v>
      </c>
      <c r="E197" s="151">
        <v>7</v>
      </c>
      <c r="F197" s="2"/>
      <c r="G197" s="4" t="s">
        <v>1204</v>
      </c>
      <c r="H197" s="151">
        <v>10.5</v>
      </c>
      <c r="I197" s="2"/>
      <c r="J197" s="7" t="s">
        <v>1193</v>
      </c>
      <c r="K197" s="152">
        <v>7.5</v>
      </c>
      <c r="L197" s="2"/>
      <c r="M197" s="4" t="s">
        <v>1164</v>
      </c>
      <c r="N197" s="151">
        <v>8.5</v>
      </c>
      <c r="O197" s="17"/>
      <c r="R197" s="244">
        <v>17</v>
      </c>
      <c r="S197" s="232" t="s">
        <v>1478</v>
      </c>
      <c r="T197" s="233">
        <v>3</v>
      </c>
      <c r="U197" s="233">
        <v>8.68</v>
      </c>
      <c r="V197" s="350">
        <v>8.66</v>
      </c>
      <c r="W197" s="233">
        <v>8.42</v>
      </c>
      <c r="X197" s="233">
        <v>0.9</v>
      </c>
      <c r="Y197" s="233">
        <v>6</v>
      </c>
      <c r="Z197" s="233">
        <v>33</v>
      </c>
      <c r="AA197" s="233">
        <v>0</v>
      </c>
      <c r="AB197" s="232" t="s">
        <v>2713</v>
      </c>
      <c r="AC197" s="233" t="s">
        <v>2714</v>
      </c>
      <c r="AD197" s="233" t="s">
        <v>1930</v>
      </c>
      <c r="AE197" s="234" t="s">
        <v>2194</v>
      </c>
      <c r="AF197"/>
      <c r="AG197"/>
      <c r="AH197"/>
      <c r="AI197"/>
    </row>
    <row r="198" spans="1:35" ht="16.05" customHeight="1" thickBot="1">
      <c r="A198" s="4" t="s">
        <v>1210</v>
      </c>
      <c r="B198" s="151">
        <v>8.5</v>
      </c>
      <c r="C198" s="2"/>
      <c r="D198" s="4" t="s">
        <v>1148</v>
      </c>
      <c r="E198" s="151"/>
      <c r="F198" s="2"/>
      <c r="G198" s="4" t="s">
        <v>1205</v>
      </c>
      <c r="H198" s="151">
        <v>8</v>
      </c>
      <c r="I198" s="2"/>
      <c r="J198" s="16"/>
      <c r="K198" s="16"/>
      <c r="L198" s="2"/>
      <c r="M198" s="4" t="s">
        <v>1165</v>
      </c>
      <c r="N198" s="151">
        <v>9</v>
      </c>
      <c r="O198" s="17"/>
      <c r="R198" s="244">
        <v>18</v>
      </c>
      <c r="S198" s="235" t="s">
        <v>837</v>
      </c>
      <c r="T198" s="236">
        <v>2</v>
      </c>
      <c r="U198" s="236">
        <v>8.64</v>
      </c>
      <c r="V198" s="271">
        <v>8.6300000000000008</v>
      </c>
      <c r="W198" s="236">
        <v>8.5</v>
      </c>
      <c r="X198" s="236">
        <v>0.68</v>
      </c>
      <c r="Y198" s="236">
        <v>3</v>
      </c>
      <c r="Z198" s="236">
        <v>29</v>
      </c>
      <c r="AA198" s="236">
        <v>0</v>
      </c>
      <c r="AB198" s="235" t="s">
        <v>838</v>
      </c>
      <c r="AC198" s="236" t="s">
        <v>2299</v>
      </c>
      <c r="AD198" s="236" t="s">
        <v>1931</v>
      </c>
      <c r="AE198" s="237" t="s">
        <v>2194</v>
      </c>
      <c r="AF198"/>
      <c r="AG198"/>
      <c r="AH198"/>
      <c r="AI198"/>
    </row>
    <row r="199" spans="1:35" ht="16.05" customHeight="1" thickBot="1">
      <c r="A199" s="4" t="s">
        <v>1211</v>
      </c>
      <c r="B199" s="151">
        <v>8.5</v>
      </c>
      <c r="C199" s="2"/>
      <c r="D199" s="7" t="s">
        <v>1149</v>
      </c>
      <c r="E199" s="152">
        <v>10</v>
      </c>
      <c r="F199" s="2"/>
      <c r="G199" s="4" t="s">
        <v>1206</v>
      </c>
      <c r="H199" s="151">
        <v>8.5</v>
      </c>
      <c r="I199" s="17"/>
      <c r="J199" s="110" t="s">
        <v>1230</v>
      </c>
      <c r="K199" s="12">
        <f>ROUND(SUM(K200:K206)/COUNT(K200:K206), 2)</f>
        <v>8.75</v>
      </c>
      <c r="L199" s="2"/>
      <c r="M199" s="4" t="s">
        <v>1166</v>
      </c>
      <c r="N199" s="151">
        <v>8</v>
      </c>
      <c r="O199" s="17"/>
      <c r="R199" s="244">
        <v>19</v>
      </c>
      <c r="S199" s="232" t="s">
        <v>349</v>
      </c>
      <c r="T199" s="233">
        <v>2</v>
      </c>
      <c r="U199" s="233">
        <v>8.6300000000000008</v>
      </c>
      <c r="V199" s="308">
        <v>8.61</v>
      </c>
      <c r="W199" s="233">
        <v>8.6300000000000008</v>
      </c>
      <c r="X199" s="233">
        <v>0.98</v>
      </c>
      <c r="Y199" s="233">
        <v>4</v>
      </c>
      <c r="Z199" s="233">
        <v>26</v>
      </c>
      <c r="AA199" s="233">
        <v>2</v>
      </c>
      <c r="AB199" s="232" t="s">
        <v>765</v>
      </c>
      <c r="AC199" s="233" t="s">
        <v>2424</v>
      </c>
      <c r="AD199" s="233" t="s">
        <v>1934</v>
      </c>
      <c r="AE199" s="234" t="s">
        <v>2194</v>
      </c>
      <c r="AF199"/>
      <c r="AG199"/>
      <c r="AH199"/>
      <c r="AI199"/>
    </row>
    <row r="200" spans="1:35" ht="16.05" customHeight="1" thickBot="1">
      <c r="A200" s="4" t="s">
        <v>1212</v>
      </c>
      <c r="B200" s="151">
        <v>7.5</v>
      </c>
      <c r="C200" s="2"/>
      <c r="D200" s="14"/>
      <c r="E200" s="16"/>
      <c r="F200" s="2"/>
      <c r="G200" s="7" t="s">
        <v>1207</v>
      </c>
      <c r="H200" s="152">
        <v>8.5</v>
      </c>
      <c r="I200" s="2"/>
      <c r="J200" s="11" t="s">
        <v>1231</v>
      </c>
      <c r="K200" s="150">
        <v>10</v>
      </c>
      <c r="L200" s="2"/>
      <c r="M200" s="4" t="s">
        <v>1167</v>
      </c>
      <c r="N200" s="151">
        <v>9</v>
      </c>
      <c r="O200" s="17"/>
      <c r="R200" s="244">
        <v>20</v>
      </c>
      <c r="S200" s="235" t="s">
        <v>1522</v>
      </c>
      <c r="T200" s="236">
        <v>2</v>
      </c>
      <c r="U200" s="236">
        <v>8.6300000000000008</v>
      </c>
      <c r="V200" s="340">
        <v>8.59</v>
      </c>
      <c r="W200" s="236">
        <v>8.5</v>
      </c>
      <c r="X200" s="236">
        <v>1.05</v>
      </c>
      <c r="Y200" s="236">
        <v>4</v>
      </c>
      <c r="Z200" s="236">
        <v>22</v>
      </c>
      <c r="AA200" s="236">
        <v>2</v>
      </c>
      <c r="AB200" s="235" t="s">
        <v>2441</v>
      </c>
      <c r="AC200" s="236" t="s">
        <v>1955</v>
      </c>
      <c r="AD200" s="236" t="s">
        <v>1940</v>
      </c>
      <c r="AE200" s="237" t="s">
        <v>2194</v>
      </c>
      <c r="AF200"/>
      <c r="AG200"/>
      <c r="AH200"/>
      <c r="AI200"/>
    </row>
    <row r="201" spans="1:35" ht="16.05" customHeight="1" thickBot="1">
      <c r="A201" s="4" t="s">
        <v>1213</v>
      </c>
      <c r="B201" s="151">
        <v>8</v>
      </c>
      <c r="C201" s="17"/>
      <c r="D201" s="111" t="s">
        <v>1253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1232</v>
      </c>
      <c r="K201" s="151">
        <v>8</v>
      </c>
      <c r="L201" s="2"/>
      <c r="M201" s="4" t="s">
        <v>1168</v>
      </c>
      <c r="N201" s="151">
        <v>6</v>
      </c>
      <c r="O201" s="17"/>
      <c r="R201" s="244">
        <v>21</v>
      </c>
      <c r="S201" s="232" t="s">
        <v>337</v>
      </c>
      <c r="T201" s="233">
        <v>5</v>
      </c>
      <c r="U201" s="233">
        <v>8.58</v>
      </c>
      <c r="V201" s="264">
        <v>8.56</v>
      </c>
      <c r="W201" s="233">
        <v>8.4</v>
      </c>
      <c r="X201" s="233">
        <v>0.9</v>
      </c>
      <c r="Y201" s="233">
        <v>11</v>
      </c>
      <c r="Z201" s="233">
        <v>66</v>
      </c>
      <c r="AA201" s="233">
        <v>4</v>
      </c>
      <c r="AB201" s="232" t="s">
        <v>2587</v>
      </c>
      <c r="AC201" s="233" t="s">
        <v>1959</v>
      </c>
      <c r="AD201" s="233" t="s">
        <v>1926</v>
      </c>
      <c r="AE201" s="234" t="s">
        <v>2194</v>
      </c>
      <c r="AF201"/>
      <c r="AG201"/>
      <c r="AH201"/>
      <c r="AI201"/>
    </row>
    <row r="202" spans="1:35" ht="16.05" customHeight="1" thickBot="1">
      <c r="A202" s="4" t="s">
        <v>1214</v>
      </c>
      <c r="B202" s="151">
        <v>10</v>
      </c>
      <c r="C202" s="17"/>
      <c r="D202" s="11" t="s">
        <v>1243</v>
      </c>
      <c r="E202" s="150">
        <v>9</v>
      </c>
      <c r="F202" s="17"/>
      <c r="G202" s="113" t="s">
        <v>1256</v>
      </c>
      <c r="H202" s="12">
        <f>ROUND(SUM(H203:H213)/COUNT(H203:H213), 2)</f>
        <v>8.4499999999999993</v>
      </c>
      <c r="I202" s="2"/>
      <c r="J202" s="4" t="s">
        <v>1233</v>
      </c>
      <c r="K202" s="151">
        <v>9.5</v>
      </c>
      <c r="L202" s="2"/>
      <c r="M202" s="4" t="s">
        <v>1169</v>
      </c>
      <c r="N202" s="151">
        <v>7</v>
      </c>
      <c r="O202" s="17"/>
      <c r="R202" s="244">
        <v>22</v>
      </c>
      <c r="S202" s="235" t="s">
        <v>334</v>
      </c>
      <c r="T202" s="236">
        <v>11</v>
      </c>
      <c r="U202" s="236">
        <v>8.59</v>
      </c>
      <c r="V202" s="274">
        <v>8.5500000000000007</v>
      </c>
      <c r="W202" s="236">
        <v>8.4499999999999993</v>
      </c>
      <c r="X202" s="236">
        <v>0.73</v>
      </c>
      <c r="Y202" s="236">
        <v>9</v>
      </c>
      <c r="Z202" s="236">
        <v>84</v>
      </c>
      <c r="AA202" s="236">
        <v>5</v>
      </c>
      <c r="AB202" s="235" t="s">
        <v>2009</v>
      </c>
      <c r="AC202" s="236" t="s">
        <v>2010</v>
      </c>
      <c r="AD202" s="236" t="s">
        <v>1937</v>
      </c>
      <c r="AE202" s="237" t="s">
        <v>2194</v>
      </c>
      <c r="AF202"/>
      <c r="AG202"/>
      <c r="AH202"/>
      <c r="AI202"/>
    </row>
    <row r="203" spans="1:35" ht="16.05" customHeight="1">
      <c r="A203" s="4" t="s">
        <v>1215</v>
      </c>
      <c r="B203" s="151">
        <v>8</v>
      </c>
      <c r="C203" s="17"/>
      <c r="D203" s="4" t="s">
        <v>1244</v>
      </c>
      <c r="E203" s="151">
        <v>10.5</v>
      </c>
      <c r="F203" s="2"/>
      <c r="G203" s="11" t="s">
        <v>1257</v>
      </c>
      <c r="H203" s="150">
        <v>8.5</v>
      </c>
      <c r="I203" s="2"/>
      <c r="J203" s="4" t="s">
        <v>1234</v>
      </c>
      <c r="K203" s="151">
        <v>8</v>
      </c>
      <c r="L203" s="2"/>
      <c r="M203" s="4" t="s">
        <v>1170</v>
      </c>
      <c r="N203" s="151">
        <v>10</v>
      </c>
      <c r="O203" s="17"/>
      <c r="R203" s="244">
        <v>23</v>
      </c>
      <c r="S203" s="232" t="s">
        <v>717</v>
      </c>
      <c r="T203" s="233">
        <v>4</v>
      </c>
      <c r="U203" s="233">
        <v>8.48</v>
      </c>
      <c r="V203" s="278">
        <v>8.4700000000000006</v>
      </c>
      <c r="W203" s="233">
        <v>8.1300000000000008</v>
      </c>
      <c r="X203" s="233">
        <v>0.91</v>
      </c>
      <c r="Y203" s="233">
        <v>9</v>
      </c>
      <c r="Z203" s="233">
        <v>63</v>
      </c>
      <c r="AA203" s="233">
        <v>4</v>
      </c>
      <c r="AB203" s="232" t="s">
        <v>2682</v>
      </c>
      <c r="AC203" s="233" t="s">
        <v>2683</v>
      </c>
      <c r="AD203" s="233" t="s">
        <v>1915</v>
      </c>
      <c r="AE203" s="234" t="s">
        <v>2194</v>
      </c>
      <c r="AF203"/>
      <c r="AG203"/>
      <c r="AH203"/>
      <c r="AI203"/>
    </row>
    <row r="204" spans="1:35" ht="16.05" customHeight="1">
      <c r="A204" s="4" t="s">
        <v>1216</v>
      </c>
      <c r="B204" s="151">
        <v>8.5</v>
      </c>
      <c r="C204" s="17"/>
      <c r="D204" s="4" t="s">
        <v>1245</v>
      </c>
      <c r="E204" s="151"/>
      <c r="F204" s="2"/>
      <c r="G204" s="4" t="s">
        <v>1258</v>
      </c>
      <c r="H204" s="151">
        <v>8.5</v>
      </c>
      <c r="I204" s="2"/>
      <c r="J204" s="4" t="s">
        <v>1235</v>
      </c>
      <c r="K204" s="151">
        <v>9</v>
      </c>
      <c r="L204" s="2"/>
      <c r="M204" s="4" t="s">
        <v>1171</v>
      </c>
      <c r="N204" s="151">
        <v>9</v>
      </c>
      <c r="O204" s="17"/>
      <c r="R204" s="244">
        <v>24</v>
      </c>
      <c r="S204" s="235" t="s">
        <v>339</v>
      </c>
      <c r="T204" s="236">
        <v>2</v>
      </c>
      <c r="U204" s="236">
        <v>8.5399999999999991</v>
      </c>
      <c r="V204" s="278">
        <v>8.4700000000000006</v>
      </c>
      <c r="W204" s="236">
        <v>8.5</v>
      </c>
      <c r="X204" s="236">
        <v>0.78</v>
      </c>
      <c r="Y204" s="236">
        <v>3</v>
      </c>
      <c r="Z204" s="236">
        <v>20</v>
      </c>
      <c r="AA204" s="236">
        <v>0</v>
      </c>
      <c r="AB204" s="235" t="s">
        <v>2442</v>
      </c>
      <c r="AC204" s="236" t="s">
        <v>1956</v>
      </c>
      <c r="AD204" s="236" t="s">
        <v>1913</v>
      </c>
      <c r="AE204" s="237" t="s">
        <v>2194</v>
      </c>
      <c r="AF204"/>
      <c r="AG204"/>
      <c r="AH204"/>
      <c r="AI204"/>
    </row>
    <row r="205" spans="1:35" ht="16.05" customHeight="1">
      <c r="A205" s="4" t="s">
        <v>1217</v>
      </c>
      <c r="B205" s="151">
        <v>7.5</v>
      </c>
      <c r="C205" s="17"/>
      <c r="D205" s="4" t="s">
        <v>1246</v>
      </c>
      <c r="E205" s="151">
        <v>10</v>
      </c>
      <c r="F205" s="2"/>
      <c r="G205" s="4" t="s">
        <v>1259</v>
      </c>
      <c r="H205" s="151">
        <v>9</v>
      </c>
      <c r="I205" s="2"/>
      <c r="J205" s="4" t="s">
        <v>1236</v>
      </c>
      <c r="K205" s="151"/>
      <c r="L205" s="2"/>
      <c r="M205" s="4" t="s">
        <v>1172</v>
      </c>
      <c r="N205" s="151">
        <v>8.5</v>
      </c>
      <c r="O205" s="17"/>
      <c r="R205" s="244">
        <v>25</v>
      </c>
      <c r="S205" s="232" t="s">
        <v>1150</v>
      </c>
      <c r="T205" s="233">
        <v>2</v>
      </c>
      <c r="U205" s="233">
        <v>8.52</v>
      </c>
      <c r="V205" s="259">
        <v>8.4499999999999993</v>
      </c>
      <c r="W205" s="233">
        <v>8.25</v>
      </c>
      <c r="X205" s="233">
        <v>0.96</v>
      </c>
      <c r="Y205" s="233">
        <v>6</v>
      </c>
      <c r="Z205" s="233">
        <v>41</v>
      </c>
      <c r="AA205" s="233">
        <v>2</v>
      </c>
      <c r="AB205" s="232" t="s">
        <v>1744</v>
      </c>
      <c r="AC205" s="233" t="s">
        <v>1957</v>
      </c>
      <c r="AD205" s="233" t="s">
        <v>1958</v>
      </c>
      <c r="AE205" s="234" t="s">
        <v>2194</v>
      </c>
      <c r="AF205"/>
      <c r="AG205"/>
      <c r="AH205"/>
      <c r="AI205"/>
    </row>
    <row r="206" spans="1:35" ht="16.05" customHeight="1" thickBot="1">
      <c r="A206" s="4" t="s">
        <v>1218</v>
      </c>
      <c r="B206" s="151">
        <v>8.5</v>
      </c>
      <c r="C206" s="17"/>
      <c r="D206" s="4" t="s">
        <v>1247</v>
      </c>
      <c r="E206" s="151"/>
      <c r="F206" s="2"/>
      <c r="G206" s="4" t="s">
        <v>1260</v>
      </c>
      <c r="H206" s="151">
        <v>10</v>
      </c>
      <c r="I206" s="2"/>
      <c r="J206" s="7" t="s">
        <v>1237</v>
      </c>
      <c r="K206" s="152">
        <v>8</v>
      </c>
      <c r="L206" s="2"/>
      <c r="M206" s="4" t="s">
        <v>1173</v>
      </c>
      <c r="N206" s="151">
        <v>8.5</v>
      </c>
      <c r="O206" s="17"/>
      <c r="R206" s="244">
        <v>26</v>
      </c>
      <c r="S206" s="235" t="s">
        <v>338</v>
      </c>
      <c r="T206" s="236">
        <v>2</v>
      </c>
      <c r="U206" s="236">
        <v>8.39</v>
      </c>
      <c r="V206" s="309">
        <v>8.3699999999999992</v>
      </c>
      <c r="W206" s="236">
        <v>8.25</v>
      </c>
      <c r="X206" s="236">
        <v>0.72</v>
      </c>
      <c r="Y206" s="236">
        <v>2</v>
      </c>
      <c r="Z206" s="236">
        <v>20</v>
      </c>
      <c r="AA206" s="236">
        <v>0</v>
      </c>
      <c r="AB206" s="235" t="s">
        <v>775</v>
      </c>
      <c r="AC206" s="236" t="s">
        <v>1960</v>
      </c>
      <c r="AD206" s="236" t="s">
        <v>1899</v>
      </c>
      <c r="AE206" s="237" t="s">
        <v>2194</v>
      </c>
      <c r="AF206"/>
      <c r="AG206"/>
      <c r="AH206"/>
      <c r="AI206"/>
    </row>
    <row r="207" spans="1:35" ht="16.05" customHeight="1" thickBot="1">
      <c r="A207" s="4" t="s">
        <v>1219</v>
      </c>
      <c r="B207" s="151">
        <v>10</v>
      </c>
      <c r="C207" s="17"/>
      <c r="D207" s="4" t="s">
        <v>1248</v>
      </c>
      <c r="E207" s="151">
        <v>10</v>
      </c>
      <c r="F207" s="2"/>
      <c r="G207" s="4" t="s">
        <v>1261</v>
      </c>
      <c r="H207" s="151">
        <v>9</v>
      </c>
      <c r="I207" s="2"/>
      <c r="J207" s="16"/>
      <c r="K207" s="16"/>
      <c r="L207" s="2"/>
      <c r="M207" s="4" t="s">
        <v>1174</v>
      </c>
      <c r="N207" s="151">
        <v>8.5</v>
      </c>
      <c r="O207" s="17"/>
      <c r="R207" s="244">
        <v>27</v>
      </c>
      <c r="S207" s="232" t="s">
        <v>816</v>
      </c>
      <c r="T207" s="233">
        <v>3</v>
      </c>
      <c r="U207" s="233">
        <v>8.2899999999999991</v>
      </c>
      <c r="V207" s="293">
        <v>8.1999999999999993</v>
      </c>
      <c r="W207" s="233">
        <v>8.25</v>
      </c>
      <c r="X207" s="233">
        <v>0.72</v>
      </c>
      <c r="Y207" s="233">
        <v>4</v>
      </c>
      <c r="Z207" s="233">
        <v>52</v>
      </c>
      <c r="AA207" s="233">
        <v>8</v>
      </c>
      <c r="AB207" s="232" t="s">
        <v>2444</v>
      </c>
      <c r="AC207" s="233" t="s">
        <v>1961</v>
      </c>
      <c r="AD207" s="233" t="s">
        <v>1940</v>
      </c>
      <c r="AE207" s="234" t="s">
        <v>2194</v>
      </c>
      <c r="AF207"/>
      <c r="AG207"/>
      <c r="AH207"/>
      <c r="AI207"/>
    </row>
    <row r="208" spans="1:35" ht="16.05" customHeight="1" thickBot="1">
      <c r="A208" s="4" t="s">
        <v>1220</v>
      </c>
      <c r="B208" s="151">
        <v>9</v>
      </c>
      <c r="C208" s="17"/>
      <c r="D208" s="4" t="s">
        <v>1249</v>
      </c>
      <c r="E208" s="151">
        <v>8</v>
      </c>
      <c r="F208" s="2"/>
      <c r="G208" s="4" t="s">
        <v>1262</v>
      </c>
      <c r="H208" s="151">
        <v>8.5</v>
      </c>
      <c r="I208" s="17"/>
      <c r="J208" s="117" t="s">
        <v>1341</v>
      </c>
      <c r="K208" s="12">
        <f>ROUND(SUM(K209:K217)/COUNT(K209:K217), 2)</f>
        <v>8.67</v>
      </c>
      <c r="L208" s="2"/>
      <c r="M208" s="4" t="s">
        <v>1175</v>
      </c>
      <c r="N208" s="151">
        <v>8</v>
      </c>
      <c r="O208" s="17"/>
      <c r="R208" s="244">
        <v>28</v>
      </c>
      <c r="S208" s="235" t="s">
        <v>335</v>
      </c>
      <c r="T208" s="236">
        <v>6</v>
      </c>
      <c r="U208" s="236">
        <v>8.0399999999999991</v>
      </c>
      <c r="V208" s="341">
        <v>8.0500000000000007</v>
      </c>
      <c r="W208" s="236">
        <v>7.88</v>
      </c>
      <c r="X208" s="236">
        <v>1.02</v>
      </c>
      <c r="Y208" s="236">
        <v>13</v>
      </c>
      <c r="Z208" s="236">
        <v>58</v>
      </c>
      <c r="AA208" s="236">
        <v>0</v>
      </c>
      <c r="AB208" s="235" t="s">
        <v>2443</v>
      </c>
      <c r="AC208" s="236" t="s">
        <v>2302</v>
      </c>
      <c r="AD208" s="236" t="s">
        <v>1915</v>
      </c>
      <c r="AE208" s="237" t="s">
        <v>2194</v>
      </c>
      <c r="AF208"/>
      <c r="AG208"/>
      <c r="AH208"/>
      <c r="AI208"/>
    </row>
    <row r="209" spans="1:35" ht="16.05" customHeight="1" thickBot="1">
      <c r="A209" s="4" t="s">
        <v>1221</v>
      </c>
      <c r="B209" s="151">
        <v>8.5</v>
      </c>
      <c r="C209" s="17"/>
      <c r="D209" s="4" t="s">
        <v>1250</v>
      </c>
      <c r="E209" s="151">
        <v>8</v>
      </c>
      <c r="F209" s="2"/>
      <c r="G209" s="4" t="s">
        <v>1263</v>
      </c>
      <c r="H209" s="151">
        <v>9</v>
      </c>
      <c r="I209" s="2"/>
      <c r="J209" s="11" t="s">
        <v>1270</v>
      </c>
      <c r="K209" s="150">
        <v>9</v>
      </c>
      <c r="L209" s="2"/>
      <c r="M209" s="7" t="s">
        <v>1176</v>
      </c>
      <c r="N209" s="152">
        <v>8.5</v>
      </c>
      <c r="O209" s="17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>
      <c r="A210" s="4" t="s">
        <v>1222</v>
      </c>
      <c r="B210" s="151">
        <v>6.5</v>
      </c>
      <c r="C210" s="17"/>
      <c r="D210" s="4" t="s">
        <v>1251</v>
      </c>
      <c r="E210" s="151">
        <v>10</v>
      </c>
      <c r="F210" s="2"/>
      <c r="G210" s="4" t="s">
        <v>1264</v>
      </c>
      <c r="H210" s="151">
        <v>8</v>
      </c>
      <c r="I210" s="2"/>
      <c r="J210" s="4" t="s">
        <v>1271</v>
      </c>
      <c r="K210" s="151">
        <v>8</v>
      </c>
      <c r="L210" s="2"/>
      <c r="M210" s="16"/>
      <c r="N210" s="16"/>
      <c r="O210" s="17"/>
      <c r="R210" s="368" t="s">
        <v>2806</v>
      </c>
      <c r="S210" s="368"/>
      <c r="T210" s="368"/>
      <c r="U210" s="368"/>
      <c r="V210" s="368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1252</v>
      </c>
      <c r="E211" s="152"/>
      <c r="F211" s="2"/>
      <c r="G211" s="4" t="s">
        <v>1265</v>
      </c>
      <c r="H211" s="151">
        <v>7.5</v>
      </c>
      <c r="I211" s="2"/>
      <c r="J211" s="4" t="s">
        <v>1272</v>
      </c>
      <c r="K211" s="151">
        <v>10.5</v>
      </c>
      <c r="L211" s="17"/>
      <c r="M211" s="114" t="s">
        <v>1301</v>
      </c>
      <c r="N211" s="12">
        <f>ROUND(SUM(N212:N226)/COUNT(N212:N226), 2)</f>
        <v>8.11</v>
      </c>
      <c r="O211" s="17"/>
      <c r="R211" s="231" t="s">
        <v>352</v>
      </c>
      <c r="S211" s="231" t="s">
        <v>319</v>
      </c>
      <c r="T211" s="231" t="s">
        <v>320</v>
      </c>
      <c r="U211" s="231" t="s">
        <v>321</v>
      </c>
      <c r="V211" s="231" t="s">
        <v>1002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1266</v>
      </c>
      <c r="H212" s="151">
        <v>8</v>
      </c>
      <c r="I212" s="2"/>
      <c r="J212" s="4" t="s">
        <v>1273</v>
      </c>
      <c r="K212" s="151">
        <v>7.5</v>
      </c>
      <c r="L212" s="2"/>
      <c r="M212" s="11" t="s">
        <v>1286</v>
      </c>
      <c r="N212" s="150">
        <v>8</v>
      </c>
      <c r="O212" s="17"/>
      <c r="R212" s="238">
        <v>1</v>
      </c>
      <c r="S212" s="232" t="s">
        <v>996</v>
      </c>
      <c r="T212" s="232" t="s">
        <v>994</v>
      </c>
      <c r="U212" s="233">
        <v>10.5</v>
      </c>
      <c r="V212" s="281">
        <v>10.85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1320</v>
      </c>
      <c r="B213" s="12">
        <f>ROUND(SUM(B214:B224)/COUNT(B214:B224), 2)</f>
        <v>9</v>
      </c>
      <c r="C213" s="2"/>
      <c r="D213" s="115" t="s">
        <v>1305</v>
      </c>
      <c r="E213" s="12">
        <f>ROUND(SUM(E214:E227)/COUNT(E214:E227), 2)</f>
        <v>8.77</v>
      </c>
      <c r="F213" s="2"/>
      <c r="G213" s="7" t="s">
        <v>1267</v>
      </c>
      <c r="H213" s="152">
        <v>7</v>
      </c>
      <c r="I213" s="2"/>
      <c r="J213" s="4" t="s">
        <v>1274</v>
      </c>
      <c r="K213" s="151">
        <v>9</v>
      </c>
      <c r="L213" s="2"/>
      <c r="M213" s="4" t="s">
        <v>1287</v>
      </c>
      <c r="N213" s="151">
        <v>7.5</v>
      </c>
      <c r="O213" s="17"/>
      <c r="R213" s="240">
        <v>2</v>
      </c>
      <c r="S213" s="235" t="s">
        <v>326</v>
      </c>
      <c r="T213" s="235" t="s">
        <v>7</v>
      </c>
      <c r="U213" s="236">
        <v>9.89</v>
      </c>
      <c r="V213" s="281">
        <v>10.52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1321</v>
      </c>
      <c r="B214" s="150">
        <v>8.5</v>
      </c>
      <c r="C214" s="2"/>
      <c r="D214" s="11" t="s">
        <v>1306</v>
      </c>
      <c r="E214" s="150">
        <v>9</v>
      </c>
      <c r="F214" s="2"/>
      <c r="G214" s="16"/>
      <c r="H214" s="16"/>
      <c r="I214" s="2"/>
      <c r="J214" s="4" t="s">
        <v>1275</v>
      </c>
      <c r="K214" s="151">
        <v>7</v>
      </c>
      <c r="L214" s="2"/>
      <c r="M214" s="4" t="s">
        <v>1288</v>
      </c>
      <c r="N214" s="151">
        <v>9</v>
      </c>
      <c r="O214" s="17"/>
      <c r="R214" s="242">
        <v>3</v>
      </c>
      <c r="S214" s="232" t="s">
        <v>332</v>
      </c>
      <c r="T214" s="232" t="s">
        <v>1027</v>
      </c>
      <c r="U214" s="233">
        <v>10</v>
      </c>
      <c r="V214" s="281">
        <v>10.39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1322</v>
      </c>
      <c r="B215" s="151">
        <v>10</v>
      </c>
      <c r="C215" s="2"/>
      <c r="D215" s="4" t="s">
        <v>1307</v>
      </c>
      <c r="E215" s="151">
        <v>10</v>
      </c>
      <c r="F215" s="17"/>
      <c r="G215" s="122" t="s">
        <v>1342</v>
      </c>
      <c r="H215" s="12">
        <f>ROUND(SUM(H216:H227)/COUNT(H216:H227), 2)</f>
        <v>8.4600000000000009</v>
      </c>
      <c r="I215" s="2"/>
      <c r="J215" s="4" t="s">
        <v>1276</v>
      </c>
      <c r="K215" s="151">
        <v>8</v>
      </c>
      <c r="L215" s="2"/>
      <c r="M215" s="4" t="s">
        <v>1289</v>
      </c>
      <c r="N215" s="151"/>
      <c r="O215" s="17"/>
      <c r="R215" s="244">
        <v>4</v>
      </c>
      <c r="S215" s="235" t="s">
        <v>327</v>
      </c>
      <c r="T215" s="235" t="s">
        <v>328</v>
      </c>
      <c r="U215" s="236">
        <v>9.6999999999999993</v>
      </c>
      <c r="V215" s="281">
        <v>10.37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1323</v>
      </c>
      <c r="B216" s="151">
        <v>10</v>
      </c>
      <c r="C216" s="2"/>
      <c r="D216" s="4" t="s">
        <v>1308</v>
      </c>
      <c r="E216" s="151">
        <v>9.5</v>
      </c>
      <c r="F216" s="2"/>
      <c r="G216" s="11" t="s">
        <v>1343</v>
      </c>
      <c r="H216" s="150">
        <v>10</v>
      </c>
      <c r="I216" s="2"/>
      <c r="J216" s="4" t="s">
        <v>1277</v>
      </c>
      <c r="K216" s="151">
        <v>9</v>
      </c>
      <c r="L216" s="2"/>
      <c r="M216" s="4" t="s">
        <v>1290</v>
      </c>
      <c r="N216" s="151">
        <v>9</v>
      </c>
      <c r="O216" s="17"/>
      <c r="R216" s="244">
        <v>5</v>
      </c>
      <c r="S216" s="232" t="s">
        <v>2689</v>
      </c>
      <c r="T216" s="232" t="s">
        <v>674</v>
      </c>
      <c r="U216" s="233">
        <v>9.8800000000000008</v>
      </c>
      <c r="V216" s="281">
        <v>10.220000000000001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1324</v>
      </c>
      <c r="B217" s="151">
        <v>9</v>
      </c>
      <c r="C217" s="2"/>
      <c r="D217" s="4" t="s">
        <v>1309</v>
      </c>
      <c r="E217" s="151">
        <v>10</v>
      </c>
      <c r="F217" s="2"/>
      <c r="G217" s="4" t="s">
        <v>1344</v>
      </c>
      <c r="H217" s="151">
        <v>9</v>
      </c>
      <c r="I217" s="2"/>
      <c r="J217" s="7" t="s">
        <v>1278</v>
      </c>
      <c r="K217" s="152">
        <v>10</v>
      </c>
      <c r="L217" s="2"/>
      <c r="M217" s="4" t="s">
        <v>1291</v>
      </c>
      <c r="N217" s="151">
        <v>7.5</v>
      </c>
      <c r="O217" s="17"/>
      <c r="R217" s="244">
        <v>6</v>
      </c>
      <c r="S217" s="235" t="s">
        <v>330</v>
      </c>
      <c r="T217" s="235" t="s">
        <v>269</v>
      </c>
      <c r="U217" s="236">
        <v>9.3800000000000008</v>
      </c>
      <c r="V217" s="300">
        <v>9.5299999999999994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1325</v>
      </c>
      <c r="B218" s="151">
        <v>9</v>
      </c>
      <c r="C218" s="2"/>
      <c r="D218" s="4" t="s">
        <v>1310</v>
      </c>
      <c r="E218" s="151">
        <v>8.5</v>
      </c>
      <c r="F218" s="2"/>
      <c r="G218" s="4" t="s">
        <v>1345</v>
      </c>
      <c r="H218" s="151">
        <v>8.5</v>
      </c>
      <c r="I218" s="2"/>
      <c r="J218" s="16"/>
      <c r="K218" s="16"/>
      <c r="L218" s="2"/>
      <c r="M218" s="4" t="s">
        <v>1292</v>
      </c>
      <c r="N218" s="151">
        <v>9</v>
      </c>
      <c r="O218" s="17"/>
      <c r="R218" s="244">
        <v>7</v>
      </c>
      <c r="S218" s="232" t="s">
        <v>331</v>
      </c>
      <c r="T218" s="232" t="s">
        <v>1181</v>
      </c>
      <c r="U218" s="233">
        <v>9.4</v>
      </c>
      <c r="V218" s="296">
        <v>9.4600000000000009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1326</v>
      </c>
      <c r="B219" s="151">
        <v>8.5</v>
      </c>
      <c r="C219" s="2"/>
      <c r="D219" s="4" t="s">
        <v>1311</v>
      </c>
      <c r="E219" s="151"/>
      <c r="F219" s="2"/>
      <c r="G219" s="4" t="s">
        <v>1346</v>
      </c>
      <c r="H219" s="151">
        <v>10.5</v>
      </c>
      <c r="I219" s="17"/>
      <c r="J219" s="118" t="s">
        <v>1356</v>
      </c>
      <c r="K219" s="12">
        <f>ROUND(SUM(K220:K235)/COUNT(K220:K235), 2)</f>
        <v>8.82</v>
      </c>
      <c r="L219" s="2"/>
      <c r="M219" s="4" t="s">
        <v>1293</v>
      </c>
      <c r="N219" s="151">
        <v>9</v>
      </c>
      <c r="O219" s="17"/>
      <c r="R219" s="244">
        <v>8</v>
      </c>
      <c r="S219" s="235" t="s">
        <v>2033</v>
      </c>
      <c r="T219" s="235" t="s">
        <v>2026</v>
      </c>
      <c r="U219" s="236">
        <v>9.31</v>
      </c>
      <c r="V219" s="253">
        <v>9.43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1327</v>
      </c>
      <c r="B220" s="151">
        <v>8</v>
      </c>
      <c r="C220" s="2"/>
      <c r="D220" s="4" t="s">
        <v>1312</v>
      </c>
      <c r="E220" s="151">
        <v>8</v>
      </c>
      <c r="F220" s="2"/>
      <c r="G220" s="4" t="s">
        <v>1347</v>
      </c>
      <c r="H220" s="151">
        <v>8.5</v>
      </c>
      <c r="I220" s="2"/>
      <c r="J220" s="11" t="s">
        <v>1357</v>
      </c>
      <c r="K220" s="150">
        <v>10</v>
      </c>
      <c r="L220" s="2"/>
      <c r="M220" s="4" t="s">
        <v>1294</v>
      </c>
      <c r="N220" s="151">
        <v>7.5</v>
      </c>
      <c r="O220" s="17"/>
      <c r="R220" s="244">
        <v>9</v>
      </c>
      <c r="S220" s="232" t="s">
        <v>2485</v>
      </c>
      <c r="T220" s="232" t="s">
        <v>2469</v>
      </c>
      <c r="U220" s="233">
        <v>9.33</v>
      </c>
      <c r="V220" s="337">
        <v>9.3800000000000008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1328</v>
      </c>
      <c r="B221" s="151">
        <v>9.5</v>
      </c>
      <c r="C221" s="2"/>
      <c r="D221" s="4" t="s">
        <v>1313</v>
      </c>
      <c r="E221" s="151">
        <v>9.5</v>
      </c>
      <c r="F221" s="2"/>
      <c r="G221" s="4" t="s">
        <v>1348</v>
      </c>
      <c r="H221" s="151">
        <v>9</v>
      </c>
      <c r="I221" s="2"/>
      <c r="J221" s="4" t="s">
        <v>1358</v>
      </c>
      <c r="K221" s="151"/>
      <c r="L221" s="2"/>
      <c r="M221" s="4" t="s">
        <v>1295</v>
      </c>
      <c r="N221" s="151">
        <v>8</v>
      </c>
      <c r="O221" s="17"/>
      <c r="R221" s="244">
        <v>10</v>
      </c>
      <c r="S221" s="235" t="s">
        <v>335</v>
      </c>
      <c r="T221" s="235" t="s">
        <v>56</v>
      </c>
      <c r="U221" s="236">
        <v>9.25</v>
      </c>
      <c r="V221" s="305">
        <v>9.3699999999999992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1329</v>
      </c>
      <c r="B222" s="151">
        <v>9</v>
      </c>
      <c r="C222" s="2"/>
      <c r="D222" s="4" t="s">
        <v>1314</v>
      </c>
      <c r="E222" s="151">
        <v>8</v>
      </c>
      <c r="F222" s="2"/>
      <c r="G222" s="4" t="s">
        <v>1349</v>
      </c>
      <c r="H222" s="151">
        <v>7.5</v>
      </c>
      <c r="I222" s="2"/>
      <c r="J222" s="4" t="s">
        <v>1359</v>
      </c>
      <c r="K222" s="151">
        <v>10.5</v>
      </c>
      <c r="L222" s="2"/>
      <c r="M222" s="4" t="s">
        <v>1296</v>
      </c>
      <c r="N222" s="151">
        <v>9</v>
      </c>
      <c r="O222" s="17"/>
      <c r="R222" s="244">
        <v>11</v>
      </c>
      <c r="S222" s="232" t="s">
        <v>336</v>
      </c>
      <c r="T222" s="232" t="s">
        <v>188</v>
      </c>
      <c r="U222" s="233">
        <v>9.2100000000000009</v>
      </c>
      <c r="V222" s="287">
        <v>9.34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1330</v>
      </c>
      <c r="B223" s="151">
        <v>9</v>
      </c>
      <c r="C223" s="2"/>
      <c r="D223" s="4" t="s">
        <v>1315</v>
      </c>
      <c r="E223" s="151">
        <v>8</v>
      </c>
      <c r="F223" s="2"/>
      <c r="G223" s="4" t="s">
        <v>1350</v>
      </c>
      <c r="H223" s="151">
        <v>10.5</v>
      </c>
      <c r="I223" s="2"/>
      <c r="J223" s="4" t="s">
        <v>1360</v>
      </c>
      <c r="K223" s="151">
        <v>8.5</v>
      </c>
      <c r="L223" s="2"/>
      <c r="M223" s="4" t="s">
        <v>1297</v>
      </c>
      <c r="N223" s="151">
        <v>8</v>
      </c>
      <c r="O223" s="17"/>
      <c r="R223" s="244">
        <v>12</v>
      </c>
      <c r="S223" s="235" t="s">
        <v>334</v>
      </c>
      <c r="T223" s="235" t="s">
        <v>132</v>
      </c>
      <c r="U223" s="236">
        <v>9.2100000000000009</v>
      </c>
      <c r="V223" s="311">
        <v>9.2799999999999994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1331</v>
      </c>
      <c r="B224" s="152">
        <v>8.5</v>
      </c>
      <c r="C224" s="2"/>
      <c r="D224" s="4" t="s">
        <v>1316</v>
      </c>
      <c r="E224" s="151">
        <v>8</v>
      </c>
      <c r="F224" s="2"/>
      <c r="G224" s="4" t="s">
        <v>1351</v>
      </c>
      <c r="H224" s="151">
        <v>7</v>
      </c>
      <c r="I224" s="2"/>
      <c r="J224" s="4" t="s">
        <v>1361</v>
      </c>
      <c r="K224" s="151">
        <v>9</v>
      </c>
      <c r="L224" s="2"/>
      <c r="M224" s="4" t="s">
        <v>1298</v>
      </c>
      <c r="N224" s="151">
        <v>7</v>
      </c>
      <c r="O224" s="17"/>
      <c r="R224" s="244">
        <v>13</v>
      </c>
      <c r="S224" s="232" t="s">
        <v>444</v>
      </c>
      <c r="T224" s="232" t="s">
        <v>36</v>
      </c>
      <c r="U224" s="233">
        <v>9.15</v>
      </c>
      <c r="V224" s="319">
        <v>9.23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1317</v>
      </c>
      <c r="E225" s="151">
        <v>8</v>
      </c>
      <c r="F225" s="2"/>
      <c r="G225" s="4" t="s">
        <v>1352</v>
      </c>
      <c r="H225" s="151">
        <v>7.5</v>
      </c>
      <c r="I225" s="2"/>
      <c r="J225" s="4" t="s">
        <v>1362</v>
      </c>
      <c r="K225" s="151">
        <v>8</v>
      </c>
      <c r="L225" s="2"/>
      <c r="M225" s="4" t="s">
        <v>1299</v>
      </c>
      <c r="N225" s="151">
        <v>7.5</v>
      </c>
      <c r="O225" s="17"/>
      <c r="R225" s="244">
        <v>14</v>
      </c>
      <c r="S225" s="235" t="s">
        <v>480</v>
      </c>
      <c r="T225" s="235" t="s">
        <v>498</v>
      </c>
      <c r="U225" s="236">
        <v>9.17</v>
      </c>
      <c r="V225" s="319">
        <v>9.23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1376</v>
      </c>
      <c r="B226" s="12">
        <f>ROUND(SUM(B227:B233)/COUNT(B227:B233), 2)</f>
        <v>8.86</v>
      </c>
      <c r="C226" s="34"/>
      <c r="D226" s="3" t="s">
        <v>1318</v>
      </c>
      <c r="E226" s="151">
        <v>8.5</v>
      </c>
      <c r="F226" s="2"/>
      <c r="G226" s="4" t="s">
        <v>1353</v>
      </c>
      <c r="H226" s="151">
        <v>6.5</v>
      </c>
      <c r="I226" s="2"/>
      <c r="J226" s="4" t="s">
        <v>1363</v>
      </c>
      <c r="K226" s="151">
        <v>9.5</v>
      </c>
      <c r="L226" s="2"/>
      <c r="M226" s="7" t="s">
        <v>1300</v>
      </c>
      <c r="N226" s="152">
        <v>7.5</v>
      </c>
      <c r="O226" s="17"/>
      <c r="R226" s="244">
        <v>15</v>
      </c>
      <c r="S226" s="232" t="s">
        <v>908</v>
      </c>
      <c r="T226" s="232" t="s">
        <v>899</v>
      </c>
      <c r="U226" s="233">
        <v>9.06</v>
      </c>
      <c r="V226" s="266">
        <v>9.1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1377</v>
      </c>
      <c r="B227" s="150">
        <v>10</v>
      </c>
      <c r="C227" s="2"/>
      <c r="D227" s="7" t="s">
        <v>1319</v>
      </c>
      <c r="E227" s="152">
        <v>9</v>
      </c>
      <c r="F227" s="2"/>
      <c r="G227" s="7" t="s">
        <v>1354</v>
      </c>
      <c r="H227" s="152">
        <v>7</v>
      </c>
      <c r="I227" s="2"/>
      <c r="J227" s="4" t="s">
        <v>1364</v>
      </c>
      <c r="K227" s="151"/>
      <c r="L227" s="2"/>
      <c r="M227" s="16"/>
      <c r="N227" s="16"/>
      <c r="O227" s="17"/>
      <c r="R227" s="244">
        <v>16</v>
      </c>
      <c r="S227" s="235" t="s">
        <v>337</v>
      </c>
      <c r="T227" s="235" t="s">
        <v>159</v>
      </c>
      <c r="U227" s="236">
        <v>9</v>
      </c>
      <c r="V227" s="266">
        <v>9.09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1378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1365</v>
      </c>
      <c r="K228" s="151">
        <v>8</v>
      </c>
      <c r="L228" s="17"/>
      <c r="M228" s="121" t="s">
        <v>1411</v>
      </c>
      <c r="N228" s="12">
        <f>ROUND(SUM(N229:N238)/COUNT(N229:N238), 2)</f>
        <v>8.0500000000000007</v>
      </c>
      <c r="O228" s="17"/>
      <c r="R228" s="244">
        <v>17</v>
      </c>
      <c r="S228" s="232" t="s">
        <v>338</v>
      </c>
      <c r="T228" s="232" t="s">
        <v>259</v>
      </c>
      <c r="U228" s="233">
        <v>9</v>
      </c>
      <c r="V228" s="266">
        <v>9.09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1379</v>
      </c>
      <c r="B229" s="151">
        <v>9</v>
      </c>
      <c r="C229" s="2"/>
      <c r="D229" s="119" t="s">
        <v>1387</v>
      </c>
      <c r="E229" s="12">
        <f>ROUND(SUM(E230:E235)/COUNT(E230:E235), 2)</f>
        <v>8.83</v>
      </c>
      <c r="F229" s="17"/>
      <c r="G229" s="120" t="s">
        <v>1412</v>
      </c>
      <c r="H229" s="12">
        <f>ROUND(SUM(H230:H244)/COUNT(H230:H244), 2)</f>
        <v>8.8800000000000008</v>
      </c>
      <c r="I229" s="2"/>
      <c r="J229" s="4" t="s">
        <v>1366</v>
      </c>
      <c r="K229" s="151">
        <v>8</v>
      </c>
      <c r="L229" s="2"/>
      <c r="M229" s="11" t="s">
        <v>1399</v>
      </c>
      <c r="N229" s="150">
        <v>8</v>
      </c>
      <c r="O229" s="17"/>
      <c r="R229" s="244">
        <v>18</v>
      </c>
      <c r="S229" s="235" t="s">
        <v>1605</v>
      </c>
      <c r="T229" s="235" t="s">
        <v>2369</v>
      </c>
      <c r="U229" s="236">
        <v>9.07</v>
      </c>
      <c r="V229" s="327">
        <v>9.02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1380</v>
      </c>
      <c r="B230" s="151">
        <v>8</v>
      </c>
      <c r="C230" s="2"/>
      <c r="D230" s="11" t="s">
        <v>1388</v>
      </c>
      <c r="E230" s="150">
        <v>8.5</v>
      </c>
      <c r="F230" s="2"/>
      <c r="G230" s="11" t="s">
        <v>1413</v>
      </c>
      <c r="H230" s="150"/>
      <c r="I230" s="2"/>
      <c r="J230" s="4" t="s">
        <v>1367</v>
      </c>
      <c r="K230" s="151">
        <v>10</v>
      </c>
      <c r="L230" s="2"/>
      <c r="M230" s="4" t="s">
        <v>1400</v>
      </c>
      <c r="N230" s="151">
        <v>8.5</v>
      </c>
      <c r="O230" s="17"/>
      <c r="R230" s="244">
        <v>19</v>
      </c>
      <c r="S230" s="232" t="s">
        <v>2780</v>
      </c>
      <c r="T230" s="232" t="s">
        <v>2773</v>
      </c>
      <c r="U230" s="233">
        <v>9.06</v>
      </c>
      <c r="V230" s="327">
        <v>9.02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1381</v>
      </c>
      <c r="B231" s="151">
        <v>9</v>
      </c>
      <c r="C231" s="2"/>
      <c r="D231" s="4" t="s">
        <v>1389</v>
      </c>
      <c r="E231" s="151">
        <v>8.5</v>
      </c>
      <c r="F231" s="2"/>
      <c r="G231" s="4" t="s">
        <v>1414</v>
      </c>
      <c r="H231" s="151">
        <v>8.5</v>
      </c>
      <c r="I231" s="2"/>
      <c r="J231" s="4" t="s">
        <v>1368</v>
      </c>
      <c r="K231" s="151">
        <v>7.5</v>
      </c>
      <c r="L231" s="2"/>
      <c r="M231" s="4" t="s">
        <v>1401</v>
      </c>
      <c r="N231" s="151">
        <v>9.5</v>
      </c>
      <c r="O231" s="17"/>
      <c r="R231" s="244">
        <v>20</v>
      </c>
      <c r="S231" s="235" t="s">
        <v>2904</v>
      </c>
      <c r="T231" s="235" t="s">
        <v>2900</v>
      </c>
      <c r="U231" s="236">
        <v>8.83</v>
      </c>
      <c r="V231" s="260">
        <v>9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1382</v>
      </c>
      <c r="B232" s="151">
        <v>8.5</v>
      </c>
      <c r="C232" s="2"/>
      <c r="D232" s="4" t="s">
        <v>1390</v>
      </c>
      <c r="E232" s="151">
        <v>8</v>
      </c>
      <c r="F232" s="2"/>
      <c r="G232" s="4" t="s">
        <v>1415</v>
      </c>
      <c r="H232" s="151">
        <v>9.5</v>
      </c>
      <c r="I232" s="2"/>
      <c r="J232" s="4" t="s">
        <v>1369</v>
      </c>
      <c r="K232" s="151">
        <v>9.5</v>
      </c>
      <c r="L232" s="2"/>
      <c r="M232" s="4" t="s">
        <v>1402</v>
      </c>
      <c r="N232" s="151">
        <v>8.5</v>
      </c>
      <c r="O232" s="17"/>
      <c r="R232" s="244">
        <v>21</v>
      </c>
      <c r="S232" s="232" t="s">
        <v>1333</v>
      </c>
      <c r="T232" s="232" t="s">
        <v>1324</v>
      </c>
      <c r="U232" s="233">
        <v>9</v>
      </c>
      <c r="V232" s="367">
        <v>8.9600000000000009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1383</v>
      </c>
      <c r="B233" s="152">
        <v>8</v>
      </c>
      <c r="C233" s="2"/>
      <c r="D233" s="4" t="s">
        <v>1391</v>
      </c>
      <c r="E233" s="151">
        <v>9</v>
      </c>
      <c r="F233" s="2"/>
      <c r="G233" s="4" t="s">
        <v>1416</v>
      </c>
      <c r="H233" s="151">
        <v>8.5</v>
      </c>
      <c r="I233" s="2"/>
      <c r="J233" s="4" t="s">
        <v>1370</v>
      </c>
      <c r="K233" s="151">
        <v>8</v>
      </c>
      <c r="L233" s="2"/>
      <c r="M233" s="4" t="s">
        <v>1403</v>
      </c>
      <c r="N233" s="151">
        <v>7</v>
      </c>
      <c r="O233" s="17"/>
      <c r="R233" s="244">
        <v>22</v>
      </c>
      <c r="S233" s="235" t="s">
        <v>345</v>
      </c>
      <c r="T233" s="235" t="s">
        <v>1617</v>
      </c>
      <c r="U233" s="236">
        <v>8.94</v>
      </c>
      <c r="V233" s="262">
        <v>8.9499999999999993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1392</v>
      </c>
      <c r="E234" s="151">
        <v>9</v>
      </c>
      <c r="F234" s="2"/>
      <c r="G234" s="4" t="s">
        <v>1417</v>
      </c>
      <c r="H234" s="151">
        <v>10</v>
      </c>
      <c r="I234" s="2"/>
      <c r="J234" s="4" t="s">
        <v>1371</v>
      </c>
      <c r="K234" s="151">
        <v>9</v>
      </c>
      <c r="L234" s="2"/>
      <c r="M234" s="4" t="s">
        <v>1404</v>
      </c>
      <c r="N234" s="151">
        <v>8</v>
      </c>
      <c r="O234" s="17"/>
      <c r="R234" s="244">
        <v>23</v>
      </c>
      <c r="S234" s="232" t="s">
        <v>739</v>
      </c>
      <c r="T234" s="232" t="s">
        <v>740</v>
      </c>
      <c r="U234" s="233">
        <v>8.91</v>
      </c>
      <c r="V234" s="328">
        <v>8.93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1429</v>
      </c>
      <c r="B235" s="12">
        <f>ROUND(SUM(B236:B244)/COUNT(B236:B244), 2)</f>
        <v>8.83</v>
      </c>
      <c r="C235" s="2"/>
      <c r="D235" s="7" t="s">
        <v>1393</v>
      </c>
      <c r="E235" s="152">
        <v>10</v>
      </c>
      <c r="F235" s="2"/>
      <c r="G235" s="4" t="s">
        <v>1418</v>
      </c>
      <c r="H235" s="153">
        <v>10.5</v>
      </c>
      <c r="I235" s="2"/>
      <c r="J235" s="7" t="s">
        <v>1372</v>
      </c>
      <c r="K235" s="152">
        <v>8</v>
      </c>
      <c r="L235" s="2"/>
      <c r="M235" s="4" t="s">
        <v>1405</v>
      </c>
      <c r="N235" s="151">
        <v>8.5</v>
      </c>
      <c r="O235" s="17"/>
      <c r="R235" s="244">
        <v>24</v>
      </c>
      <c r="S235" s="235" t="s">
        <v>346</v>
      </c>
      <c r="T235" s="235" t="s">
        <v>1844</v>
      </c>
      <c r="U235" s="236">
        <v>8.9600000000000009</v>
      </c>
      <c r="V235" s="328">
        <v>8.93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1430</v>
      </c>
      <c r="B236" s="150">
        <v>9</v>
      </c>
      <c r="C236" s="2"/>
      <c r="D236" s="16"/>
      <c r="E236" s="16"/>
      <c r="F236" s="2"/>
      <c r="G236" s="4" t="s">
        <v>1419</v>
      </c>
      <c r="H236" s="151">
        <v>9</v>
      </c>
      <c r="I236" s="2"/>
      <c r="J236" s="16"/>
      <c r="K236" s="16"/>
      <c r="L236" s="2"/>
      <c r="M236" s="4" t="s">
        <v>1406</v>
      </c>
      <c r="N236" s="151">
        <v>7</v>
      </c>
      <c r="O236" s="17"/>
      <c r="R236" s="244">
        <v>25</v>
      </c>
      <c r="S236" s="232" t="s">
        <v>717</v>
      </c>
      <c r="T236" s="232" t="s">
        <v>1427</v>
      </c>
      <c r="U236" s="233">
        <v>8.8800000000000008</v>
      </c>
      <c r="V236" s="255">
        <v>8.89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1431</v>
      </c>
      <c r="B237" s="151">
        <v>10</v>
      </c>
      <c r="C237" s="2"/>
      <c r="D237" s="124" t="s">
        <v>1462</v>
      </c>
      <c r="E237" s="1">
        <f>ROUND(SUM(E238:E252)/COUNT(E238:E252), 2)</f>
        <v>8.8000000000000007</v>
      </c>
      <c r="F237" s="2"/>
      <c r="G237" s="4" t="s">
        <v>1420</v>
      </c>
      <c r="H237" s="151">
        <v>8.5</v>
      </c>
      <c r="I237" s="17"/>
      <c r="J237" s="126" t="s">
        <v>1464</v>
      </c>
      <c r="K237" s="12">
        <f>ROUND(SUM(K238:K250)/COUNT(K238:K250), 2)</f>
        <v>8.73</v>
      </c>
      <c r="L237" s="2"/>
      <c r="M237" s="4" t="s">
        <v>1407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1432</v>
      </c>
      <c r="B238" s="151">
        <v>8.5</v>
      </c>
      <c r="C238" s="2"/>
      <c r="D238" s="11" t="s">
        <v>1443</v>
      </c>
      <c r="E238" s="150">
        <v>8</v>
      </c>
      <c r="F238" s="2"/>
      <c r="G238" s="4" t="s">
        <v>1421</v>
      </c>
      <c r="H238" s="151">
        <v>8.5</v>
      </c>
      <c r="I238" s="2"/>
      <c r="J238" s="11" t="s">
        <v>1477</v>
      </c>
      <c r="K238" s="150">
        <v>10.5</v>
      </c>
      <c r="L238" s="2"/>
      <c r="M238" s="7" t="s">
        <v>1408</v>
      </c>
      <c r="N238" s="152">
        <v>7.5</v>
      </c>
      <c r="O238" s="17"/>
      <c r="R238" s="368" t="s">
        <v>2810</v>
      </c>
      <c r="S238" s="368"/>
      <c r="T238" s="368"/>
      <c r="U238" s="368"/>
      <c r="V238" s="36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1433</v>
      </c>
      <c r="B239" s="151">
        <v>8.5</v>
      </c>
      <c r="C239" s="2"/>
      <c r="D239" s="4" t="s">
        <v>1444</v>
      </c>
      <c r="E239" s="151">
        <v>8.5</v>
      </c>
      <c r="F239" s="2"/>
      <c r="G239" s="4" t="s">
        <v>1422</v>
      </c>
      <c r="H239" s="151">
        <v>8</v>
      </c>
      <c r="I239" s="2"/>
      <c r="J239" s="4" t="s">
        <v>1465</v>
      </c>
      <c r="K239" s="151">
        <v>9.5</v>
      </c>
      <c r="L239" s="2"/>
      <c r="M239" s="16"/>
      <c r="N239" s="16"/>
      <c r="O239" s="17"/>
      <c r="R239" s="231" t="s">
        <v>352</v>
      </c>
      <c r="S239" s="231" t="s">
        <v>319</v>
      </c>
      <c r="T239" s="231" t="s">
        <v>320</v>
      </c>
      <c r="U239" s="231" t="s">
        <v>321</v>
      </c>
      <c r="V239" s="231" t="s">
        <v>1002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1434</v>
      </c>
      <c r="B240" s="151">
        <v>9.5</v>
      </c>
      <c r="C240" s="2"/>
      <c r="D240" s="4" t="s">
        <v>1445</v>
      </c>
      <c r="E240" s="151">
        <v>9.5</v>
      </c>
      <c r="F240" s="2"/>
      <c r="G240" s="4" t="s">
        <v>1423</v>
      </c>
      <c r="H240" s="151"/>
      <c r="I240" s="2"/>
      <c r="J240" s="4" t="s">
        <v>1466</v>
      </c>
      <c r="K240" s="151">
        <v>9</v>
      </c>
      <c r="L240" s="2"/>
      <c r="M240" s="160" t="s">
        <v>1481</v>
      </c>
      <c r="N240" s="1">
        <f>ROUND(SUM(N241:N247)/COUNT(N241:N247), 2)</f>
        <v>8.93</v>
      </c>
      <c r="O240" s="17"/>
      <c r="R240" s="238">
        <v>1</v>
      </c>
      <c r="S240" s="232" t="s">
        <v>996</v>
      </c>
      <c r="T240" s="232" t="s">
        <v>994</v>
      </c>
      <c r="U240" s="233">
        <v>10.5</v>
      </c>
      <c r="V240" s="281">
        <v>10.85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1435</v>
      </c>
      <c r="B241" s="151">
        <v>8</v>
      </c>
      <c r="C241" s="2"/>
      <c r="D241" s="4" t="s">
        <v>1446</v>
      </c>
      <c r="E241" s="151">
        <v>10</v>
      </c>
      <c r="F241" s="2"/>
      <c r="G241" s="4" t="s">
        <v>1424</v>
      </c>
      <c r="H241" s="151">
        <v>9.5</v>
      </c>
      <c r="I241" s="2"/>
      <c r="J241" s="4" t="s">
        <v>1467</v>
      </c>
      <c r="K241" s="151">
        <v>9.5</v>
      </c>
      <c r="L241" s="2"/>
      <c r="M241" s="11" t="s">
        <v>1482</v>
      </c>
      <c r="N241" s="150">
        <v>9.5</v>
      </c>
      <c r="O241" s="17"/>
      <c r="R241" s="240">
        <v>2</v>
      </c>
      <c r="S241" s="235" t="s">
        <v>326</v>
      </c>
      <c r="T241" s="235" t="s">
        <v>7</v>
      </c>
      <c r="U241" s="236">
        <v>9.89</v>
      </c>
      <c r="V241" s="281">
        <v>10.52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1436</v>
      </c>
      <c r="B242" s="151">
        <v>8.5</v>
      </c>
      <c r="C242" s="2"/>
      <c r="D242" s="4" t="s">
        <v>1447</v>
      </c>
      <c r="E242" s="151">
        <v>8.5</v>
      </c>
      <c r="F242" s="2"/>
      <c r="G242" s="4" t="s">
        <v>1425</v>
      </c>
      <c r="H242" s="151">
        <v>8</v>
      </c>
      <c r="I242" s="2"/>
      <c r="J242" s="4" t="s">
        <v>1468</v>
      </c>
      <c r="K242" s="151">
        <v>9</v>
      </c>
      <c r="L242" s="2"/>
      <c r="M242" s="4" t="s">
        <v>1483</v>
      </c>
      <c r="N242" s="151">
        <v>8</v>
      </c>
      <c r="O242" s="17"/>
      <c r="R242" s="242">
        <v>3</v>
      </c>
      <c r="S242" s="232" t="s">
        <v>332</v>
      </c>
      <c r="T242" s="232" t="s">
        <v>1027</v>
      </c>
      <c r="U242" s="233">
        <v>10</v>
      </c>
      <c r="V242" s="281">
        <v>10.39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1437</v>
      </c>
      <c r="B243" s="151">
        <v>9</v>
      </c>
      <c r="C243" s="2"/>
      <c r="D243" s="4" t="s">
        <v>1448</v>
      </c>
      <c r="E243" s="151">
        <v>9.5</v>
      </c>
      <c r="F243" s="2"/>
      <c r="G243" s="4" t="s">
        <v>1426</v>
      </c>
      <c r="H243" s="151">
        <v>8.5</v>
      </c>
      <c r="I243" s="2"/>
      <c r="J243" s="4" t="s">
        <v>1469</v>
      </c>
      <c r="K243" s="151">
        <v>8</v>
      </c>
      <c r="L243" s="2"/>
      <c r="M243" s="4" t="s">
        <v>1484</v>
      </c>
      <c r="N243" s="151">
        <v>10</v>
      </c>
      <c r="O243" s="17"/>
      <c r="R243" s="244">
        <v>4</v>
      </c>
      <c r="S243" s="235" t="s">
        <v>327</v>
      </c>
      <c r="T243" s="235" t="s">
        <v>328</v>
      </c>
      <c r="U243" s="236">
        <v>9.6999999999999993</v>
      </c>
      <c r="V243" s="281">
        <v>10.37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1438</v>
      </c>
      <c r="B244" s="152">
        <v>8.5</v>
      </c>
      <c r="C244" s="2"/>
      <c r="D244" s="4" t="s">
        <v>1449</v>
      </c>
      <c r="E244" s="151">
        <v>9.5</v>
      </c>
      <c r="F244" s="2"/>
      <c r="G244" s="7" t="s">
        <v>1427</v>
      </c>
      <c r="H244" s="152">
        <v>8.5</v>
      </c>
      <c r="I244" s="2"/>
      <c r="J244" s="4" t="s">
        <v>1470</v>
      </c>
      <c r="K244" s="151">
        <v>9</v>
      </c>
      <c r="L244" s="2"/>
      <c r="M244" s="4" t="s">
        <v>1485</v>
      </c>
      <c r="N244" s="151">
        <v>8</v>
      </c>
      <c r="O244" s="17"/>
      <c r="R244" s="244">
        <v>5</v>
      </c>
      <c r="S244" s="232" t="s">
        <v>2689</v>
      </c>
      <c r="T244" s="232" t="s">
        <v>674</v>
      </c>
      <c r="U244" s="233">
        <v>9.8800000000000008</v>
      </c>
      <c r="V244" s="281">
        <v>10.220000000000001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1450</v>
      </c>
      <c r="E245" s="151">
        <v>8</v>
      </c>
      <c r="F245" s="2"/>
      <c r="G245" s="16"/>
      <c r="H245" s="16"/>
      <c r="I245" s="2"/>
      <c r="J245" s="4" t="s">
        <v>1471</v>
      </c>
      <c r="K245" s="151">
        <v>8.5</v>
      </c>
      <c r="L245" s="2"/>
      <c r="M245" s="4" t="s">
        <v>1486</v>
      </c>
      <c r="N245" s="151">
        <v>9</v>
      </c>
      <c r="O245" s="17"/>
      <c r="R245" s="244">
        <v>6</v>
      </c>
      <c r="S245" s="235" t="s">
        <v>332</v>
      </c>
      <c r="T245" s="235" t="s">
        <v>333</v>
      </c>
      <c r="U245" s="236">
        <v>9.61</v>
      </c>
      <c r="V245" s="281">
        <v>10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1521</v>
      </c>
      <c r="B246" s="12">
        <f>ROUND(SUM(B247:B258)/COUNT(B247:B258), 2)</f>
        <v>8.82</v>
      </c>
      <c r="C246" s="2"/>
      <c r="D246" s="4" t="s">
        <v>1451</v>
      </c>
      <c r="E246" s="151">
        <v>8</v>
      </c>
      <c r="F246" s="2"/>
      <c r="G246" s="127" t="s">
        <v>1503</v>
      </c>
      <c r="H246" s="1">
        <f>ROUND(SUM(H247:H256)/COUNT(H247:H256), 2)</f>
        <v>8.75</v>
      </c>
      <c r="I246" s="2"/>
      <c r="J246" s="4" t="s">
        <v>1472</v>
      </c>
      <c r="K246" s="151">
        <v>8</v>
      </c>
      <c r="L246" s="2"/>
      <c r="M246" s="4" t="s">
        <v>1487</v>
      </c>
      <c r="N246" s="151">
        <v>8.5</v>
      </c>
      <c r="O246" s="17"/>
      <c r="R246" s="244">
        <v>7</v>
      </c>
      <c r="S246" s="232" t="s">
        <v>326</v>
      </c>
      <c r="T246" s="232" t="s">
        <v>557</v>
      </c>
      <c r="U246" s="233">
        <v>9.61</v>
      </c>
      <c r="V246" s="334">
        <v>9.99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1509</v>
      </c>
      <c r="B247" s="150">
        <v>9.5</v>
      </c>
      <c r="C247" s="2"/>
      <c r="D247" s="4" t="s">
        <v>1452</v>
      </c>
      <c r="E247" s="151">
        <v>8.5</v>
      </c>
      <c r="F247" s="2"/>
      <c r="G247" s="4" t="s">
        <v>1494</v>
      </c>
      <c r="H247" s="151">
        <v>10</v>
      </c>
      <c r="I247" s="2"/>
      <c r="J247" s="4" t="s">
        <v>1473</v>
      </c>
      <c r="K247" s="151">
        <v>8</v>
      </c>
      <c r="L247" s="2"/>
      <c r="M247" s="7" t="s">
        <v>1488</v>
      </c>
      <c r="N247" s="152">
        <v>9.5</v>
      </c>
      <c r="O247" s="17"/>
      <c r="R247" s="244">
        <v>8</v>
      </c>
      <c r="S247" s="235" t="s">
        <v>326</v>
      </c>
      <c r="T247" s="235" t="s">
        <v>158</v>
      </c>
      <c r="U247" s="236">
        <v>9.61</v>
      </c>
      <c r="V247" s="333">
        <v>9.9600000000000009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1510</v>
      </c>
      <c r="B248" s="151">
        <v>8.5</v>
      </c>
      <c r="C248" s="2"/>
      <c r="D248" s="4" t="s">
        <v>1453</v>
      </c>
      <c r="E248" s="151">
        <v>10</v>
      </c>
      <c r="F248" s="2"/>
      <c r="G248" s="4" t="s">
        <v>1495</v>
      </c>
      <c r="H248" s="151">
        <v>9</v>
      </c>
      <c r="I248" s="2"/>
      <c r="J248" s="4" t="s">
        <v>1474</v>
      </c>
      <c r="K248" s="151">
        <v>8</v>
      </c>
      <c r="L248" s="2"/>
      <c r="M248" s="2"/>
      <c r="N248" s="2"/>
      <c r="O248" s="17"/>
      <c r="R248" s="244">
        <v>9</v>
      </c>
      <c r="S248" s="232" t="s">
        <v>327</v>
      </c>
      <c r="T248" s="232" t="s">
        <v>329</v>
      </c>
      <c r="U248" s="233">
        <v>9.5500000000000007</v>
      </c>
      <c r="V248" s="320">
        <v>9.81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1511</v>
      </c>
      <c r="B249" s="151">
        <v>8.5</v>
      </c>
      <c r="C249" s="2"/>
      <c r="D249" s="4" t="s">
        <v>1454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1475</v>
      </c>
      <c r="K249" s="151">
        <v>8.5</v>
      </c>
      <c r="L249" s="2"/>
      <c r="M249" s="161" t="s">
        <v>1526</v>
      </c>
      <c r="N249" s="12">
        <f>ROUND(SUM(N250:N275)/COUNT(N250:N275), 2)</f>
        <v>8.67</v>
      </c>
      <c r="O249" s="17"/>
      <c r="R249" s="244">
        <v>10</v>
      </c>
      <c r="S249" s="235" t="s">
        <v>326</v>
      </c>
      <c r="T249" s="235" t="s">
        <v>1243</v>
      </c>
      <c r="U249" s="236">
        <v>9.36</v>
      </c>
      <c r="V249" s="364">
        <v>9.6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1512</v>
      </c>
      <c r="B250" s="151"/>
      <c r="C250" s="2"/>
      <c r="D250" s="4" t="s">
        <v>1455</v>
      </c>
      <c r="E250" s="151">
        <v>9</v>
      </c>
      <c r="F250" s="2"/>
      <c r="G250" s="4" t="s">
        <v>1496</v>
      </c>
      <c r="H250" s="151">
        <v>9</v>
      </c>
      <c r="I250" s="2"/>
      <c r="J250" s="7" t="s">
        <v>1476</v>
      </c>
      <c r="K250" s="152">
        <v>8</v>
      </c>
      <c r="L250" s="2"/>
      <c r="M250" s="11" t="s">
        <v>1525</v>
      </c>
      <c r="N250" s="150">
        <v>10</v>
      </c>
      <c r="O250" s="17"/>
      <c r="R250" s="244">
        <v>11</v>
      </c>
      <c r="S250" s="232" t="s">
        <v>332</v>
      </c>
      <c r="T250" s="232" t="s">
        <v>767</v>
      </c>
      <c r="U250" s="233">
        <v>9.4</v>
      </c>
      <c r="V250" s="317">
        <v>9.5500000000000007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1513</v>
      </c>
      <c r="B251" s="151">
        <v>8</v>
      </c>
      <c r="C251" s="2"/>
      <c r="D251" s="4" t="s">
        <v>1456</v>
      </c>
      <c r="E251" s="151">
        <v>8.5</v>
      </c>
      <c r="F251" s="2"/>
      <c r="G251" s="4" t="s">
        <v>1497</v>
      </c>
      <c r="H251" s="151">
        <v>8.5</v>
      </c>
      <c r="I251" s="2"/>
      <c r="J251" s="2"/>
      <c r="K251" s="2"/>
      <c r="L251" s="2"/>
      <c r="M251" s="4" t="s">
        <v>1527</v>
      </c>
      <c r="N251" s="151">
        <v>9</v>
      </c>
      <c r="O251" s="17"/>
      <c r="R251" s="244">
        <v>12</v>
      </c>
      <c r="S251" s="235" t="s">
        <v>330</v>
      </c>
      <c r="T251" s="235" t="s">
        <v>269</v>
      </c>
      <c r="U251" s="236">
        <v>9.3800000000000008</v>
      </c>
      <c r="V251" s="300">
        <v>9.5299999999999994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1514</v>
      </c>
      <c r="B252" s="151">
        <v>10</v>
      </c>
      <c r="C252" s="2"/>
      <c r="D252" s="7" t="s">
        <v>1457</v>
      </c>
      <c r="E252" s="152">
        <v>8</v>
      </c>
      <c r="F252" s="2"/>
      <c r="G252" s="4" t="s">
        <v>1498</v>
      </c>
      <c r="H252" s="151">
        <v>8</v>
      </c>
      <c r="I252" s="2"/>
      <c r="J252" s="130" t="s">
        <v>1566</v>
      </c>
      <c r="K252" s="1">
        <f>ROUND(SUM(K253:K262)/COUNT(K253:K262), 2)</f>
        <v>8</v>
      </c>
      <c r="L252" s="2"/>
      <c r="M252" s="4" t="s">
        <v>1528</v>
      </c>
      <c r="N252" s="151">
        <v>8.5</v>
      </c>
      <c r="O252" s="17"/>
      <c r="R252" s="244">
        <v>13</v>
      </c>
      <c r="S252" s="232" t="s">
        <v>326</v>
      </c>
      <c r="T252" s="232" t="s">
        <v>2564</v>
      </c>
      <c r="U252" s="233">
        <v>9.25</v>
      </c>
      <c r="V252" s="300">
        <v>9.5299999999999994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1515</v>
      </c>
      <c r="B253" s="151">
        <v>10.5</v>
      </c>
      <c r="C253" s="2"/>
      <c r="D253" s="2"/>
      <c r="E253" s="2"/>
      <c r="F253" s="2"/>
      <c r="G253" s="4" t="s">
        <v>1499</v>
      </c>
      <c r="H253" s="151">
        <v>9</v>
      </c>
      <c r="I253" s="2"/>
      <c r="J253" s="11" t="s">
        <v>1556</v>
      </c>
      <c r="K253" s="150">
        <v>8.5</v>
      </c>
      <c r="L253" s="2"/>
      <c r="M253" s="4" t="s">
        <v>1529</v>
      </c>
      <c r="N253" s="151">
        <v>8</v>
      </c>
      <c r="O253" s="17"/>
      <c r="R253" s="244">
        <v>14</v>
      </c>
      <c r="S253" s="235" t="s">
        <v>331</v>
      </c>
      <c r="T253" s="235" t="s">
        <v>1181</v>
      </c>
      <c r="U253" s="236">
        <v>9.4</v>
      </c>
      <c r="V253" s="296">
        <v>9.4600000000000009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1516</v>
      </c>
      <c r="B254" s="151">
        <v>9</v>
      </c>
      <c r="C254" s="2"/>
      <c r="D254" s="131" t="s">
        <v>1571</v>
      </c>
      <c r="E254" s="1">
        <f>ROUND(SUM(E255:E264)/COUNT(E255:E264), 2)</f>
        <v>8.44</v>
      </c>
      <c r="F254" s="2"/>
      <c r="G254" s="4" t="s">
        <v>1500</v>
      </c>
      <c r="H254" s="151">
        <v>8</v>
      </c>
      <c r="I254" s="2"/>
      <c r="J254" s="4" t="s">
        <v>1557</v>
      </c>
      <c r="K254" s="151">
        <v>7.5</v>
      </c>
      <c r="L254" s="2"/>
      <c r="M254" s="4" t="s">
        <v>1530</v>
      </c>
      <c r="N254" s="151">
        <v>10.5</v>
      </c>
      <c r="O254" s="17"/>
      <c r="R254" s="244">
        <v>15</v>
      </c>
      <c r="S254" s="232" t="s">
        <v>2033</v>
      </c>
      <c r="T254" s="232" t="s">
        <v>2026</v>
      </c>
      <c r="U254" s="233">
        <v>9.31</v>
      </c>
      <c r="V254" s="253">
        <v>9.43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1517</v>
      </c>
      <c r="B255" s="151">
        <v>8</v>
      </c>
      <c r="C255" s="2"/>
      <c r="D255" s="11" t="s">
        <v>1572</v>
      </c>
      <c r="E255" s="150">
        <v>8.5</v>
      </c>
      <c r="F255" s="2"/>
      <c r="G255" s="4" t="s">
        <v>1501</v>
      </c>
      <c r="H255" s="151">
        <v>8</v>
      </c>
      <c r="I255" s="2"/>
      <c r="J255" s="4" t="s">
        <v>1558</v>
      </c>
      <c r="K255" s="151">
        <v>9.5</v>
      </c>
      <c r="L255" s="2"/>
      <c r="M255" s="4" t="s">
        <v>1531</v>
      </c>
      <c r="N255" s="151">
        <v>9.5</v>
      </c>
      <c r="O255" s="17"/>
      <c r="R255" s="244">
        <v>16</v>
      </c>
      <c r="S255" s="235" t="s">
        <v>2485</v>
      </c>
      <c r="T255" s="235" t="s">
        <v>2469</v>
      </c>
      <c r="U255" s="236">
        <v>9.33</v>
      </c>
      <c r="V255" s="337">
        <v>9.3800000000000008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1518</v>
      </c>
      <c r="B256" s="151">
        <v>8</v>
      </c>
      <c r="C256" s="2"/>
      <c r="D256" s="4" t="s">
        <v>1573</v>
      </c>
      <c r="E256" s="151">
        <v>10</v>
      </c>
      <c r="F256" s="2"/>
      <c r="G256" s="7" t="s">
        <v>1502</v>
      </c>
      <c r="H256" s="152">
        <v>8</v>
      </c>
      <c r="I256" s="2"/>
      <c r="J256" s="4" t="s">
        <v>1559</v>
      </c>
      <c r="K256" s="151">
        <v>7.5</v>
      </c>
      <c r="L256" s="2"/>
      <c r="M256" s="4" t="s">
        <v>9</v>
      </c>
      <c r="N256" s="151">
        <v>8</v>
      </c>
      <c r="O256" s="17"/>
      <c r="R256" s="244">
        <v>17</v>
      </c>
      <c r="S256" s="232" t="s">
        <v>335</v>
      </c>
      <c r="T256" s="232" t="s">
        <v>56</v>
      </c>
      <c r="U256" s="233">
        <v>9.25</v>
      </c>
      <c r="V256" s="305">
        <v>9.3699999999999992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1519</v>
      </c>
      <c r="B257" s="151">
        <v>8.5</v>
      </c>
      <c r="C257" s="2"/>
      <c r="D257" s="4" t="s">
        <v>1574</v>
      </c>
      <c r="E257" s="151">
        <v>9.5</v>
      </c>
      <c r="F257" s="2"/>
      <c r="G257" s="2"/>
      <c r="H257" s="2"/>
      <c r="I257" s="2"/>
      <c r="J257" s="4" t="s">
        <v>1560</v>
      </c>
      <c r="K257" s="151">
        <v>9</v>
      </c>
      <c r="L257" s="2"/>
      <c r="M257" s="4" t="s">
        <v>1532</v>
      </c>
      <c r="N257" s="151">
        <v>10.5</v>
      </c>
      <c r="O257" s="17"/>
      <c r="R257" s="244">
        <v>18</v>
      </c>
      <c r="S257" s="235" t="s">
        <v>327</v>
      </c>
      <c r="T257" s="235" t="s">
        <v>285</v>
      </c>
      <c r="U257" s="236">
        <v>9.15</v>
      </c>
      <c r="V257" s="305">
        <v>9.3699999999999992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1520</v>
      </c>
      <c r="B258" s="152">
        <v>8.5</v>
      </c>
      <c r="C258" s="2"/>
      <c r="D258" s="4" t="s">
        <v>1575</v>
      </c>
      <c r="E258" s="151">
        <v>10</v>
      </c>
      <c r="F258" s="2"/>
      <c r="G258" s="132" t="s">
        <v>1585</v>
      </c>
      <c r="H258" s="12">
        <f>ROUND(SUM(H259:H263)/COUNT(H259:H263), 2)</f>
        <v>8.9</v>
      </c>
      <c r="I258" s="2"/>
      <c r="J258" s="4" t="s">
        <v>1561</v>
      </c>
      <c r="K258" s="151">
        <v>6.5</v>
      </c>
      <c r="L258" s="2"/>
      <c r="M258" s="4" t="s">
        <v>1533</v>
      </c>
      <c r="N258" s="151">
        <v>10.5</v>
      </c>
      <c r="O258" s="17"/>
      <c r="R258" s="244">
        <v>19</v>
      </c>
      <c r="S258" s="232" t="s">
        <v>331</v>
      </c>
      <c r="T258" s="232" t="s">
        <v>1005</v>
      </c>
      <c r="U258" s="233">
        <v>9.3000000000000007</v>
      </c>
      <c r="V258" s="297">
        <v>9.36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1576</v>
      </c>
      <c r="E259" s="151"/>
      <c r="F259" s="2"/>
      <c r="G259" s="11" t="s">
        <v>1586</v>
      </c>
      <c r="H259" s="150">
        <v>9</v>
      </c>
      <c r="I259" s="2"/>
      <c r="J259" s="4" t="s">
        <v>1562</v>
      </c>
      <c r="K259" s="151"/>
      <c r="L259" s="2"/>
      <c r="M259" s="4" t="s">
        <v>1534</v>
      </c>
      <c r="N259" s="151">
        <v>9</v>
      </c>
      <c r="O259" s="17"/>
      <c r="R259" s="244">
        <v>20</v>
      </c>
      <c r="S259" s="235" t="s">
        <v>336</v>
      </c>
      <c r="T259" s="235" t="s">
        <v>188</v>
      </c>
      <c r="U259" s="236">
        <v>9.2100000000000009</v>
      </c>
      <c r="V259" s="287">
        <v>9.34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1594</v>
      </c>
      <c r="B260" s="1">
        <f>ROUND(SUM(B261:B270)/COUNT(B261:B270), 2)</f>
        <v>8.75</v>
      </c>
      <c r="C260" s="2"/>
      <c r="D260" s="4" t="s">
        <v>1577</v>
      </c>
      <c r="E260" s="151">
        <v>8</v>
      </c>
      <c r="F260" s="2"/>
      <c r="G260" s="4" t="s">
        <v>1587</v>
      </c>
      <c r="H260" s="151">
        <v>8.5</v>
      </c>
      <c r="I260" s="2"/>
      <c r="J260" s="4" t="s">
        <v>1563</v>
      </c>
      <c r="K260" s="151">
        <v>7.5</v>
      </c>
      <c r="L260" s="2"/>
      <c r="M260" s="4" t="s">
        <v>1535</v>
      </c>
      <c r="N260" s="151">
        <v>8.5</v>
      </c>
      <c r="O260" s="17"/>
      <c r="R260" s="244">
        <v>21</v>
      </c>
      <c r="S260" s="232" t="s">
        <v>334</v>
      </c>
      <c r="T260" s="232" t="s">
        <v>132</v>
      </c>
      <c r="U260" s="233">
        <v>9.2100000000000009</v>
      </c>
      <c r="V260" s="311">
        <v>9.2799999999999994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1595</v>
      </c>
      <c r="B261" s="151">
        <v>8</v>
      </c>
      <c r="C261" s="2"/>
      <c r="D261" s="4" t="s">
        <v>1578</v>
      </c>
      <c r="E261" s="151">
        <v>9</v>
      </c>
      <c r="F261" s="2"/>
      <c r="G261" s="4" t="s">
        <v>1588</v>
      </c>
      <c r="H261" s="151">
        <v>9</v>
      </c>
      <c r="I261" s="2"/>
      <c r="J261" s="4" t="s">
        <v>1564</v>
      </c>
      <c r="K261" s="151">
        <v>8.5</v>
      </c>
      <c r="L261" s="2"/>
      <c r="M261" s="4" t="s">
        <v>1536</v>
      </c>
      <c r="N261" s="151">
        <v>8</v>
      </c>
      <c r="O261" s="17"/>
      <c r="R261" s="244">
        <v>22</v>
      </c>
      <c r="S261" s="235" t="s">
        <v>444</v>
      </c>
      <c r="T261" s="235" t="s">
        <v>36</v>
      </c>
      <c r="U261" s="236">
        <v>9.15</v>
      </c>
      <c r="V261" s="319">
        <v>9.23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1596</v>
      </c>
      <c r="B262" s="151">
        <v>9.5</v>
      </c>
      <c r="C262" s="2"/>
      <c r="D262" s="4" t="s">
        <v>1579</v>
      </c>
      <c r="E262" s="151">
        <v>8</v>
      </c>
      <c r="F262" s="2"/>
      <c r="G262" s="4" t="s">
        <v>1589</v>
      </c>
      <c r="H262" s="151">
        <v>8</v>
      </c>
      <c r="I262" s="2"/>
      <c r="J262" s="7" t="s">
        <v>1565</v>
      </c>
      <c r="K262" s="152">
        <v>7.5</v>
      </c>
      <c r="L262" s="2"/>
      <c r="M262" s="4" t="s">
        <v>1537</v>
      </c>
      <c r="N262" s="151">
        <v>8</v>
      </c>
      <c r="O262" s="17"/>
      <c r="R262" s="244">
        <v>23</v>
      </c>
      <c r="S262" s="232" t="s">
        <v>480</v>
      </c>
      <c r="T262" s="232" t="s">
        <v>498</v>
      </c>
      <c r="U262" s="233">
        <v>9.17</v>
      </c>
      <c r="V262" s="319">
        <v>9.23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1597</v>
      </c>
      <c r="B263" s="151">
        <v>10</v>
      </c>
      <c r="C263" s="2"/>
      <c r="D263" s="4" t="s">
        <v>1580</v>
      </c>
      <c r="E263" s="151">
        <v>7</v>
      </c>
      <c r="F263" s="2"/>
      <c r="G263" s="7" t="s">
        <v>1590</v>
      </c>
      <c r="H263" s="152">
        <v>10</v>
      </c>
      <c r="I263" s="2"/>
      <c r="J263" s="2"/>
      <c r="K263" s="2"/>
      <c r="L263" s="2"/>
      <c r="M263" s="4" t="s">
        <v>1538</v>
      </c>
      <c r="N263" s="151">
        <v>7.5</v>
      </c>
      <c r="O263" s="17"/>
      <c r="R263" s="244">
        <v>24</v>
      </c>
      <c r="S263" s="235" t="s">
        <v>335</v>
      </c>
      <c r="T263" s="235" t="s">
        <v>693</v>
      </c>
      <c r="U263" s="236">
        <v>9.1300000000000008</v>
      </c>
      <c r="V263" s="306">
        <v>9.2100000000000009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1598</v>
      </c>
      <c r="B264" s="151">
        <v>9.5</v>
      </c>
      <c r="C264" s="2"/>
      <c r="D264" s="7" t="s">
        <v>1581</v>
      </c>
      <c r="E264" s="152">
        <v>6</v>
      </c>
      <c r="F264" s="2"/>
      <c r="G264" s="2"/>
      <c r="H264" s="2"/>
      <c r="I264" s="2"/>
      <c r="J264" s="134" t="s">
        <v>1610</v>
      </c>
      <c r="K264" s="1">
        <f>ROUND(SUM(K265:K274)/COUNT(K265:K274), 2)</f>
        <v>8.94</v>
      </c>
      <c r="L264" s="2"/>
      <c r="M264" s="4" t="s">
        <v>1539</v>
      </c>
      <c r="N264" s="151">
        <v>8</v>
      </c>
      <c r="O264" s="17"/>
      <c r="R264" s="244">
        <v>25</v>
      </c>
      <c r="S264" s="232" t="s">
        <v>337</v>
      </c>
      <c r="T264" s="232" t="s">
        <v>2563</v>
      </c>
      <c r="U264" s="233">
        <v>9.08</v>
      </c>
      <c r="V264" s="265">
        <v>9.17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1599</v>
      </c>
      <c r="B265" s="151">
        <v>8</v>
      </c>
      <c r="C265" s="2"/>
      <c r="D265" s="2"/>
      <c r="E265" s="2"/>
      <c r="F265" s="2"/>
      <c r="G265" s="136" t="s">
        <v>1644</v>
      </c>
      <c r="H265" s="12">
        <f>ROUND(SUM(H266:H274)/COUNT(H266:H274), 2)</f>
        <v>8.75</v>
      </c>
      <c r="I265" s="2"/>
      <c r="J265" s="11" t="s">
        <v>1611</v>
      </c>
      <c r="K265" s="150">
        <v>8</v>
      </c>
      <c r="L265" s="2"/>
      <c r="M265" s="4" t="s">
        <v>1540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1600</v>
      </c>
      <c r="B266" s="151">
        <v>8.5</v>
      </c>
      <c r="C266" s="2"/>
      <c r="D266" s="135" t="s">
        <v>1621</v>
      </c>
      <c r="E266" s="12">
        <f>ROUND(SUM(E267:E276)/COUNT(E267:E276), 2)</f>
        <v>8.6</v>
      </c>
      <c r="F266" s="2"/>
      <c r="G266" s="11" t="s">
        <v>1635</v>
      </c>
      <c r="H266" s="150">
        <v>8.5</v>
      </c>
      <c r="I266" s="2"/>
      <c r="J266" s="4" t="s">
        <v>1612</v>
      </c>
      <c r="K266" s="151">
        <v>8.5</v>
      </c>
      <c r="L266" s="2"/>
      <c r="M266" s="4" t="s">
        <v>1541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1601</v>
      </c>
      <c r="B267" s="151">
        <v>8.5</v>
      </c>
      <c r="C267" s="2"/>
      <c r="D267" s="11" t="s">
        <v>1622</v>
      </c>
      <c r="E267" s="150">
        <v>9.5</v>
      </c>
      <c r="F267" s="2"/>
      <c r="G267" s="4" t="s">
        <v>1636</v>
      </c>
      <c r="H267" s="151">
        <v>10</v>
      </c>
      <c r="I267" s="2"/>
      <c r="J267" s="4" t="s">
        <v>1613</v>
      </c>
      <c r="K267" s="151">
        <v>8.5</v>
      </c>
      <c r="L267" s="2"/>
      <c r="M267" s="4" t="s">
        <v>1542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1602</v>
      </c>
      <c r="B268" s="151">
        <v>8</v>
      </c>
      <c r="C268" s="2"/>
      <c r="D268" s="4" t="s">
        <v>1623</v>
      </c>
      <c r="E268" s="151">
        <v>8.5</v>
      </c>
      <c r="F268" s="2"/>
      <c r="G268" s="4" t="s">
        <v>1643</v>
      </c>
      <c r="H268" s="151">
        <v>9</v>
      </c>
      <c r="I268" s="2"/>
      <c r="J268" s="4" t="s">
        <v>1614</v>
      </c>
      <c r="K268" s="151">
        <v>9</v>
      </c>
      <c r="L268" s="2"/>
      <c r="M268" s="4" t="s">
        <v>1543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1603</v>
      </c>
      <c r="B269" s="151">
        <v>7.5</v>
      </c>
      <c r="C269" s="2"/>
      <c r="D269" s="4" t="s">
        <v>1624</v>
      </c>
      <c r="E269" s="151">
        <v>8.5</v>
      </c>
      <c r="F269" s="2"/>
      <c r="G269" s="4" t="s">
        <v>1637</v>
      </c>
      <c r="H269" s="151">
        <v>8.5</v>
      </c>
      <c r="I269" s="2"/>
      <c r="J269" s="4" t="s">
        <v>1615</v>
      </c>
      <c r="K269" s="151">
        <v>10</v>
      </c>
      <c r="L269" s="2"/>
      <c r="M269" s="4" t="s">
        <v>1544</v>
      </c>
      <c r="N269" s="151">
        <v>7.5</v>
      </c>
      <c r="O269" s="17"/>
      <c r="R269" s="368" t="s">
        <v>2833</v>
      </c>
      <c r="S269" s="368"/>
      <c r="T269" s="368"/>
      <c r="U269" s="368"/>
      <c r="V269" s="368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1604</v>
      </c>
      <c r="B270" s="152">
        <v>10</v>
      </c>
      <c r="C270" s="2"/>
      <c r="D270" s="4" t="s">
        <v>1625</v>
      </c>
      <c r="E270" s="151">
        <v>8</v>
      </c>
      <c r="F270" s="2"/>
      <c r="G270" s="4" t="s">
        <v>1638</v>
      </c>
      <c r="H270" s="151">
        <v>8.5</v>
      </c>
      <c r="I270" s="2"/>
      <c r="J270" s="4" t="s">
        <v>1616</v>
      </c>
      <c r="K270" s="151">
        <v>10.5</v>
      </c>
      <c r="L270" s="2"/>
      <c r="M270" s="4" t="s">
        <v>1545</v>
      </c>
      <c r="N270" s="151">
        <v>7.5</v>
      </c>
      <c r="O270" s="17"/>
      <c r="R270" s="231" t="s">
        <v>352</v>
      </c>
      <c r="S270" s="231" t="s">
        <v>319</v>
      </c>
      <c r="T270" s="231" t="s">
        <v>320</v>
      </c>
      <c r="U270" s="231" t="s">
        <v>321</v>
      </c>
      <c r="V270" s="231" t="s">
        <v>1002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1626</v>
      </c>
      <c r="E271" s="151">
        <v>7.5</v>
      </c>
      <c r="F271" s="2"/>
      <c r="G271" s="4" t="s">
        <v>1639</v>
      </c>
      <c r="H271" s="151"/>
      <c r="I271" s="2"/>
      <c r="J271" s="4" t="s">
        <v>1617</v>
      </c>
      <c r="K271" s="151"/>
      <c r="L271" s="2"/>
      <c r="M271" s="4" t="s">
        <v>1546</v>
      </c>
      <c r="N271" s="151">
        <v>7.5</v>
      </c>
      <c r="O271" s="17"/>
      <c r="R271" s="238">
        <v>1</v>
      </c>
      <c r="S271" s="232" t="s">
        <v>326</v>
      </c>
      <c r="T271" s="232" t="s">
        <v>2811</v>
      </c>
      <c r="U271" s="233">
        <v>9.5399999999999991</v>
      </c>
      <c r="V271" s="365">
        <v>9.92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1651</v>
      </c>
      <c r="B272" s="12">
        <f>ROUND(SUM(B273:B277)/COUNT(B273:B277), 2)</f>
        <v>8.4</v>
      </c>
      <c r="C272" s="2"/>
      <c r="D272" s="4" t="s">
        <v>1627</v>
      </c>
      <c r="E272" s="151">
        <v>9.5</v>
      </c>
      <c r="F272" s="2"/>
      <c r="G272" s="4" t="s">
        <v>1640</v>
      </c>
      <c r="H272" s="151">
        <v>8.5</v>
      </c>
      <c r="I272" s="2"/>
      <c r="J272" s="4" t="s">
        <v>1618</v>
      </c>
      <c r="K272" s="151">
        <v>9</v>
      </c>
      <c r="L272" s="2"/>
      <c r="M272" s="4" t="s">
        <v>1547</v>
      </c>
      <c r="N272" s="151">
        <v>9</v>
      </c>
      <c r="O272" s="17"/>
      <c r="R272" s="240">
        <v>2</v>
      </c>
      <c r="S272" s="235" t="s">
        <v>334</v>
      </c>
      <c r="T272" s="235" t="s">
        <v>2812</v>
      </c>
      <c r="U272" s="236">
        <v>8.92</v>
      </c>
      <c r="V272" s="328">
        <v>8.93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1652</v>
      </c>
      <c r="B273" s="151">
        <v>8.5</v>
      </c>
      <c r="C273" s="2"/>
      <c r="D273" s="4" t="s">
        <v>1628</v>
      </c>
      <c r="E273" s="151">
        <v>10</v>
      </c>
      <c r="F273" s="2"/>
      <c r="G273" s="4" t="s">
        <v>1641</v>
      </c>
      <c r="H273" s="151">
        <v>9</v>
      </c>
      <c r="I273" s="2"/>
      <c r="J273" s="4" t="s">
        <v>1619</v>
      </c>
      <c r="K273" s="151">
        <v>8.5</v>
      </c>
      <c r="L273" s="2"/>
      <c r="M273" s="4" t="s">
        <v>1548</v>
      </c>
      <c r="N273" s="151">
        <v>10</v>
      </c>
      <c r="O273" s="17"/>
      <c r="R273" s="242">
        <v>3</v>
      </c>
      <c r="S273" s="232" t="s">
        <v>480</v>
      </c>
      <c r="T273" s="232" t="s">
        <v>2813</v>
      </c>
      <c r="U273" s="233">
        <v>8.9700000000000006</v>
      </c>
      <c r="V273" s="360">
        <v>9.0299999999999994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1653</v>
      </c>
      <c r="B274" s="151">
        <v>9</v>
      </c>
      <c r="C274" s="2"/>
      <c r="D274" s="4" t="s">
        <v>1629</v>
      </c>
      <c r="E274" s="151">
        <v>8</v>
      </c>
      <c r="F274" s="2"/>
      <c r="G274" s="7" t="s">
        <v>1642</v>
      </c>
      <c r="H274" s="152">
        <v>8</v>
      </c>
      <c r="I274" s="2"/>
      <c r="J274" s="7" t="s">
        <v>1620</v>
      </c>
      <c r="K274" s="152">
        <v>8.5</v>
      </c>
      <c r="L274" s="2"/>
      <c r="M274" s="4" t="s">
        <v>1549</v>
      </c>
      <c r="N274" s="151">
        <v>9</v>
      </c>
      <c r="O274" s="17"/>
      <c r="R274" s="244">
        <v>4</v>
      </c>
      <c r="S274" s="235" t="s">
        <v>1522</v>
      </c>
      <c r="T274" s="235" t="s">
        <v>1523</v>
      </c>
      <c r="U274" s="236">
        <v>8.82</v>
      </c>
      <c r="V274" s="275">
        <v>8.84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1654</v>
      </c>
      <c r="B275" s="151">
        <v>8.5</v>
      </c>
      <c r="C275" s="2"/>
      <c r="D275" s="4" t="s">
        <v>1630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1550</v>
      </c>
      <c r="N275" s="152">
        <v>9</v>
      </c>
      <c r="O275" s="17"/>
      <c r="R275" s="244">
        <v>5</v>
      </c>
      <c r="S275" s="232" t="s">
        <v>1279</v>
      </c>
      <c r="T275" s="232" t="s">
        <v>1280</v>
      </c>
      <c r="U275" s="233">
        <v>8.67</v>
      </c>
      <c r="V275" s="267">
        <v>8.7899999999999991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1655</v>
      </c>
      <c r="B276" s="151">
        <v>8</v>
      </c>
      <c r="C276" s="2"/>
      <c r="D276" s="7" t="s">
        <v>1631</v>
      </c>
      <c r="E276" s="152">
        <v>9</v>
      </c>
      <c r="F276" s="2"/>
      <c r="G276" s="138" t="s">
        <v>1661</v>
      </c>
      <c r="H276" s="1">
        <f>ROUND(SUM(H277:H286)/COUNT(H277:H286), 2)</f>
        <v>8.85</v>
      </c>
      <c r="I276" s="2"/>
      <c r="J276" s="139" t="s">
        <v>1684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1656</v>
      </c>
      <c r="B277" s="152">
        <v>8</v>
      </c>
      <c r="C277" s="2"/>
      <c r="D277" s="2"/>
      <c r="E277" s="2"/>
      <c r="F277" s="2"/>
      <c r="G277" s="11" t="s">
        <v>1662</v>
      </c>
      <c r="H277" s="150">
        <v>9.5</v>
      </c>
      <c r="I277" s="2"/>
      <c r="J277" s="11" t="s">
        <v>1674</v>
      </c>
      <c r="K277" s="150">
        <v>8.5</v>
      </c>
      <c r="L277" s="2"/>
      <c r="M277" s="141" t="s">
        <v>1695</v>
      </c>
      <c r="N277" s="1">
        <f>ROUND(SUM(N278:N282)/COUNT(N278:N282), 2)</f>
        <v>8.4</v>
      </c>
      <c r="O277" s="17"/>
      <c r="R277" s="368" t="s">
        <v>2834</v>
      </c>
      <c r="S277" s="368"/>
      <c r="T277" s="368"/>
      <c r="U277" s="368"/>
      <c r="V277" s="368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1685</v>
      </c>
      <c r="E278" s="12">
        <f>ROUND(SUM(E279:E286)/COUNT(E279:E286), 2)</f>
        <v>8.81</v>
      </c>
      <c r="F278" s="2"/>
      <c r="G278" s="4" t="s">
        <v>1663</v>
      </c>
      <c r="H278" s="151">
        <v>9</v>
      </c>
      <c r="I278" s="2"/>
      <c r="J278" s="4" t="s">
        <v>1675</v>
      </c>
      <c r="K278" s="151">
        <v>9</v>
      </c>
      <c r="L278" s="2"/>
      <c r="M278" s="4" t="s">
        <v>1696</v>
      </c>
      <c r="N278" s="151">
        <v>8</v>
      </c>
      <c r="O278" s="17"/>
      <c r="R278" s="231" t="s">
        <v>352</v>
      </c>
      <c r="S278" s="231" t="s">
        <v>319</v>
      </c>
      <c r="T278" s="231" t="s">
        <v>320</v>
      </c>
      <c r="U278" s="231" t="s">
        <v>321</v>
      </c>
      <c r="V278" s="231" t="s">
        <v>1002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1702</v>
      </c>
      <c r="B279" s="12">
        <f>ROUND(SUM(B280:B307)/COUNT(B280:B307), 2)</f>
        <v>8.57</v>
      </c>
      <c r="C279" s="2"/>
      <c r="D279" s="11" t="s">
        <v>1686</v>
      </c>
      <c r="E279" s="150">
        <v>8</v>
      </c>
      <c r="F279" s="2"/>
      <c r="G279" s="4" t="s">
        <v>1664</v>
      </c>
      <c r="H279" s="151">
        <v>10</v>
      </c>
      <c r="I279" s="2"/>
      <c r="J279" s="4" t="s">
        <v>1676</v>
      </c>
      <c r="K279" s="151"/>
      <c r="L279" s="2"/>
      <c r="M279" s="4" t="s">
        <v>1697</v>
      </c>
      <c r="N279" s="151">
        <v>7.5</v>
      </c>
      <c r="O279" s="17"/>
      <c r="R279" s="238">
        <v>1</v>
      </c>
      <c r="S279" s="232" t="s">
        <v>332</v>
      </c>
      <c r="T279" s="232" t="s">
        <v>2814</v>
      </c>
      <c r="U279" s="233">
        <v>9.48</v>
      </c>
      <c r="V279" s="335">
        <v>9.73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1703</v>
      </c>
      <c r="B280" s="150"/>
      <c r="C280" s="2"/>
      <c r="D280" s="4" t="s">
        <v>1687</v>
      </c>
      <c r="E280" s="151">
        <v>8.5</v>
      </c>
      <c r="F280" s="2"/>
      <c r="G280" s="4" t="s">
        <v>1665</v>
      </c>
      <c r="H280" s="151">
        <v>8.5</v>
      </c>
      <c r="I280" s="2"/>
      <c r="J280" s="4" t="s">
        <v>1677</v>
      </c>
      <c r="K280" s="151">
        <v>8.5</v>
      </c>
      <c r="L280" s="2"/>
      <c r="M280" s="4" t="s">
        <v>1698</v>
      </c>
      <c r="N280" s="151">
        <v>8</v>
      </c>
      <c r="O280" s="17"/>
      <c r="R280" s="240">
        <v>2</v>
      </c>
      <c r="S280" s="235" t="s">
        <v>331</v>
      </c>
      <c r="T280" s="235" t="s">
        <v>2815</v>
      </c>
      <c r="U280" s="236">
        <v>9.35</v>
      </c>
      <c r="V280" s="357">
        <v>9.41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1704</v>
      </c>
      <c r="B281" s="151">
        <v>10</v>
      </c>
      <c r="C281" s="2"/>
      <c r="D281" s="4" t="s">
        <v>1688</v>
      </c>
      <c r="E281" s="151">
        <v>8</v>
      </c>
      <c r="F281" s="2"/>
      <c r="G281" s="4" t="s">
        <v>1666</v>
      </c>
      <c r="H281" s="151">
        <v>8</v>
      </c>
      <c r="I281" s="2"/>
      <c r="J281" s="4" t="s">
        <v>1678</v>
      </c>
      <c r="K281" s="151">
        <v>10</v>
      </c>
      <c r="L281" s="2"/>
      <c r="M281" s="4" t="s">
        <v>1699</v>
      </c>
      <c r="N281" s="151">
        <v>8.5</v>
      </c>
      <c r="O281" s="17"/>
      <c r="R281" s="242">
        <v>3</v>
      </c>
      <c r="S281" s="232" t="s">
        <v>2485</v>
      </c>
      <c r="T281" s="232" t="s">
        <v>2469</v>
      </c>
      <c r="U281" s="233">
        <v>9.33</v>
      </c>
      <c r="V281" s="337">
        <v>9.3800000000000008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1705</v>
      </c>
      <c r="B282" s="151">
        <v>8</v>
      </c>
      <c r="C282" s="2"/>
      <c r="D282" s="4" t="s">
        <v>1689</v>
      </c>
      <c r="E282" s="151">
        <v>8.5</v>
      </c>
      <c r="F282" s="2"/>
      <c r="G282" s="4" t="s">
        <v>1667</v>
      </c>
      <c r="H282" s="151">
        <v>8.5</v>
      </c>
      <c r="I282" s="2"/>
      <c r="J282" s="4" t="s">
        <v>1679</v>
      </c>
      <c r="K282" s="151">
        <v>8</v>
      </c>
      <c r="L282" s="2"/>
      <c r="M282" s="7" t="s">
        <v>1700</v>
      </c>
      <c r="N282" s="152">
        <v>10</v>
      </c>
      <c r="O282" s="17"/>
      <c r="R282" s="244">
        <v>4</v>
      </c>
      <c r="S282" s="235" t="s">
        <v>444</v>
      </c>
      <c r="T282" s="235" t="s">
        <v>36</v>
      </c>
      <c r="U282" s="236">
        <v>9.15</v>
      </c>
      <c r="V282" s="319">
        <v>9.23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1706</v>
      </c>
      <c r="B283" s="151">
        <v>9.5</v>
      </c>
      <c r="C283" s="2"/>
      <c r="D283" s="4" t="s">
        <v>1690</v>
      </c>
      <c r="E283" s="151">
        <v>10</v>
      </c>
      <c r="F283" s="2"/>
      <c r="G283" s="4" t="s">
        <v>1668</v>
      </c>
      <c r="H283" s="151">
        <v>8.5</v>
      </c>
      <c r="I283" s="2"/>
      <c r="J283" s="4" t="s">
        <v>1680</v>
      </c>
      <c r="K283" s="151">
        <v>9</v>
      </c>
      <c r="L283" s="2"/>
      <c r="M283" s="2"/>
      <c r="N283" s="2"/>
      <c r="O283" s="17"/>
      <c r="R283" s="244">
        <v>5</v>
      </c>
      <c r="S283" s="232" t="s">
        <v>480</v>
      </c>
      <c r="T283" s="232" t="s">
        <v>2816</v>
      </c>
      <c r="U283" s="233">
        <v>9.06</v>
      </c>
      <c r="V283" s="361">
        <v>9.14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1707</v>
      </c>
      <c r="B284" s="151">
        <v>8</v>
      </c>
      <c r="C284" s="2"/>
      <c r="D284" s="4" t="s">
        <v>1691</v>
      </c>
      <c r="E284" s="151">
        <v>9.5</v>
      </c>
      <c r="F284" s="2"/>
      <c r="G284" s="4" t="s">
        <v>1669</v>
      </c>
      <c r="H284" s="151">
        <v>9</v>
      </c>
      <c r="I284" s="2"/>
      <c r="J284" s="7" t="s">
        <v>1681</v>
      </c>
      <c r="K284" s="152">
        <v>8</v>
      </c>
      <c r="L284" s="2"/>
      <c r="M284" s="149" t="s">
        <v>1731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1708</v>
      </c>
      <c r="B285" s="151">
        <v>10</v>
      </c>
      <c r="C285" s="2"/>
      <c r="D285" s="4" t="s">
        <v>1692</v>
      </c>
      <c r="E285" s="151">
        <v>8</v>
      </c>
      <c r="F285" s="2"/>
      <c r="G285" s="4" t="s">
        <v>1670</v>
      </c>
      <c r="H285" s="151">
        <v>8.5</v>
      </c>
      <c r="I285" s="2"/>
      <c r="J285" s="2"/>
      <c r="K285" s="2"/>
      <c r="L285" s="2"/>
      <c r="M285" s="11" t="s">
        <v>1732</v>
      </c>
      <c r="N285" s="150">
        <v>9</v>
      </c>
      <c r="O285" s="17"/>
      <c r="R285" s="368" t="s">
        <v>2835</v>
      </c>
      <c r="S285" s="368"/>
      <c r="T285" s="368"/>
      <c r="U285" s="368"/>
      <c r="V285" s="368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1709</v>
      </c>
      <c r="B286" s="151">
        <v>9</v>
      </c>
      <c r="C286" s="2"/>
      <c r="D286" s="7" t="s">
        <v>1693</v>
      </c>
      <c r="E286" s="152">
        <v>10</v>
      </c>
      <c r="F286" s="2"/>
      <c r="G286" s="7" t="s">
        <v>1671</v>
      </c>
      <c r="H286" s="152">
        <v>9</v>
      </c>
      <c r="I286" s="2"/>
      <c r="J286" s="144" t="s">
        <v>1754</v>
      </c>
      <c r="K286" s="1">
        <f>ROUND(SUM(K287:K294)/COUNT(K287:K294), 2)</f>
        <v>8.06</v>
      </c>
      <c r="L286" s="2"/>
      <c r="M286" s="4" t="s">
        <v>1733</v>
      </c>
      <c r="N286" s="151">
        <v>9.5</v>
      </c>
      <c r="O286" s="17"/>
      <c r="R286" s="231" t="s">
        <v>352</v>
      </c>
      <c r="S286" s="231" t="s">
        <v>319</v>
      </c>
      <c r="T286" s="231" t="s">
        <v>320</v>
      </c>
      <c r="U286" s="231" t="s">
        <v>321</v>
      </c>
      <c r="V286" s="231" t="s">
        <v>1002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1710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1746</v>
      </c>
      <c r="K287" s="151">
        <v>9</v>
      </c>
      <c r="L287" s="2"/>
      <c r="M287" s="4" t="s">
        <v>1734</v>
      </c>
      <c r="N287" s="151">
        <v>9</v>
      </c>
      <c r="O287" s="17"/>
      <c r="R287" s="238">
        <v>1</v>
      </c>
      <c r="S287" s="232" t="s">
        <v>332</v>
      </c>
      <c r="T287" s="232" t="s">
        <v>1027</v>
      </c>
      <c r="U287" s="233">
        <v>10</v>
      </c>
      <c r="V287" s="281">
        <v>10.39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1711</v>
      </c>
      <c r="B288" s="151">
        <v>7.5</v>
      </c>
      <c r="C288" s="2"/>
      <c r="D288" s="145" t="s">
        <v>1756</v>
      </c>
      <c r="E288" s="12">
        <f>ROUND(SUM(E289:E297)/COUNT(E289:E297), 2)</f>
        <v>8.5</v>
      </c>
      <c r="F288" s="2"/>
      <c r="G288" s="148" t="s">
        <v>1768</v>
      </c>
      <c r="H288" s="12">
        <f>ROUND(SUM(H289:H294)/COUNT(H289:H294), 2)</f>
        <v>8.83</v>
      </c>
      <c r="I288" s="2"/>
      <c r="J288" s="4" t="s">
        <v>1747</v>
      </c>
      <c r="K288" s="151">
        <v>9</v>
      </c>
      <c r="L288" s="2"/>
      <c r="M288" s="4" t="s">
        <v>1735</v>
      </c>
      <c r="N288" s="151">
        <v>8.5</v>
      </c>
      <c r="O288" s="17"/>
      <c r="R288" s="240">
        <v>2</v>
      </c>
      <c r="S288" s="235" t="s">
        <v>327</v>
      </c>
      <c r="T288" s="235" t="s">
        <v>2817</v>
      </c>
      <c r="U288" s="236">
        <v>9.4700000000000006</v>
      </c>
      <c r="V288" s="358">
        <v>9.85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1712</v>
      </c>
      <c r="B289" s="151">
        <v>8.5</v>
      </c>
      <c r="C289" s="2"/>
      <c r="D289" s="11" t="s">
        <v>1757</v>
      </c>
      <c r="E289" s="150">
        <v>8</v>
      </c>
      <c r="F289" s="2"/>
      <c r="G289" s="11" t="s">
        <v>1769</v>
      </c>
      <c r="H289" s="150">
        <v>9</v>
      </c>
      <c r="I289" s="2"/>
      <c r="J289" s="4" t="s">
        <v>1748</v>
      </c>
      <c r="K289" s="151">
        <v>8</v>
      </c>
      <c r="L289" s="2"/>
      <c r="M289" s="4" t="s">
        <v>1736</v>
      </c>
      <c r="N289" s="151">
        <v>8.5</v>
      </c>
      <c r="O289" s="17"/>
      <c r="R289" s="242">
        <v>3</v>
      </c>
      <c r="S289" s="232" t="s">
        <v>331</v>
      </c>
      <c r="T289" s="232" t="s">
        <v>2815</v>
      </c>
      <c r="U289" s="233">
        <v>9.35</v>
      </c>
      <c r="V289" s="357">
        <v>9.41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1713</v>
      </c>
      <c r="B290" s="151">
        <v>8.5</v>
      </c>
      <c r="C290" s="2"/>
      <c r="D290" s="4" t="s">
        <v>1758</v>
      </c>
      <c r="E290" s="151">
        <v>9</v>
      </c>
      <c r="F290" s="2"/>
      <c r="G290" s="4" t="s">
        <v>1770</v>
      </c>
      <c r="H290" s="151">
        <v>8.5</v>
      </c>
      <c r="I290" s="2"/>
      <c r="J290" s="4" t="s">
        <v>1749</v>
      </c>
      <c r="K290" s="151">
        <v>7</v>
      </c>
      <c r="L290" s="2"/>
      <c r="M290" s="4" t="s">
        <v>1737</v>
      </c>
      <c r="N290" s="151">
        <v>9</v>
      </c>
      <c r="O290" s="17"/>
      <c r="R290" s="244">
        <v>4</v>
      </c>
      <c r="S290" s="235" t="s">
        <v>444</v>
      </c>
      <c r="T290" s="235" t="s">
        <v>36</v>
      </c>
      <c r="U290" s="236">
        <v>9.15</v>
      </c>
      <c r="V290" s="319">
        <v>9.23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1714</v>
      </c>
      <c r="B291" s="151">
        <v>8</v>
      </c>
      <c r="C291" s="2"/>
      <c r="D291" s="4" t="s">
        <v>1759</v>
      </c>
      <c r="E291" s="151">
        <v>8.5</v>
      </c>
      <c r="F291" s="2"/>
      <c r="G291" s="4" t="s">
        <v>1771</v>
      </c>
      <c r="H291" s="151">
        <v>8</v>
      </c>
      <c r="I291" s="2"/>
      <c r="J291" s="4" t="s">
        <v>1750</v>
      </c>
      <c r="K291" s="151">
        <v>7.5</v>
      </c>
      <c r="L291" s="2"/>
      <c r="M291" s="4" t="s">
        <v>565</v>
      </c>
      <c r="N291" s="151">
        <v>8</v>
      </c>
      <c r="O291" s="17"/>
      <c r="R291" s="244">
        <v>5</v>
      </c>
      <c r="S291" s="232" t="s">
        <v>1333</v>
      </c>
      <c r="T291" s="232" t="s">
        <v>1324</v>
      </c>
      <c r="U291" s="233">
        <v>9</v>
      </c>
      <c r="V291" s="367">
        <v>8.9600000000000009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1715</v>
      </c>
      <c r="B292" s="151">
        <v>9</v>
      </c>
      <c r="C292" s="2"/>
      <c r="D292" s="4" t="s">
        <v>1760</v>
      </c>
      <c r="E292" s="151">
        <v>8.5</v>
      </c>
      <c r="F292" s="2"/>
      <c r="G292" s="4" t="s">
        <v>1772</v>
      </c>
      <c r="H292" s="151">
        <v>9</v>
      </c>
      <c r="I292" s="2"/>
      <c r="J292" s="4" t="s">
        <v>1751</v>
      </c>
      <c r="K292" s="151">
        <v>8</v>
      </c>
      <c r="L292" s="2"/>
      <c r="M292" s="4" t="s">
        <v>1738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1716</v>
      </c>
      <c r="B293" s="151">
        <v>8.5</v>
      </c>
      <c r="C293" s="2"/>
      <c r="D293" s="4" t="s">
        <v>1761</v>
      </c>
      <c r="E293" s="151">
        <v>9</v>
      </c>
      <c r="F293" s="2"/>
      <c r="G293" s="4" t="s">
        <v>1773</v>
      </c>
      <c r="H293" s="151">
        <v>8.5</v>
      </c>
      <c r="I293" s="2"/>
      <c r="J293" s="4" t="s">
        <v>1752</v>
      </c>
      <c r="K293" s="151">
        <v>7</v>
      </c>
      <c r="L293" s="2"/>
      <c r="M293" s="4" t="s">
        <v>1739</v>
      </c>
      <c r="N293" s="151">
        <v>8</v>
      </c>
      <c r="O293" s="17"/>
      <c r="R293" s="368" t="s">
        <v>2836</v>
      </c>
      <c r="S293" s="368"/>
      <c r="T293" s="368"/>
      <c r="U293" s="368"/>
      <c r="V293" s="368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1717</v>
      </c>
      <c r="B294" s="151">
        <v>8</v>
      </c>
      <c r="C294" s="2"/>
      <c r="D294" s="4" t="s">
        <v>1762</v>
      </c>
      <c r="E294" s="151">
        <v>8</v>
      </c>
      <c r="F294" s="2"/>
      <c r="G294" s="7" t="s">
        <v>1774</v>
      </c>
      <c r="H294" s="152">
        <v>10</v>
      </c>
      <c r="I294" s="2"/>
      <c r="J294" s="7" t="s">
        <v>1753</v>
      </c>
      <c r="K294" s="152">
        <v>9</v>
      </c>
      <c r="L294" s="2"/>
      <c r="M294" s="4" t="s">
        <v>1740</v>
      </c>
      <c r="N294" s="151">
        <v>8.5</v>
      </c>
      <c r="O294" s="17"/>
      <c r="R294" s="231" t="s">
        <v>352</v>
      </c>
      <c r="S294" s="231" t="s">
        <v>319</v>
      </c>
      <c r="T294" s="231" t="s">
        <v>320</v>
      </c>
      <c r="U294" s="231" t="s">
        <v>321</v>
      </c>
      <c r="V294" s="231" t="s">
        <v>1002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1718</v>
      </c>
      <c r="B295" s="151">
        <v>8</v>
      </c>
      <c r="C295" s="2"/>
      <c r="D295" s="4" t="s">
        <v>1763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1741</v>
      </c>
      <c r="N295" s="152">
        <v>10</v>
      </c>
      <c r="O295" s="17"/>
      <c r="R295" s="238">
        <v>1</v>
      </c>
      <c r="S295" s="232" t="s">
        <v>327</v>
      </c>
      <c r="T295" s="232" t="s">
        <v>2818</v>
      </c>
      <c r="U295" s="233">
        <v>9.25</v>
      </c>
      <c r="V295" s="362">
        <v>9.49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1719</v>
      </c>
      <c r="B296" s="151">
        <v>9</v>
      </c>
      <c r="C296" s="2"/>
      <c r="D296" s="4" t="s">
        <v>1764</v>
      </c>
      <c r="E296" s="151">
        <v>8.5</v>
      </c>
      <c r="F296" s="2"/>
      <c r="G296" s="146" t="s">
        <v>1787</v>
      </c>
      <c r="H296" s="12">
        <f>ROUND(SUM(H297:H307)/COUNT(H297:H307), 2)</f>
        <v>3.68</v>
      </c>
      <c r="I296" s="2"/>
      <c r="J296" s="163" t="s">
        <v>1801</v>
      </c>
      <c r="K296" s="12">
        <f>ROUND(SUM(K297:K302)/COUNT(K297:K302), 2)</f>
        <v>8.92</v>
      </c>
      <c r="L296" s="2"/>
      <c r="M296" s="2"/>
      <c r="N296" s="2"/>
      <c r="O296" s="17"/>
      <c r="R296" s="240">
        <v>2</v>
      </c>
      <c r="S296" s="235" t="s">
        <v>717</v>
      </c>
      <c r="T296" s="235" t="s">
        <v>1427</v>
      </c>
      <c r="U296" s="236">
        <v>8.8800000000000008</v>
      </c>
      <c r="V296" s="255">
        <v>8.89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1720</v>
      </c>
      <c r="B297" s="151">
        <v>8</v>
      </c>
      <c r="C297" s="2"/>
      <c r="D297" s="7" t="s">
        <v>1765</v>
      </c>
      <c r="E297" s="152">
        <v>8</v>
      </c>
      <c r="F297" s="2"/>
      <c r="G297" s="11" t="s">
        <v>1788</v>
      </c>
      <c r="H297" s="150">
        <v>6.5</v>
      </c>
      <c r="I297" s="2"/>
      <c r="J297" s="11" t="s">
        <v>1802</v>
      </c>
      <c r="K297" s="150">
        <v>9</v>
      </c>
      <c r="L297" s="2"/>
      <c r="M297" s="164" t="s">
        <v>1816</v>
      </c>
      <c r="N297" s="12">
        <f>ROUND(SUM(N298:N304)/COUNT(N298:N304), 2)</f>
        <v>8.2899999999999991</v>
      </c>
      <c r="O297" s="17"/>
      <c r="R297" s="242">
        <v>3</v>
      </c>
      <c r="S297" s="232" t="s">
        <v>2585</v>
      </c>
      <c r="T297" s="232" t="s">
        <v>2586</v>
      </c>
      <c r="U297" s="233">
        <v>8.86</v>
      </c>
      <c r="V297" s="258">
        <v>8.8800000000000008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1789</v>
      </c>
      <c r="H298" s="151">
        <v>5</v>
      </c>
      <c r="I298" s="2"/>
      <c r="J298" s="4" t="s">
        <v>1803</v>
      </c>
      <c r="K298" s="151">
        <v>8.5</v>
      </c>
      <c r="L298" s="2"/>
      <c r="M298" s="11" t="s">
        <v>1809</v>
      </c>
      <c r="N298" s="150">
        <v>8</v>
      </c>
      <c r="O298" s="17"/>
      <c r="R298" s="244">
        <v>4</v>
      </c>
      <c r="S298" s="235" t="s">
        <v>2420</v>
      </c>
      <c r="T298" s="235" t="s">
        <v>2410</v>
      </c>
      <c r="U298" s="236">
        <v>8.86</v>
      </c>
      <c r="V298" s="291">
        <v>8.74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1721</v>
      </c>
      <c r="B299" s="151">
        <v>7</v>
      </c>
      <c r="C299" s="2"/>
      <c r="D299" s="165" t="s">
        <v>1819</v>
      </c>
      <c r="E299" s="12">
        <f>ROUND(SUM(E300:E309)/COUNT(E300:E309), 2)</f>
        <v>8.2899999999999991</v>
      </c>
      <c r="F299" s="2"/>
      <c r="G299" s="4" t="s">
        <v>1790</v>
      </c>
      <c r="H299" s="151">
        <v>5.5</v>
      </c>
      <c r="I299" s="2"/>
      <c r="J299" s="4" t="s">
        <v>1804</v>
      </c>
      <c r="K299" s="151">
        <v>9</v>
      </c>
      <c r="L299" s="2"/>
      <c r="M299" s="4" t="s">
        <v>1810</v>
      </c>
      <c r="N299" s="151">
        <v>7.5</v>
      </c>
      <c r="O299" s="17"/>
      <c r="R299" s="244">
        <v>5</v>
      </c>
      <c r="S299" s="232" t="s">
        <v>1334</v>
      </c>
      <c r="T299" s="232" t="s">
        <v>1335</v>
      </c>
      <c r="U299" s="233">
        <v>8.77</v>
      </c>
      <c r="V299" s="280">
        <v>8.65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1722</v>
      </c>
      <c r="B300" s="151">
        <v>8.5</v>
      </c>
      <c r="C300" s="2"/>
      <c r="D300" s="11" t="s">
        <v>1820</v>
      </c>
      <c r="E300" s="150"/>
      <c r="F300" s="2"/>
      <c r="G300" s="4" t="s">
        <v>1791</v>
      </c>
      <c r="H300" s="151">
        <v>4</v>
      </c>
      <c r="I300" s="2"/>
      <c r="J300" s="4" t="s">
        <v>1805</v>
      </c>
      <c r="K300" s="151">
        <v>8.5</v>
      </c>
      <c r="L300" s="2"/>
      <c r="M300" s="4" t="s">
        <v>1811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1723</v>
      </c>
      <c r="B301" s="151">
        <v>8.5</v>
      </c>
      <c r="C301" s="2"/>
      <c r="D301" s="4" t="s">
        <v>1821</v>
      </c>
      <c r="E301" s="151">
        <v>8.5</v>
      </c>
      <c r="F301" s="2"/>
      <c r="G301" s="4" t="s">
        <v>1792</v>
      </c>
      <c r="H301" s="151">
        <v>3</v>
      </c>
      <c r="I301" s="2"/>
      <c r="J301" s="4" t="s">
        <v>1806</v>
      </c>
      <c r="K301" s="151">
        <v>8</v>
      </c>
      <c r="L301" s="2"/>
      <c r="M301" s="4" t="s">
        <v>1812</v>
      </c>
      <c r="N301" s="151">
        <v>8</v>
      </c>
      <c r="O301" s="17"/>
      <c r="R301" s="368" t="s">
        <v>2912</v>
      </c>
      <c r="S301" s="368"/>
      <c r="T301" s="368"/>
      <c r="U301" s="368"/>
      <c r="V301" s="368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1724</v>
      </c>
      <c r="B302" s="151">
        <v>7.5</v>
      </c>
      <c r="C302" s="2"/>
      <c r="D302" s="4" t="s">
        <v>1822</v>
      </c>
      <c r="E302" s="151">
        <v>9</v>
      </c>
      <c r="F302" s="2"/>
      <c r="G302" s="4" t="s">
        <v>1793</v>
      </c>
      <c r="H302" s="151">
        <v>3</v>
      </c>
      <c r="I302" s="2"/>
      <c r="J302" s="7" t="s">
        <v>1807</v>
      </c>
      <c r="K302" s="152">
        <v>10.5</v>
      </c>
      <c r="L302" s="2"/>
      <c r="M302" s="4" t="s">
        <v>1813</v>
      </c>
      <c r="N302" s="151">
        <v>8.5</v>
      </c>
      <c r="O302" s="17"/>
      <c r="R302" s="231" t="s">
        <v>352</v>
      </c>
      <c r="S302" s="231" t="s">
        <v>319</v>
      </c>
      <c r="T302" s="231" t="s">
        <v>320</v>
      </c>
      <c r="U302" s="231" t="s">
        <v>321</v>
      </c>
      <c r="V302" s="231" t="s">
        <v>1002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1725</v>
      </c>
      <c r="B303" s="151">
        <v>8.5</v>
      </c>
      <c r="C303" s="2"/>
      <c r="D303" s="4" t="s">
        <v>1823</v>
      </c>
      <c r="E303" s="151"/>
      <c r="F303" s="2"/>
      <c r="G303" s="4" t="s">
        <v>1794</v>
      </c>
      <c r="H303" s="151">
        <v>3</v>
      </c>
      <c r="I303" s="2"/>
      <c r="J303" s="2"/>
      <c r="K303" s="2"/>
      <c r="L303" s="2"/>
      <c r="M303" s="4" t="s">
        <v>1814</v>
      </c>
      <c r="N303" s="151">
        <v>8</v>
      </c>
      <c r="O303" s="17"/>
      <c r="R303" s="238">
        <v>1</v>
      </c>
      <c r="S303" s="232" t="s">
        <v>334</v>
      </c>
      <c r="T303" s="232" t="s">
        <v>2819</v>
      </c>
      <c r="U303" s="233">
        <v>8.81</v>
      </c>
      <c r="V303" s="339">
        <v>8.82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1726</v>
      </c>
      <c r="B304" s="151">
        <v>9</v>
      </c>
      <c r="C304" s="2"/>
      <c r="D304" s="4" t="s">
        <v>1824</v>
      </c>
      <c r="E304" s="151">
        <v>7.5</v>
      </c>
      <c r="F304" s="2"/>
      <c r="G304" s="4" t="s">
        <v>1795</v>
      </c>
      <c r="H304" s="151">
        <v>3.5</v>
      </c>
      <c r="I304" s="2"/>
      <c r="J304" s="166" t="s">
        <v>1843</v>
      </c>
      <c r="K304" s="12">
        <f>ROUND(SUM(K305:K316)/COUNT(K305:K316), 2)</f>
        <v>8.9600000000000009</v>
      </c>
      <c r="L304" s="2"/>
      <c r="M304" s="7" t="s">
        <v>1815</v>
      </c>
      <c r="N304" s="152">
        <v>9</v>
      </c>
      <c r="O304" s="17"/>
      <c r="R304" s="240">
        <v>2</v>
      </c>
      <c r="S304" s="235" t="s">
        <v>1522</v>
      </c>
      <c r="T304" s="235" t="s">
        <v>1523</v>
      </c>
      <c r="U304" s="236">
        <v>8.82</v>
      </c>
      <c r="V304" s="275">
        <v>8.84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1727</v>
      </c>
      <c r="B305" s="151">
        <v>8.5</v>
      </c>
      <c r="C305" s="2"/>
      <c r="D305" s="4" t="s">
        <v>1825</v>
      </c>
      <c r="E305" s="151">
        <v>8.5</v>
      </c>
      <c r="F305" s="2"/>
      <c r="G305" s="4" t="s">
        <v>1796</v>
      </c>
      <c r="H305" s="151">
        <v>3</v>
      </c>
      <c r="I305" s="2"/>
      <c r="J305" s="11" t="s">
        <v>1831</v>
      </c>
      <c r="K305" s="150">
        <v>8.5</v>
      </c>
      <c r="L305" s="2"/>
      <c r="M305" s="2"/>
      <c r="N305" s="2"/>
      <c r="O305" s="17"/>
      <c r="R305" s="242">
        <v>3</v>
      </c>
      <c r="S305" s="232" t="s">
        <v>768</v>
      </c>
      <c r="T305" s="232" t="s">
        <v>769</v>
      </c>
      <c r="U305" s="233">
        <v>8.67</v>
      </c>
      <c r="V305" s="254">
        <v>8.57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1728</v>
      </c>
      <c r="B306" s="151">
        <v>9</v>
      </c>
      <c r="C306" s="2"/>
      <c r="D306" s="4" t="s">
        <v>1826</v>
      </c>
      <c r="E306" s="151">
        <v>8</v>
      </c>
      <c r="F306" s="2"/>
      <c r="G306" s="4" t="s">
        <v>1797</v>
      </c>
      <c r="H306" s="151">
        <v>2</v>
      </c>
      <c r="I306" s="2"/>
      <c r="J306" s="4" t="s">
        <v>1832</v>
      </c>
      <c r="K306" s="151">
        <v>10</v>
      </c>
      <c r="L306" s="2"/>
      <c r="M306" s="167" t="s">
        <v>1848</v>
      </c>
      <c r="N306" s="12">
        <f>ROUND(SUM(N307:N316)/COUNT(N307:N316), 2)</f>
        <v>8.6</v>
      </c>
      <c r="O306" s="17"/>
      <c r="R306" s="244">
        <v>4</v>
      </c>
      <c r="S306" s="235" t="s">
        <v>1156</v>
      </c>
      <c r="T306" s="235" t="s">
        <v>2484</v>
      </c>
      <c r="U306" s="236">
        <v>8.61</v>
      </c>
      <c r="V306" s="272">
        <v>8.5299999999999994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1729</v>
      </c>
      <c r="B307" s="152">
        <v>8.5</v>
      </c>
      <c r="C307" s="2"/>
      <c r="D307" s="4" t="s">
        <v>1827</v>
      </c>
      <c r="E307" s="151">
        <v>8</v>
      </c>
      <c r="F307" s="2"/>
      <c r="G307" s="7" t="s">
        <v>1798</v>
      </c>
      <c r="H307" s="152">
        <v>2</v>
      </c>
      <c r="I307" s="2"/>
      <c r="J307" s="4" t="s">
        <v>1833</v>
      </c>
      <c r="K307" s="151">
        <v>9</v>
      </c>
      <c r="L307" s="2"/>
      <c r="M307" s="11" t="s">
        <v>1849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1828</v>
      </c>
      <c r="E308" s="152">
        <v>8.5</v>
      </c>
      <c r="F308" s="2"/>
      <c r="G308" s="2"/>
      <c r="H308" s="2"/>
      <c r="I308" s="2"/>
      <c r="J308" s="4" t="s">
        <v>1834</v>
      </c>
      <c r="K308" s="151">
        <v>9</v>
      </c>
      <c r="L308" s="2"/>
      <c r="M308" s="4" t="s">
        <v>1850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1864</v>
      </c>
      <c r="B309" s="12">
        <f>ROUND(SUM(B310:B320)/COUNT(B310:B320), 2)</f>
        <v>8.18</v>
      </c>
      <c r="C309" s="2"/>
      <c r="D309" s="2"/>
      <c r="E309" s="2"/>
      <c r="F309" s="2"/>
      <c r="G309" s="169" t="s">
        <v>1894</v>
      </c>
      <c r="H309" s="12">
        <f>ROUND(SUM(H310:H327)/COUNT(H310:H327), 2)</f>
        <v>7.31</v>
      </c>
      <c r="I309" s="2"/>
      <c r="J309" s="4" t="s">
        <v>1835</v>
      </c>
      <c r="K309" s="151">
        <v>9</v>
      </c>
      <c r="L309" s="2"/>
      <c r="M309" s="4" t="s">
        <v>1851</v>
      </c>
      <c r="N309" s="151">
        <v>9</v>
      </c>
      <c r="O309" s="17"/>
      <c r="R309" s="368" t="s">
        <v>2859</v>
      </c>
      <c r="S309" s="368"/>
      <c r="T309" s="368"/>
      <c r="U309" s="368"/>
      <c r="V309" s="368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1865</v>
      </c>
      <c r="B310" s="150">
        <v>7.5</v>
      </c>
      <c r="C310" s="2"/>
      <c r="D310" s="170" t="s">
        <v>1990</v>
      </c>
      <c r="E310" s="12">
        <f>ROUND(SUM(E311:E318)/COUNT(E311:E318), 2)</f>
        <v>8.5</v>
      </c>
      <c r="F310" s="2"/>
      <c r="G310" s="11" t="s">
        <v>1876</v>
      </c>
      <c r="H310" s="150">
        <v>8.5</v>
      </c>
      <c r="I310" s="2"/>
      <c r="J310" s="4" t="s">
        <v>1836</v>
      </c>
      <c r="K310" s="151">
        <v>10</v>
      </c>
      <c r="L310" s="2"/>
      <c r="M310" s="4" t="s">
        <v>1852</v>
      </c>
      <c r="N310" s="151">
        <v>10</v>
      </c>
      <c r="O310" s="17"/>
      <c r="R310" s="231" t="s">
        <v>352</v>
      </c>
      <c r="S310" s="231" t="s">
        <v>319</v>
      </c>
      <c r="T310" s="231" t="s">
        <v>320</v>
      </c>
      <c r="U310" s="231" t="s">
        <v>321</v>
      </c>
      <c r="V310" s="231" t="s">
        <v>1002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1866</v>
      </c>
      <c r="B311" s="151">
        <v>8.5</v>
      </c>
      <c r="C311" s="2"/>
      <c r="D311" s="11" t="s">
        <v>1991</v>
      </c>
      <c r="E311" s="150">
        <v>8.5</v>
      </c>
      <c r="F311" s="2"/>
      <c r="G311" s="4" t="s">
        <v>1877</v>
      </c>
      <c r="H311" s="151">
        <v>7.5</v>
      </c>
      <c r="I311" s="2"/>
      <c r="J311" s="4" t="s">
        <v>1837</v>
      </c>
      <c r="K311" s="151">
        <v>8</v>
      </c>
      <c r="L311" s="2"/>
      <c r="M311" s="4" t="s">
        <v>1853</v>
      </c>
      <c r="N311" s="151">
        <v>8.5</v>
      </c>
      <c r="O311" s="17"/>
      <c r="R311" s="238">
        <v>1</v>
      </c>
      <c r="S311" s="232" t="s">
        <v>1605</v>
      </c>
      <c r="T311" s="232" t="s">
        <v>2820</v>
      </c>
      <c r="U311" s="233">
        <v>8.91</v>
      </c>
      <c r="V311" s="339">
        <v>8.82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1143</v>
      </c>
      <c r="B312" s="151">
        <v>8</v>
      </c>
      <c r="C312" s="2"/>
      <c r="D312" s="4" t="s">
        <v>1992</v>
      </c>
      <c r="E312" s="151">
        <v>8.5</v>
      </c>
      <c r="F312" s="2"/>
      <c r="G312" s="4" t="s">
        <v>1878</v>
      </c>
      <c r="H312" s="151">
        <v>8.5</v>
      </c>
      <c r="I312" s="2"/>
      <c r="J312" s="4" t="s">
        <v>1838</v>
      </c>
      <c r="K312" s="151">
        <v>8.5</v>
      </c>
      <c r="L312" s="2"/>
      <c r="M312" s="4" t="s">
        <v>1854</v>
      </c>
      <c r="N312" s="151">
        <v>8.5</v>
      </c>
      <c r="O312" s="17"/>
      <c r="R312" s="240">
        <v>2</v>
      </c>
      <c r="S312" s="235" t="s">
        <v>345</v>
      </c>
      <c r="T312" s="235" t="s">
        <v>2821</v>
      </c>
      <c r="U312" s="236">
        <v>8.8000000000000007</v>
      </c>
      <c r="V312" s="284">
        <v>8.75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1867</v>
      </c>
      <c r="B313" s="151">
        <v>8</v>
      </c>
      <c r="C313" s="2"/>
      <c r="D313" s="4" t="s">
        <v>1993</v>
      </c>
      <c r="E313" s="151">
        <v>9</v>
      </c>
      <c r="F313" s="2"/>
      <c r="G313" s="4" t="s">
        <v>1879</v>
      </c>
      <c r="H313" s="151">
        <v>8.5</v>
      </c>
      <c r="I313" s="2"/>
      <c r="J313" s="4" t="s">
        <v>1839</v>
      </c>
      <c r="K313" s="151">
        <v>8.5</v>
      </c>
      <c r="L313" s="2"/>
      <c r="M313" s="4" t="s">
        <v>1855</v>
      </c>
      <c r="N313" s="151">
        <v>8</v>
      </c>
      <c r="O313" s="17"/>
      <c r="R313" s="242">
        <v>3</v>
      </c>
      <c r="S313" s="232" t="s">
        <v>2343</v>
      </c>
      <c r="T313" s="232" t="s">
        <v>2822</v>
      </c>
      <c r="U313" s="233">
        <v>8.8000000000000007</v>
      </c>
      <c r="V313" s="275">
        <v>8.84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1868</v>
      </c>
      <c r="B314" s="151">
        <v>9.5</v>
      </c>
      <c r="C314" s="2"/>
      <c r="D314" s="4" t="s">
        <v>1994</v>
      </c>
      <c r="E314" s="151">
        <v>9</v>
      </c>
      <c r="F314" s="2"/>
      <c r="G314" s="4" t="s">
        <v>1880</v>
      </c>
      <c r="H314" s="151">
        <v>7.5</v>
      </c>
      <c r="I314" s="2"/>
      <c r="J314" s="4" t="s">
        <v>1840</v>
      </c>
      <c r="K314" s="151">
        <v>9</v>
      </c>
      <c r="L314" s="2"/>
      <c r="M314" s="4" t="s">
        <v>1856</v>
      </c>
      <c r="N314" s="151">
        <v>8.5</v>
      </c>
      <c r="O314" s="17"/>
      <c r="R314" s="244">
        <v>4</v>
      </c>
      <c r="S314" s="235" t="s">
        <v>344</v>
      </c>
      <c r="T314" s="235" t="s">
        <v>161</v>
      </c>
      <c r="U314" s="236">
        <v>8.67</v>
      </c>
      <c r="V314" s="254">
        <v>8.57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1869</v>
      </c>
      <c r="B315" s="151">
        <v>7</v>
      </c>
      <c r="C315" s="2"/>
      <c r="D315" s="4" t="s">
        <v>1995</v>
      </c>
      <c r="E315" s="151">
        <v>8</v>
      </c>
      <c r="F315" s="2"/>
      <c r="G315" s="4" t="s">
        <v>1881</v>
      </c>
      <c r="H315" s="151">
        <v>7</v>
      </c>
      <c r="I315" s="2"/>
      <c r="J315" s="4" t="s">
        <v>1841</v>
      </c>
      <c r="K315" s="151">
        <v>9.5</v>
      </c>
      <c r="L315" s="2"/>
      <c r="M315" s="4" t="s">
        <v>1857</v>
      </c>
      <c r="N315" s="151">
        <v>7.5</v>
      </c>
      <c r="O315" s="17"/>
      <c r="R315" s="244">
        <v>5</v>
      </c>
      <c r="S315" s="232" t="s">
        <v>2499</v>
      </c>
      <c r="T315" s="232" t="s">
        <v>2500</v>
      </c>
      <c r="U315" s="233">
        <v>7.17</v>
      </c>
      <c r="V315" s="249">
        <v>7.04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1870</v>
      </c>
      <c r="B316" s="151">
        <v>10</v>
      </c>
      <c r="C316" s="2"/>
      <c r="D316" s="4" t="s">
        <v>1996</v>
      </c>
      <c r="E316" s="151">
        <v>8</v>
      </c>
      <c r="F316" s="2"/>
      <c r="G316" s="4" t="s">
        <v>1882</v>
      </c>
      <c r="H316" s="151">
        <v>7</v>
      </c>
      <c r="I316" s="2"/>
      <c r="J316" s="7" t="s">
        <v>1842</v>
      </c>
      <c r="K316" s="152">
        <v>8.5</v>
      </c>
      <c r="L316" s="2"/>
      <c r="M316" s="7" t="s">
        <v>1858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1871</v>
      </c>
      <c r="B317" s="151">
        <v>8.5</v>
      </c>
      <c r="C317" s="2"/>
      <c r="D317" s="4" t="s">
        <v>1997</v>
      </c>
      <c r="E317" s="151">
        <v>8.5</v>
      </c>
      <c r="F317" s="2"/>
      <c r="G317" s="4" t="s">
        <v>1883</v>
      </c>
      <c r="H317" s="151">
        <v>7.5</v>
      </c>
      <c r="I317" s="2"/>
      <c r="J317" s="2"/>
      <c r="K317" s="2"/>
      <c r="L317" s="2"/>
      <c r="M317" s="2"/>
      <c r="N317" s="2"/>
      <c r="O317" s="17"/>
      <c r="R317" s="368" t="s">
        <v>2908</v>
      </c>
      <c r="S317" s="368"/>
      <c r="T317" s="368"/>
      <c r="U317" s="368"/>
      <c r="V317" s="368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1872</v>
      </c>
      <c r="B318" s="151">
        <v>7.5</v>
      </c>
      <c r="C318" s="2"/>
      <c r="D318" s="7" t="s">
        <v>1998</v>
      </c>
      <c r="E318" s="152">
        <v>8.5</v>
      </c>
      <c r="F318" s="2"/>
      <c r="G318" s="4" t="s">
        <v>1884</v>
      </c>
      <c r="H318" s="151">
        <v>7</v>
      </c>
      <c r="I318" s="2"/>
      <c r="J318" s="172" t="s">
        <v>2012</v>
      </c>
      <c r="K318" s="12">
        <f>ROUND(SUM(K319:K326)/COUNT(K319:K326), 2)</f>
        <v>8.43</v>
      </c>
      <c r="L318" s="2"/>
      <c r="M318" s="173" t="s">
        <v>2024</v>
      </c>
      <c r="N318" s="12">
        <f>ROUND(SUM(N319:N326)/COUNT(N319:N326), 2)</f>
        <v>9.31</v>
      </c>
      <c r="O318" s="17"/>
      <c r="R318" s="231" t="s">
        <v>352</v>
      </c>
      <c r="S318" s="231" t="s">
        <v>319</v>
      </c>
      <c r="T318" s="231" t="s">
        <v>320</v>
      </c>
      <c r="U318" s="231" t="s">
        <v>321</v>
      </c>
      <c r="V318" s="231" t="s">
        <v>1002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1873</v>
      </c>
      <c r="B319" s="151">
        <v>7.5</v>
      </c>
      <c r="C319" s="2"/>
      <c r="D319" s="2"/>
      <c r="E319" s="2"/>
      <c r="F319" s="2"/>
      <c r="G319" s="4" t="s">
        <v>1885</v>
      </c>
      <c r="H319" s="151">
        <v>7</v>
      </c>
      <c r="I319" s="2"/>
      <c r="J319" s="11" t="s">
        <v>2013</v>
      </c>
      <c r="K319" s="150"/>
      <c r="L319" s="2"/>
      <c r="M319" s="11" t="s">
        <v>2025</v>
      </c>
      <c r="N319" s="150">
        <v>10</v>
      </c>
      <c r="O319" s="17"/>
      <c r="R319" s="238">
        <v>1</v>
      </c>
      <c r="S319" s="232" t="s">
        <v>326</v>
      </c>
      <c r="T319" s="232" t="s">
        <v>2825</v>
      </c>
      <c r="U319" s="233">
        <v>9.34</v>
      </c>
      <c r="V319" s="363">
        <v>9.64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1874</v>
      </c>
      <c r="B320" s="152">
        <v>8</v>
      </c>
      <c r="C320" s="2"/>
      <c r="D320" s="171" t="s">
        <v>2000</v>
      </c>
      <c r="E320" s="12">
        <f>ROUND(SUM(E321:E326)/COUNT(E321:E326), 2)</f>
        <v>8.67</v>
      </c>
      <c r="F320" s="2"/>
      <c r="G320" s="4" t="s">
        <v>1886</v>
      </c>
      <c r="H320" s="151">
        <v>7.5</v>
      </c>
      <c r="I320" s="2"/>
      <c r="J320" s="4" t="s">
        <v>2014</v>
      </c>
      <c r="K320" s="151">
        <v>8.5</v>
      </c>
      <c r="L320" s="2"/>
      <c r="M320" s="4" t="s">
        <v>2026</v>
      </c>
      <c r="N320" s="151">
        <v>10.5</v>
      </c>
      <c r="O320" s="17"/>
      <c r="R320" s="240">
        <v>2</v>
      </c>
      <c r="S320" s="235" t="s">
        <v>2904</v>
      </c>
      <c r="T320" s="235" t="s">
        <v>2900</v>
      </c>
      <c r="U320" s="236">
        <v>8.83</v>
      </c>
      <c r="V320" s="260">
        <v>9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2001</v>
      </c>
      <c r="E321" s="150">
        <v>8.5</v>
      </c>
      <c r="F321" s="2"/>
      <c r="G321" s="4" t="s">
        <v>1887</v>
      </c>
      <c r="H321" s="151">
        <v>6</v>
      </c>
      <c r="I321" s="2"/>
      <c r="J321" s="4" t="s">
        <v>2015</v>
      </c>
      <c r="K321" s="151">
        <v>9</v>
      </c>
      <c r="L321" s="2"/>
      <c r="M321" s="4" t="s">
        <v>2027</v>
      </c>
      <c r="N321" s="151">
        <v>9.5</v>
      </c>
      <c r="O321" s="17"/>
      <c r="R321" s="242">
        <v>3</v>
      </c>
      <c r="S321" s="232" t="s">
        <v>1409</v>
      </c>
      <c r="T321" s="232" t="s">
        <v>1410</v>
      </c>
      <c r="U321" s="233">
        <v>8.0500000000000007</v>
      </c>
      <c r="V321" s="268">
        <v>7.95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2036</v>
      </c>
      <c r="B322" s="12">
        <f>ROUND(SUM(B323:B341)/COUNT(B323:B341), 2)</f>
        <v>8.3800000000000008</v>
      </c>
      <c r="C322" s="2"/>
      <c r="D322" s="4" t="s">
        <v>2002</v>
      </c>
      <c r="E322" s="151">
        <v>9</v>
      </c>
      <c r="F322" s="2"/>
      <c r="G322" s="4" t="s">
        <v>1888</v>
      </c>
      <c r="H322" s="151">
        <v>7</v>
      </c>
      <c r="I322" s="2"/>
      <c r="J322" s="4" t="s">
        <v>2016</v>
      </c>
      <c r="K322" s="151">
        <v>8.5</v>
      </c>
      <c r="L322" s="2"/>
      <c r="M322" s="4" t="s">
        <v>2028</v>
      </c>
      <c r="N322" s="151">
        <v>10</v>
      </c>
      <c r="O322" s="17"/>
      <c r="R322" s="244">
        <v>4</v>
      </c>
      <c r="S322" s="235" t="s">
        <v>335</v>
      </c>
      <c r="T322" s="235" t="s">
        <v>1789</v>
      </c>
      <c r="U322" s="236">
        <v>3.68</v>
      </c>
      <c r="V322" s="250">
        <v>3.37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1413</v>
      </c>
      <c r="B323" s="150"/>
      <c r="C323" s="2"/>
      <c r="D323" s="4" t="s">
        <v>2003</v>
      </c>
      <c r="E323" s="151">
        <v>8.5</v>
      </c>
      <c r="F323" s="2"/>
      <c r="G323" s="4" t="s">
        <v>1889</v>
      </c>
      <c r="H323" s="151">
        <v>8</v>
      </c>
      <c r="I323" s="2"/>
      <c r="J323" s="4" t="s">
        <v>2017</v>
      </c>
      <c r="K323" s="151">
        <v>8.5</v>
      </c>
      <c r="L323" s="2"/>
      <c r="M323" s="4" t="s">
        <v>2029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2037</v>
      </c>
      <c r="B324" s="151">
        <v>8</v>
      </c>
      <c r="C324" s="2"/>
      <c r="D324" s="4" t="s">
        <v>2004</v>
      </c>
      <c r="E324" s="151">
        <v>7.5</v>
      </c>
      <c r="F324" s="2"/>
      <c r="G324" s="4" t="s">
        <v>1890</v>
      </c>
      <c r="H324" s="151">
        <v>7.5</v>
      </c>
      <c r="I324" s="2"/>
      <c r="J324" s="4" t="s">
        <v>2018</v>
      </c>
      <c r="K324" s="151">
        <v>7.5</v>
      </c>
      <c r="L324" s="2"/>
      <c r="M324" s="4" t="s">
        <v>2030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2038</v>
      </c>
      <c r="B325" s="151">
        <v>8</v>
      </c>
      <c r="C325" s="2"/>
      <c r="D325" s="4" t="s">
        <v>2005</v>
      </c>
      <c r="E325" s="151">
        <v>9</v>
      </c>
      <c r="F325" s="2"/>
      <c r="G325" s="4" t="s">
        <v>1891</v>
      </c>
      <c r="H325" s="151">
        <v>7</v>
      </c>
      <c r="I325" s="2"/>
      <c r="J325" s="4" t="s">
        <v>2019</v>
      </c>
      <c r="K325" s="151">
        <v>8</v>
      </c>
      <c r="L325" s="2"/>
      <c r="M325" s="4" t="s">
        <v>2031</v>
      </c>
      <c r="N325" s="151">
        <v>8.5</v>
      </c>
      <c r="O325" s="17"/>
      <c r="R325" s="368" t="s">
        <v>2837</v>
      </c>
      <c r="S325" s="368"/>
      <c r="T325" s="368"/>
      <c r="U325" s="368"/>
      <c r="V325" s="368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2039</v>
      </c>
      <c r="B326" s="151">
        <v>8.5</v>
      </c>
      <c r="C326" s="2"/>
      <c r="D326" s="7" t="s">
        <v>2006</v>
      </c>
      <c r="E326" s="152">
        <v>9.5</v>
      </c>
      <c r="F326" s="2"/>
      <c r="G326" s="4" t="s">
        <v>1892</v>
      </c>
      <c r="H326" s="151">
        <v>6</v>
      </c>
      <c r="I326" s="2"/>
      <c r="J326" s="7" t="s">
        <v>2020</v>
      </c>
      <c r="K326" s="152">
        <v>9</v>
      </c>
      <c r="L326" s="2"/>
      <c r="M326" s="7" t="s">
        <v>2032</v>
      </c>
      <c r="N326" s="152">
        <v>8.5</v>
      </c>
      <c r="O326" s="17"/>
      <c r="R326" s="231" t="s">
        <v>352</v>
      </c>
      <c r="S326" s="231" t="s">
        <v>319</v>
      </c>
      <c r="T326" s="231" t="s">
        <v>320</v>
      </c>
      <c r="U326" s="231" t="s">
        <v>321</v>
      </c>
      <c r="V326" s="231" t="s">
        <v>1002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2040</v>
      </c>
      <c r="B327" s="151">
        <v>8</v>
      </c>
      <c r="C327" s="2"/>
      <c r="D327" s="2"/>
      <c r="E327" s="2"/>
      <c r="F327" s="2"/>
      <c r="G327" s="7" t="s">
        <v>1893</v>
      </c>
      <c r="H327" s="152">
        <v>6.5</v>
      </c>
      <c r="I327" s="2"/>
      <c r="J327" s="2"/>
      <c r="K327" s="2"/>
      <c r="L327" s="2"/>
      <c r="M327" s="2"/>
      <c r="N327" s="2"/>
      <c r="O327" s="17"/>
      <c r="R327" s="238">
        <v>1</v>
      </c>
      <c r="S327" s="232" t="s">
        <v>1333</v>
      </c>
      <c r="T327" s="232" t="s">
        <v>1324</v>
      </c>
      <c r="U327" s="233">
        <v>9</v>
      </c>
      <c r="V327" s="367">
        <v>8.9600000000000009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2041</v>
      </c>
      <c r="B328" s="151">
        <v>9</v>
      </c>
      <c r="C328" s="2"/>
      <c r="D328" s="176" t="s">
        <v>2059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2196</v>
      </c>
      <c r="K328" s="12">
        <f>ROUND(SUM(K329:K338)/COUNT(K329:K338), 2)</f>
        <v>8.6</v>
      </c>
      <c r="L328" s="2"/>
      <c r="M328" s="177" t="s">
        <v>2112</v>
      </c>
      <c r="N328" s="12">
        <f>ROUND(SUM(N329:N336)/COUNT(N329:N336), 2)</f>
        <v>8.81</v>
      </c>
      <c r="O328" s="17"/>
      <c r="R328" s="240">
        <v>2</v>
      </c>
      <c r="S328" s="235" t="s">
        <v>739</v>
      </c>
      <c r="T328" s="235" t="s">
        <v>740</v>
      </c>
      <c r="U328" s="236">
        <v>8.91</v>
      </c>
      <c r="V328" s="328">
        <v>8.93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2042</v>
      </c>
      <c r="B329" s="151">
        <v>8.5</v>
      </c>
      <c r="C329" s="2"/>
      <c r="D329" s="11" t="s">
        <v>2060</v>
      </c>
      <c r="E329" s="150">
        <v>8.5</v>
      </c>
      <c r="F329" s="2"/>
      <c r="G329" s="179" t="s">
        <v>2195</v>
      </c>
      <c r="H329" s="12">
        <f>ROUND(SUM(H330:H337)/COUNT(H330:H337), 2)</f>
        <v>8.75</v>
      </c>
      <c r="I329" s="2"/>
      <c r="J329" s="11" t="s">
        <v>2093</v>
      </c>
      <c r="K329" s="150">
        <v>10.5</v>
      </c>
      <c r="L329" s="2"/>
      <c r="M329" s="11" t="s">
        <v>111</v>
      </c>
      <c r="N329" s="150">
        <v>9</v>
      </c>
      <c r="O329" s="17"/>
      <c r="R329" s="242">
        <v>3</v>
      </c>
      <c r="S329" s="232" t="s">
        <v>1489</v>
      </c>
      <c r="T329" s="232" t="s">
        <v>1490</v>
      </c>
      <c r="U329" s="233">
        <v>8.93</v>
      </c>
      <c r="V329" s="258">
        <v>8.8800000000000008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2043</v>
      </c>
      <c r="B330" s="151"/>
      <c r="C330" s="2"/>
      <c r="D330" s="4" t="s">
        <v>2061</v>
      </c>
      <c r="E330" s="151">
        <v>10.5</v>
      </c>
      <c r="F330" s="2"/>
      <c r="G330" s="11" t="s">
        <v>2197</v>
      </c>
      <c r="H330" s="150">
        <v>9.5</v>
      </c>
      <c r="I330" s="2"/>
      <c r="J330" s="4" t="s">
        <v>2094</v>
      </c>
      <c r="K330" s="151">
        <v>8</v>
      </c>
      <c r="L330" s="2"/>
      <c r="M330" s="4" t="s">
        <v>2113</v>
      </c>
      <c r="N330" s="151">
        <v>8.5</v>
      </c>
      <c r="O330" s="17"/>
      <c r="R330" s="244">
        <v>4</v>
      </c>
      <c r="S330" s="235" t="s">
        <v>339</v>
      </c>
      <c r="T330" s="235" t="s">
        <v>2823</v>
      </c>
      <c r="U330" s="236">
        <v>8.5399999999999991</v>
      </c>
      <c r="V330" s="278">
        <v>8.4700000000000006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2044</v>
      </c>
      <c r="B331" s="151">
        <v>8.5</v>
      </c>
      <c r="C331" s="2"/>
      <c r="D331" s="4" t="s">
        <v>2062</v>
      </c>
      <c r="E331" s="151">
        <v>9.5</v>
      </c>
      <c r="F331" s="2"/>
      <c r="G331" s="4" t="s">
        <v>2198</v>
      </c>
      <c r="H331" s="151">
        <v>8.5</v>
      </c>
      <c r="I331" s="2"/>
      <c r="J331" s="4" t="s">
        <v>2095</v>
      </c>
      <c r="K331" s="151">
        <v>7.5</v>
      </c>
      <c r="L331" s="2"/>
      <c r="M331" s="4" t="s">
        <v>2114</v>
      </c>
      <c r="N331" s="151">
        <v>9.5</v>
      </c>
      <c r="O331" s="17"/>
      <c r="R331" s="244">
        <v>5</v>
      </c>
      <c r="S331" s="232" t="s">
        <v>2404</v>
      </c>
      <c r="T331" s="232" t="s">
        <v>2405</v>
      </c>
      <c r="U331" s="233">
        <v>8.1999999999999993</v>
      </c>
      <c r="V331" s="299">
        <v>8.1300000000000008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2045</v>
      </c>
      <c r="B332" s="151">
        <v>10</v>
      </c>
      <c r="C332" s="2"/>
      <c r="D332" s="4" t="s">
        <v>2063</v>
      </c>
      <c r="E332" s="151">
        <v>9</v>
      </c>
      <c r="F332" s="2"/>
      <c r="G332" s="4" t="s">
        <v>2199</v>
      </c>
      <c r="H332" s="151">
        <v>8.5</v>
      </c>
      <c r="I332" s="2"/>
      <c r="J332" s="4" t="s">
        <v>2096</v>
      </c>
      <c r="K332" s="151">
        <v>9.5</v>
      </c>
      <c r="L332" s="2"/>
      <c r="M332" s="4" t="s">
        <v>2115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2046</v>
      </c>
      <c r="B333" s="151">
        <v>8.5</v>
      </c>
      <c r="C333" s="2"/>
      <c r="D333" s="4" t="s">
        <v>2064</v>
      </c>
      <c r="E333" s="151">
        <v>8.5</v>
      </c>
      <c r="F333" s="2"/>
      <c r="G333" s="4" t="s">
        <v>2200</v>
      </c>
      <c r="H333" s="151">
        <v>8</v>
      </c>
      <c r="I333" s="2"/>
      <c r="J333" s="4" t="s">
        <v>2097</v>
      </c>
      <c r="K333" s="151">
        <v>7.5</v>
      </c>
      <c r="L333" s="2"/>
      <c r="M333" s="4" t="s">
        <v>2116</v>
      </c>
      <c r="N333" s="151">
        <v>8.5</v>
      </c>
      <c r="O333" s="17"/>
      <c r="R333" s="368" t="s">
        <v>2838</v>
      </c>
      <c r="S333" s="368"/>
      <c r="T333" s="368"/>
      <c r="U333" s="368"/>
      <c r="V333" s="368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2047</v>
      </c>
      <c r="B334" s="151">
        <v>7.5</v>
      </c>
      <c r="C334" s="2"/>
      <c r="D334" s="4" t="s">
        <v>2065</v>
      </c>
      <c r="E334" s="151">
        <v>9</v>
      </c>
      <c r="F334" s="2"/>
      <c r="G334" s="4" t="s">
        <v>2201</v>
      </c>
      <c r="H334" s="151">
        <v>9</v>
      </c>
      <c r="I334" s="2"/>
      <c r="J334" s="4" t="s">
        <v>2098</v>
      </c>
      <c r="K334" s="151">
        <v>8</v>
      </c>
      <c r="L334" s="2"/>
      <c r="M334" s="4" t="s">
        <v>2117</v>
      </c>
      <c r="N334" s="151">
        <v>8</v>
      </c>
      <c r="O334" s="17"/>
      <c r="R334" s="231" t="s">
        <v>352</v>
      </c>
      <c r="S334" s="231" t="s">
        <v>319</v>
      </c>
      <c r="T334" s="231" t="s">
        <v>320</v>
      </c>
      <c r="U334" s="231" t="s">
        <v>321</v>
      </c>
      <c r="V334" s="231" t="s">
        <v>1002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2048</v>
      </c>
      <c r="B335" s="151">
        <v>10</v>
      </c>
      <c r="C335" s="2"/>
      <c r="D335" s="4" t="s">
        <v>2066</v>
      </c>
      <c r="E335" s="151">
        <v>8.5</v>
      </c>
      <c r="F335" s="2"/>
      <c r="G335" s="4" t="s">
        <v>2202</v>
      </c>
      <c r="H335" s="151">
        <v>8.5</v>
      </c>
      <c r="I335" s="2"/>
      <c r="J335" s="4" t="s">
        <v>2099</v>
      </c>
      <c r="K335" s="151">
        <v>10</v>
      </c>
      <c r="L335" s="2"/>
      <c r="M335" s="4" t="s">
        <v>2118</v>
      </c>
      <c r="N335" s="151">
        <v>8.5</v>
      </c>
      <c r="O335" s="17"/>
      <c r="R335" s="238">
        <v>1</v>
      </c>
      <c r="S335" s="232" t="s">
        <v>996</v>
      </c>
      <c r="T335" s="232" t="s">
        <v>994</v>
      </c>
      <c r="U335" s="233">
        <v>10.5</v>
      </c>
      <c r="V335" s="281">
        <v>10.85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2049</v>
      </c>
      <c r="B336" s="151">
        <v>8</v>
      </c>
      <c r="C336" s="2"/>
      <c r="D336" s="4" t="s">
        <v>2067</v>
      </c>
      <c r="E336" s="151">
        <v>8.5</v>
      </c>
      <c r="F336" s="2"/>
      <c r="G336" s="4" t="s">
        <v>2203</v>
      </c>
      <c r="H336" s="151">
        <v>10</v>
      </c>
      <c r="I336" s="2"/>
      <c r="J336" s="4" t="s">
        <v>2100</v>
      </c>
      <c r="K336" s="151">
        <v>9</v>
      </c>
      <c r="L336" s="2"/>
      <c r="M336" s="7" t="s">
        <v>2119</v>
      </c>
      <c r="N336" s="152">
        <v>8</v>
      </c>
      <c r="O336" s="17"/>
      <c r="R336" s="240">
        <v>2</v>
      </c>
      <c r="S336" s="235" t="s">
        <v>346</v>
      </c>
      <c r="T336" s="235" t="s">
        <v>2824</v>
      </c>
      <c r="U336" s="236">
        <v>8.85</v>
      </c>
      <c r="V336" s="275">
        <v>8.84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2050</v>
      </c>
      <c r="B337" s="151">
        <v>7</v>
      </c>
      <c r="C337" s="2"/>
      <c r="D337" s="4" t="s">
        <v>2068</v>
      </c>
      <c r="E337" s="151">
        <v>10</v>
      </c>
      <c r="F337" s="2"/>
      <c r="G337" s="7" t="s">
        <v>2204</v>
      </c>
      <c r="H337" s="152">
        <v>8</v>
      </c>
      <c r="I337" s="2"/>
      <c r="J337" s="4" t="s">
        <v>2101</v>
      </c>
      <c r="K337" s="151">
        <v>8</v>
      </c>
      <c r="L337" s="2"/>
      <c r="M337" s="2"/>
      <c r="N337" s="2"/>
      <c r="O337" s="17"/>
      <c r="R337" s="242">
        <v>3</v>
      </c>
      <c r="S337" s="232" t="s">
        <v>1489</v>
      </c>
      <c r="T337" s="232" t="s">
        <v>1490</v>
      </c>
      <c r="U337" s="233">
        <v>8.93</v>
      </c>
      <c r="V337" s="258">
        <v>8.8800000000000008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2051</v>
      </c>
      <c r="B338" s="151">
        <v>8</v>
      </c>
      <c r="C338" s="2"/>
      <c r="D338" s="4" t="s">
        <v>2069</v>
      </c>
      <c r="E338" s="151">
        <v>8.5</v>
      </c>
      <c r="F338" s="2"/>
      <c r="G338" s="2"/>
      <c r="H338" s="2"/>
      <c r="I338" s="2"/>
      <c r="J338" s="7" t="s">
        <v>2102</v>
      </c>
      <c r="K338" s="152">
        <v>8</v>
      </c>
      <c r="L338" s="2"/>
      <c r="M338" s="180" t="s">
        <v>2208</v>
      </c>
      <c r="N338" s="12">
        <f>ROUND(SUM(N339:N353)/COUNT(N339:N353), 2)</f>
        <v>8.73</v>
      </c>
      <c r="O338" s="17"/>
      <c r="R338" s="244">
        <v>4</v>
      </c>
      <c r="S338" s="235" t="s">
        <v>396</v>
      </c>
      <c r="T338" s="235" t="s">
        <v>390</v>
      </c>
      <c r="U338" s="236">
        <v>8.8000000000000007</v>
      </c>
      <c r="V338" s="261">
        <v>8.81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2052</v>
      </c>
      <c r="B339" s="151">
        <v>9</v>
      </c>
      <c r="C339" s="2"/>
      <c r="D339" s="4" t="s">
        <v>2070</v>
      </c>
      <c r="E339" s="151">
        <v>8.5</v>
      </c>
      <c r="F339" s="2"/>
      <c r="G339" s="181" t="s">
        <v>2228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2209</v>
      </c>
      <c r="N339" s="150">
        <v>8</v>
      </c>
      <c r="O339" s="17"/>
      <c r="R339" s="244">
        <v>5</v>
      </c>
      <c r="S339" s="232" t="s">
        <v>956</v>
      </c>
      <c r="T339" s="232" t="s">
        <v>954</v>
      </c>
      <c r="U339" s="233">
        <v>8.67</v>
      </c>
      <c r="V339" s="264">
        <v>8.56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2053</v>
      </c>
      <c r="B340" s="151">
        <v>8.5</v>
      </c>
      <c r="C340" s="2"/>
      <c r="D340" s="4" t="s">
        <v>2071</v>
      </c>
      <c r="E340" s="151">
        <v>7.5</v>
      </c>
      <c r="F340" s="2"/>
      <c r="G340" s="11" t="s">
        <v>2229</v>
      </c>
      <c r="H340" s="150">
        <v>8</v>
      </c>
      <c r="I340" s="2"/>
      <c r="J340" s="182" t="s">
        <v>2260</v>
      </c>
      <c r="K340" s="12">
        <f>ROUND(SUM(K341:K354)/COUNT(K341:K354), 2)</f>
        <v>8.5399999999999991</v>
      </c>
      <c r="L340" s="2"/>
      <c r="M340" s="4" t="s">
        <v>2210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2054</v>
      </c>
      <c r="B341" s="152">
        <v>7.5</v>
      </c>
      <c r="C341" s="2"/>
      <c r="D341" s="4" t="s">
        <v>2072</v>
      </c>
      <c r="E341" s="151">
        <v>10.5</v>
      </c>
      <c r="F341" s="2"/>
      <c r="G341" s="4" t="s">
        <v>2230</v>
      </c>
      <c r="H341" s="151">
        <v>9</v>
      </c>
      <c r="I341" s="2"/>
      <c r="J341" s="11" t="s">
        <v>2246</v>
      </c>
      <c r="K341" s="150">
        <v>8.5</v>
      </c>
      <c r="L341" s="2"/>
      <c r="M341" s="4" t="s">
        <v>2211</v>
      </c>
      <c r="N341" s="151"/>
      <c r="O341" s="17"/>
      <c r="R341" s="368" t="s">
        <v>2839</v>
      </c>
      <c r="S341" s="368"/>
      <c r="T341" s="368"/>
      <c r="U341" s="368"/>
      <c r="V341" s="368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2073</v>
      </c>
      <c r="E342" s="151">
        <v>8</v>
      </c>
      <c r="F342" s="2"/>
      <c r="G342" s="4" t="s">
        <v>2231</v>
      </c>
      <c r="H342" s="151">
        <v>9.5</v>
      </c>
      <c r="I342" s="2"/>
      <c r="J342" s="4" t="s">
        <v>2247</v>
      </c>
      <c r="K342" s="151">
        <v>9</v>
      </c>
      <c r="L342" s="2"/>
      <c r="M342" s="4" t="s">
        <v>2212</v>
      </c>
      <c r="N342" s="151">
        <v>10</v>
      </c>
      <c r="O342" s="17"/>
      <c r="R342" s="231" t="s">
        <v>352</v>
      </c>
      <c r="S342" s="231" t="s">
        <v>319</v>
      </c>
      <c r="T342" s="231" t="s">
        <v>320</v>
      </c>
      <c r="U342" s="231" t="s">
        <v>321</v>
      </c>
      <c r="V342" s="231" t="s">
        <v>1002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2266</v>
      </c>
      <c r="B343" s="12">
        <f>ROUND(SUM(B344:B358)/COUNT(B344:B358), 2)</f>
        <v>8.57</v>
      </c>
      <c r="C343" s="2"/>
      <c r="D343" s="4" t="s">
        <v>2074</v>
      </c>
      <c r="E343" s="151">
        <v>7.5</v>
      </c>
      <c r="F343" s="2"/>
      <c r="G343" s="4" t="s">
        <v>2232</v>
      </c>
      <c r="H343" s="151">
        <v>8.5</v>
      </c>
      <c r="I343" s="2"/>
      <c r="J343" s="4" t="s">
        <v>2248</v>
      </c>
      <c r="K343" s="151">
        <v>8</v>
      </c>
      <c r="L343" s="2"/>
      <c r="M343" s="4" t="s">
        <v>2213</v>
      </c>
      <c r="N343" s="151">
        <v>8</v>
      </c>
      <c r="O343" s="17"/>
      <c r="R343" s="238">
        <v>1</v>
      </c>
      <c r="S343" s="232" t="s">
        <v>2689</v>
      </c>
      <c r="T343" s="232" t="s">
        <v>2826</v>
      </c>
      <c r="U343" s="233">
        <v>9.36</v>
      </c>
      <c r="V343" s="300">
        <v>9.5299999999999994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2267</v>
      </c>
      <c r="B344" s="150">
        <v>9</v>
      </c>
      <c r="C344" s="2"/>
      <c r="D344" s="4" t="s">
        <v>2075</v>
      </c>
      <c r="E344" s="151">
        <v>10</v>
      </c>
      <c r="F344" s="2"/>
      <c r="G344" s="4" t="s">
        <v>2233</v>
      </c>
      <c r="H344" s="151">
        <v>9</v>
      </c>
      <c r="I344" s="2"/>
      <c r="J344" s="4" t="s">
        <v>2249</v>
      </c>
      <c r="K344" s="151">
        <v>8.5</v>
      </c>
      <c r="L344" s="2"/>
      <c r="M344" s="4" t="s">
        <v>2214</v>
      </c>
      <c r="N344" s="151">
        <v>8.5</v>
      </c>
      <c r="O344" s="17"/>
      <c r="R344" s="240">
        <v>2</v>
      </c>
      <c r="S344" s="235" t="s">
        <v>2712</v>
      </c>
      <c r="T344" s="235" t="s">
        <v>2711</v>
      </c>
      <c r="U344" s="236">
        <v>8.8800000000000008</v>
      </c>
      <c r="V344" s="261">
        <v>8.81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2268</v>
      </c>
      <c r="B345" s="151">
        <v>8</v>
      </c>
      <c r="C345" s="2"/>
      <c r="D345" s="4" t="s">
        <v>2076</v>
      </c>
      <c r="E345" s="151">
        <v>9.5</v>
      </c>
      <c r="F345" s="2"/>
      <c r="G345" s="4" t="s">
        <v>2234</v>
      </c>
      <c r="H345" s="151">
        <v>10</v>
      </c>
      <c r="I345" s="2"/>
      <c r="J345" s="4" t="s">
        <v>2250</v>
      </c>
      <c r="K345" s="151">
        <v>9</v>
      </c>
      <c r="L345" s="2"/>
      <c r="M345" s="4" t="s">
        <v>2215</v>
      </c>
      <c r="N345" s="151">
        <v>8.5</v>
      </c>
      <c r="O345" s="17"/>
      <c r="R345" s="242">
        <v>3</v>
      </c>
      <c r="S345" s="232" t="s">
        <v>1672</v>
      </c>
      <c r="T345" s="232" t="s">
        <v>1671</v>
      </c>
      <c r="U345" s="233">
        <v>8.85</v>
      </c>
      <c r="V345" s="313">
        <v>8.7799999999999994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2269</v>
      </c>
      <c r="B346" s="151">
        <v>10</v>
      </c>
      <c r="C346" s="2"/>
      <c r="D346" s="4" t="s">
        <v>2077</v>
      </c>
      <c r="E346" s="151">
        <v>10</v>
      </c>
      <c r="F346" s="2"/>
      <c r="G346" s="4" t="s">
        <v>2235</v>
      </c>
      <c r="H346" s="151">
        <v>8.5</v>
      </c>
      <c r="I346" s="2"/>
      <c r="J346" s="4" t="s">
        <v>2251</v>
      </c>
      <c r="K346" s="151">
        <v>8</v>
      </c>
      <c r="L346" s="2"/>
      <c r="M346" s="4" t="s">
        <v>2216</v>
      </c>
      <c r="N346" s="151">
        <v>9</v>
      </c>
      <c r="O346" s="17"/>
      <c r="R346" s="244">
        <v>4</v>
      </c>
      <c r="S346" s="235" t="s">
        <v>1775</v>
      </c>
      <c r="T346" s="235" t="s">
        <v>1776</v>
      </c>
      <c r="U346" s="236">
        <v>8.83</v>
      </c>
      <c r="V346" s="289">
        <v>8.77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2270</v>
      </c>
      <c r="B347" s="151">
        <v>9</v>
      </c>
      <c r="C347" s="2"/>
      <c r="D347" s="4" t="s">
        <v>2078</v>
      </c>
      <c r="E347" s="151">
        <v>8</v>
      </c>
      <c r="F347" s="2"/>
      <c r="G347" s="4" t="s">
        <v>2236</v>
      </c>
      <c r="H347" s="151">
        <v>8.5</v>
      </c>
      <c r="I347" s="2"/>
      <c r="J347" s="4" t="s">
        <v>2252</v>
      </c>
      <c r="K347" s="151">
        <v>8</v>
      </c>
      <c r="L347" s="2"/>
      <c r="M347" s="4" t="s">
        <v>2217</v>
      </c>
      <c r="N347" s="151">
        <v>8.5</v>
      </c>
      <c r="O347" s="17"/>
      <c r="R347" s="244">
        <v>5</v>
      </c>
      <c r="S347" s="232" t="s">
        <v>956</v>
      </c>
      <c r="T347" s="232" t="s">
        <v>954</v>
      </c>
      <c r="U347" s="233">
        <v>8.67</v>
      </c>
      <c r="V347" s="264">
        <v>8.56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2271</v>
      </c>
      <c r="B348" s="151">
        <v>9</v>
      </c>
      <c r="C348" s="2"/>
      <c r="D348" s="4" t="s">
        <v>2079</v>
      </c>
      <c r="E348" s="151">
        <v>8.5</v>
      </c>
      <c r="F348" s="2"/>
      <c r="G348" s="4" t="s">
        <v>2237</v>
      </c>
      <c r="H348" s="151">
        <v>8</v>
      </c>
      <c r="I348" s="2"/>
      <c r="J348" s="4" t="s">
        <v>2253</v>
      </c>
      <c r="K348" s="151">
        <v>7.5</v>
      </c>
      <c r="L348" s="2"/>
      <c r="M348" s="4" t="s">
        <v>2218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2272</v>
      </c>
      <c r="B349" s="151">
        <v>8.5</v>
      </c>
      <c r="C349" s="2"/>
      <c r="D349" s="4" t="s">
        <v>2080</v>
      </c>
      <c r="E349" s="151">
        <v>8</v>
      </c>
      <c r="F349" s="2"/>
      <c r="G349" s="4" t="s">
        <v>2238</v>
      </c>
      <c r="H349" s="151">
        <v>8</v>
      </c>
      <c r="I349" s="2"/>
      <c r="J349" s="4" t="s">
        <v>2254</v>
      </c>
      <c r="K349" s="151">
        <v>9.5</v>
      </c>
      <c r="L349" s="2"/>
      <c r="M349" s="4" t="s">
        <v>2219</v>
      </c>
      <c r="N349" s="151"/>
      <c r="O349" s="17"/>
      <c r="R349" s="368" t="s">
        <v>2840</v>
      </c>
      <c r="S349" s="368"/>
      <c r="T349" s="368"/>
      <c r="U349" s="368"/>
      <c r="V349" s="368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2273</v>
      </c>
      <c r="B350" s="151">
        <v>9</v>
      </c>
      <c r="C350" s="2"/>
      <c r="D350" s="4" t="s">
        <v>2081</v>
      </c>
      <c r="E350" s="151">
        <v>7.5</v>
      </c>
      <c r="F350" s="2"/>
      <c r="G350" s="4" t="s">
        <v>2239</v>
      </c>
      <c r="H350" s="151">
        <v>8.5</v>
      </c>
      <c r="I350" s="2"/>
      <c r="J350" s="4" t="s">
        <v>2255</v>
      </c>
      <c r="K350" s="151">
        <v>8</v>
      </c>
      <c r="L350" s="2"/>
      <c r="M350" s="4" t="s">
        <v>2220</v>
      </c>
      <c r="N350" s="151">
        <v>9</v>
      </c>
      <c r="O350" s="17"/>
      <c r="R350" s="231" t="s">
        <v>352</v>
      </c>
      <c r="S350" s="231" t="s">
        <v>319</v>
      </c>
      <c r="T350" s="231" t="s">
        <v>320</v>
      </c>
      <c r="U350" s="231" t="s">
        <v>321</v>
      </c>
      <c r="V350" s="231" t="s">
        <v>1002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2274</v>
      </c>
      <c r="B351" s="151">
        <v>8.5</v>
      </c>
      <c r="C351" s="2"/>
      <c r="D351" s="4" t="s">
        <v>2082</v>
      </c>
      <c r="E351" s="151">
        <v>9</v>
      </c>
      <c r="F351" s="2"/>
      <c r="G351" s="7" t="s">
        <v>2240</v>
      </c>
      <c r="H351" s="152">
        <v>7.5</v>
      </c>
      <c r="I351" s="2"/>
      <c r="J351" s="4" t="s">
        <v>2256</v>
      </c>
      <c r="K351" s="151">
        <v>10</v>
      </c>
      <c r="L351" s="2"/>
      <c r="M351" s="4" t="s">
        <v>2221</v>
      </c>
      <c r="N351" s="151">
        <v>10</v>
      </c>
      <c r="O351" s="17"/>
      <c r="R351" s="238">
        <v>1</v>
      </c>
      <c r="S351" s="232" t="s">
        <v>336</v>
      </c>
      <c r="T351" s="232" t="s">
        <v>188</v>
      </c>
      <c r="U351" s="233">
        <v>9.2100000000000009</v>
      </c>
      <c r="V351" s="287">
        <v>9.34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2275</v>
      </c>
      <c r="B352" s="151">
        <v>8</v>
      </c>
      <c r="C352" s="2"/>
      <c r="D352" s="4" t="s">
        <v>2083</v>
      </c>
      <c r="E352" s="151">
        <v>8</v>
      </c>
      <c r="F352" s="2"/>
      <c r="G352" s="2"/>
      <c r="H352" s="2"/>
      <c r="I352" s="2"/>
      <c r="J352" s="4" t="s">
        <v>2257</v>
      </c>
      <c r="K352" s="151">
        <v>8</v>
      </c>
      <c r="L352" s="2"/>
      <c r="M352" s="4" t="s">
        <v>2222</v>
      </c>
      <c r="N352" s="151">
        <v>8</v>
      </c>
      <c r="O352" s="17"/>
      <c r="R352" s="240">
        <v>2</v>
      </c>
      <c r="S352" s="235" t="s">
        <v>396</v>
      </c>
      <c r="T352" s="235" t="s">
        <v>390</v>
      </c>
      <c r="U352" s="236">
        <v>8.8000000000000007</v>
      </c>
      <c r="V352" s="261">
        <v>8.81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2276</v>
      </c>
      <c r="B353" s="151">
        <v>8</v>
      </c>
      <c r="C353" s="2"/>
      <c r="D353" s="4" t="s">
        <v>2084</v>
      </c>
      <c r="E353" s="151"/>
      <c r="F353" s="2"/>
      <c r="G353" s="185" t="s">
        <v>2287</v>
      </c>
      <c r="H353" s="12">
        <f>ROUND(SUM(H354:H363)/COUNT(H354:H363), 2)</f>
        <v>8.6999999999999993</v>
      </c>
      <c r="I353" s="2"/>
      <c r="J353" s="4" t="s">
        <v>2258</v>
      </c>
      <c r="K353" s="151">
        <v>7.5</v>
      </c>
      <c r="L353" s="2"/>
      <c r="M353" s="7" t="s">
        <v>2223</v>
      </c>
      <c r="N353" s="152">
        <v>9</v>
      </c>
      <c r="O353" s="17"/>
      <c r="R353" s="242">
        <v>3</v>
      </c>
      <c r="S353" s="232" t="s">
        <v>2625</v>
      </c>
      <c r="T353" s="232" t="s">
        <v>2626</v>
      </c>
      <c r="U353" s="233">
        <v>8.8800000000000008</v>
      </c>
      <c r="V353" s="289">
        <v>8.77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2277</v>
      </c>
      <c r="B354" s="151">
        <v>7.5</v>
      </c>
      <c r="C354" s="2"/>
      <c r="D354" s="4" t="s">
        <v>2085</v>
      </c>
      <c r="E354" s="151">
        <v>8</v>
      </c>
      <c r="F354" s="2"/>
      <c r="G354" s="11" t="s">
        <v>2288</v>
      </c>
      <c r="H354" s="150">
        <v>9</v>
      </c>
      <c r="I354" s="2"/>
      <c r="J354" s="7" t="s">
        <v>2259</v>
      </c>
      <c r="K354" s="152">
        <v>10</v>
      </c>
      <c r="L354" s="2"/>
      <c r="M354" s="2"/>
      <c r="N354" s="2"/>
      <c r="O354" s="17"/>
      <c r="R354" s="244">
        <v>4</v>
      </c>
      <c r="S354" s="235" t="s">
        <v>2745</v>
      </c>
      <c r="T354" s="235" t="s">
        <v>2746</v>
      </c>
      <c r="U354" s="236">
        <v>8.75</v>
      </c>
      <c r="V354" s="248">
        <v>8.67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2278</v>
      </c>
      <c r="B355" s="151">
        <v>8.5</v>
      </c>
      <c r="C355" s="2"/>
      <c r="D355" s="4" t="s">
        <v>2086</v>
      </c>
      <c r="E355" s="151">
        <v>8.5</v>
      </c>
      <c r="F355" s="2"/>
      <c r="G355" s="4" t="s">
        <v>2289</v>
      </c>
      <c r="H355" s="151">
        <v>10</v>
      </c>
      <c r="I355" s="2"/>
      <c r="J355" s="2"/>
      <c r="K355" s="2"/>
      <c r="L355" s="2"/>
      <c r="M355" s="186" t="s">
        <v>2313</v>
      </c>
      <c r="N355" s="12">
        <f>ROUND(SUM(N356:N365)/COUNT(N356:N365), 2)</f>
        <v>8</v>
      </c>
      <c r="O355" s="17"/>
      <c r="R355" s="244">
        <v>5</v>
      </c>
      <c r="S355" s="232" t="s">
        <v>1632</v>
      </c>
      <c r="T355" s="232" t="s">
        <v>1633</v>
      </c>
      <c r="U355" s="233">
        <v>8.6</v>
      </c>
      <c r="V355" s="326">
        <v>8.5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2279</v>
      </c>
      <c r="B356" s="151">
        <v>8</v>
      </c>
      <c r="C356" s="2"/>
      <c r="D356" s="4" t="s">
        <v>2087</v>
      </c>
      <c r="E356" s="151">
        <v>8</v>
      </c>
      <c r="F356" s="2"/>
      <c r="G356" s="4" t="s">
        <v>2290</v>
      </c>
      <c r="H356" s="151">
        <v>8</v>
      </c>
      <c r="I356" s="2"/>
      <c r="J356" s="187" t="s">
        <v>2316</v>
      </c>
      <c r="K356" s="12">
        <f>ROUND(SUM(K357:K363)/COUNT(K357:K363), 2)</f>
        <v>8.5</v>
      </c>
      <c r="L356" s="2"/>
      <c r="M356" s="11" t="s">
        <v>2303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2280</v>
      </c>
      <c r="B357" s="151">
        <v>9</v>
      </c>
      <c r="C357" s="2"/>
      <c r="D357" s="4" t="s">
        <v>2088</v>
      </c>
      <c r="E357" s="151">
        <v>8.5</v>
      </c>
      <c r="F357" s="2"/>
      <c r="G357" s="4" t="s">
        <v>2291</v>
      </c>
      <c r="H357" s="151">
        <v>9</v>
      </c>
      <c r="I357" s="2"/>
      <c r="J357" s="11" t="s">
        <v>2317</v>
      </c>
      <c r="K357" s="150">
        <v>8</v>
      </c>
      <c r="L357" s="2"/>
      <c r="M357" s="4" t="s">
        <v>2304</v>
      </c>
      <c r="N357" s="151">
        <v>8.5</v>
      </c>
      <c r="O357" s="17"/>
      <c r="R357" s="368" t="s">
        <v>2841</v>
      </c>
      <c r="S357" s="368"/>
      <c r="T357" s="368"/>
      <c r="U357" s="368"/>
      <c r="V357" s="368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2281</v>
      </c>
      <c r="B358" s="152">
        <v>8.5</v>
      </c>
      <c r="C358" s="2"/>
      <c r="D358" s="7" t="s">
        <v>1413</v>
      </c>
      <c r="E358" s="152">
        <v>9</v>
      </c>
      <c r="F358" s="2"/>
      <c r="G358" s="4" t="s">
        <v>2292</v>
      </c>
      <c r="H358" s="151">
        <v>8</v>
      </c>
      <c r="I358" s="2"/>
      <c r="J358" s="4" t="s">
        <v>2318</v>
      </c>
      <c r="K358" s="151">
        <v>9</v>
      </c>
      <c r="L358" s="2"/>
      <c r="M358" s="4" t="s">
        <v>2305</v>
      </c>
      <c r="N358" s="151">
        <v>8</v>
      </c>
      <c r="O358" s="17"/>
      <c r="R358" s="231" t="s">
        <v>352</v>
      </c>
      <c r="S358" s="231" t="s">
        <v>319</v>
      </c>
      <c r="T358" s="231" t="s">
        <v>320</v>
      </c>
      <c r="U358" s="231" t="s">
        <v>321</v>
      </c>
      <c r="V358" s="231" t="s">
        <v>1002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2293</v>
      </c>
      <c r="H359" s="151">
        <v>8.5</v>
      </c>
      <c r="I359" s="2"/>
      <c r="J359" s="4" t="s">
        <v>2319</v>
      </c>
      <c r="K359" s="151">
        <v>8.5</v>
      </c>
      <c r="L359" s="2"/>
      <c r="M359" s="4" t="s">
        <v>2306</v>
      </c>
      <c r="N359" s="151">
        <v>7.5</v>
      </c>
      <c r="O359" s="17"/>
      <c r="R359" s="238">
        <v>1</v>
      </c>
      <c r="S359" s="232" t="s">
        <v>326</v>
      </c>
      <c r="T359" s="232" t="s">
        <v>1243</v>
      </c>
      <c r="U359" s="233">
        <v>9.36</v>
      </c>
      <c r="V359" s="364">
        <v>9.6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2326</v>
      </c>
      <c r="B360" s="12">
        <f>ROUND(SUM(B361:B377)/COUNT(B361:B377), 2)</f>
        <v>8.81</v>
      </c>
      <c r="C360" s="2"/>
      <c r="D360" s="190" t="s">
        <v>2346</v>
      </c>
      <c r="E360" s="12">
        <f>ROUND(SUM(E361:E370)/COUNT(E361:E370), 2)</f>
        <v>8.61</v>
      </c>
      <c r="F360" s="2"/>
      <c r="G360" s="4" t="s">
        <v>2294</v>
      </c>
      <c r="H360" s="151">
        <v>8</v>
      </c>
      <c r="I360" s="2"/>
      <c r="J360" s="4" t="s">
        <v>2320</v>
      </c>
      <c r="K360" s="151">
        <v>10</v>
      </c>
      <c r="L360" s="2"/>
      <c r="M360" s="4" t="s">
        <v>2307</v>
      </c>
      <c r="N360" s="151">
        <v>7.5</v>
      </c>
      <c r="O360" s="17"/>
      <c r="R360" s="240">
        <v>2</v>
      </c>
      <c r="S360" s="235" t="s">
        <v>1439</v>
      </c>
      <c r="T360" s="235" t="s">
        <v>2827</v>
      </c>
      <c r="U360" s="236">
        <v>8.77</v>
      </c>
      <c r="V360" s="248">
        <v>8.67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2327</v>
      </c>
      <c r="B361" s="150">
        <v>10</v>
      </c>
      <c r="C361" s="2"/>
      <c r="D361" s="11" t="s">
        <v>2347</v>
      </c>
      <c r="E361" s="150">
        <v>8.5</v>
      </c>
      <c r="F361" s="2"/>
      <c r="G361" s="4" t="s">
        <v>2295</v>
      </c>
      <c r="H361" s="151">
        <v>8</v>
      </c>
      <c r="I361" s="2"/>
      <c r="J361" s="4" t="s">
        <v>2321</v>
      </c>
      <c r="K361" s="151">
        <v>8</v>
      </c>
      <c r="L361" s="2"/>
      <c r="M361" s="4" t="s">
        <v>2308</v>
      </c>
      <c r="N361" s="151">
        <v>8</v>
      </c>
      <c r="O361" s="17"/>
      <c r="R361" s="242">
        <v>3</v>
      </c>
      <c r="S361" s="232" t="s">
        <v>1238</v>
      </c>
      <c r="T361" s="232" t="s">
        <v>1233</v>
      </c>
      <c r="U361" s="233">
        <v>8.75</v>
      </c>
      <c r="V361" s="271">
        <v>8.6300000000000008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2328</v>
      </c>
      <c r="B362" s="151">
        <v>9</v>
      </c>
      <c r="C362" s="2"/>
      <c r="D362" s="4" t="s">
        <v>2348</v>
      </c>
      <c r="E362" s="151">
        <v>8</v>
      </c>
      <c r="F362" s="2"/>
      <c r="G362" s="4" t="s">
        <v>2296</v>
      </c>
      <c r="H362" s="151">
        <v>10</v>
      </c>
      <c r="I362" s="2"/>
      <c r="J362" s="4" t="s">
        <v>2322</v>
      </c>
      <c r="K362" s="151">
        <v>8.5</v>
      </c>
      <c r="L362" s="2"/>
      <c r="M362" s="4" t="s">
        <v>2309</v>
      </c>
      <c r="N362" s="151">
        <v>8</v>
      </c>
      <c r="O362" s="17"/>
      <c r="R362" s="244">
        <v>4</v>
      </c>
      <c r="S362" s="235" t="s">
        <v>2357</v>
      </c>
      <c r="T362" s="235" t="s">
        <v>2356</v>
      </c>
      <c r="U362" s="236">
        <v>8.61</v>
      </c>
      <c r="V362" s="252">
        <v>8.52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2329</v>
      </c>
      <c r="B363" s="151">
        <v>8.5</v>
      </c>
      <c r="C363" s="2"/>
      <c r="D363" s="4" t="s">
        <v>2349</v>
      </c>
      <c r="E363" s="151">
        <v>10</v>
      </c>
      <c r="F363" s="2"/>
      <c r="G363" s="7" t="s">
        <v>2297</v>
      </c>
      <c r="H363" s="152">
        <v>8.5</v>
      </c>
      <c r="I363" s="2"/>
      <c r="J363" s="7" t="s">
        <v>2323</v>
      </c>
      <c r="K363" s="152">
        <v>7.5</v>
      </c>
      <c r="L363" s="2"/>
      <c r="M363" s="4" t="s">
        <v>2310</v>
      </c>
      <c r="N363" s="151">
        <v>8</v>
      </c>
      <c r="O363" s="17"/>
      <c r="R363" s="244">
        <v>5</v>
      </c>
      <c r="S363" s="232" t="s">
        <v>1657</v>
      </c>
      <c r="T363" s="232" t="s">
        <v>1658</v>
      </c>
      <c r="U363" s="233">
        <v>8.4</v>
      </c>
      <c r="V363" s="309">
        <v>8.3699999999999992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2330</v>
      </c>
      <c r="B364" s="151">
        <v>9.5</v>
      </c>
      <c r="C364" s="2"/>
      <c r="D364" s="4" t="s">
        <v>2350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2311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2331</v>
      </c>
      <c r="B365" s="151">
        <v>8.5</v>
      </c>
      <c r="C365" s="2"/>
      <c r="D365" s="4" t="s">
        <v>2351</v>
      </c>
      <c r="E365" s="151">
        <v>7.5</v>
      </c>
      <c r="F365" s="2"/>
      <c r="G365" s="191" t="s">
        <v>2361</v>
      </c>
      <c r="H365" s="12">
        <f>ROUND(SUM(H366:H372)/COUNT(H366:H372), 2)</f>
        <v>9.07</v>
      </c>
      <c r="I365" s="2"/>
      <c r="J365" s="192" t="s">
        <v>2373</v>
      </c>
      <c r="K365" s="12">
        <f>ROUND(SUM(K366:K378)/COUNT(K366:K378), 2)</f>
        <v>8.83</v>
      </c>
      <c r="L365" s="2"/>
      <c r="M365" s="7" t="s">
        <v>2312</v>
      </c>
      <c r="N365" s="152">
        <v>8</v>
      </c>
      <c r="O365" s="17"/>
      <c r="R365" s="368" t="s">
        <v>2842</v>
      </c>
      <c r="S365" s="368"/>
      <c r="T365" s="368"/>
      <c r="U365" s="368"/>
      <c r="V365" s="368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2332</v>
      </c>
      <c r="B366" s="151">
        <v>9.5</v>
      </c>
      <c r="C366" s="2"/>
      <c r="D366" s="4" t="s">
        <v>2352</v>
      </c>
      <c r="E366" s="151">
        <v>7.5</v>
      </c>
      <c r="F366" s="2"/>
      <c r="G366" s="11" t="s">
        <v>2362</v>
      </c>
      <c r="H366" s="150">
        <v>10</v>
      </c>
      <c r="I366" s="2"/>
      <c r="J366" s="11" t="s">
        <v>2374</v>
      </c>
      <c r="K366" s="150"/>
      <c r="L366" s="2"/>
      <c r="M366" s="2"/>
      <c r="N366" s="2"/>
      <c r="O366" s="17"/>
      <c r="R366" s="231" t="s">
        <v>352</v>
      </c>
      <c r="S366" s="231" t="s">
        <v>319</v>
      </c>
      <c r="T366" s="231" t="s">
        <v>320</v>
      </c>
      <c r="U366" s="231" t="s">
        <v>321</v>
      </c>
      <c r="V366" s="231" t="s">
        <v>1002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2333</v>
      </c>
      <c r="B367" s="151">
        <v>10.5</v>
      </c>
      <c r="C367" s="2"/>
      <c r="D367" s="4" t="s">
        <v>2353</v>
      </c>
      <c r="E367" s="151">
        <v>9</v>
      </c>
      <c r="F367" s="2"/>
      <c r="G367" s="4" t="s">
        <v>2363</v>
      </c>
      <c r="H367" s="151">
        <v>8.5</v>
      </c>
      <c r="I367" s="2"/>
      <c r="J367" s="4" t="s">
        <v>2375</v>
      </c>
      <c r="K367" s="151">
        <v>8.5</v>
      </c>
      <c r="L367" s="2"/>
      <c r="M367" s="193" t="s">
        <v>2387</v>
      </c>
      <c r="N367" s="12">
        <f>ROUND(SUM(N368:N372)/COUNT(N368:N372), 2)</f>
        <v>8.1999999999999993</v>
      </c>
      <c r="O367" s="17"/>
      <c r="R367" s="238">
        <v>1</v>
      </c>
      <c r="S367" s="232" t="s">
        <v>335</v>
      </c>
      <c r="T367" s="232" t="s">
        <v>2828</v>
      </c>
      <c r="U367" s="233">
        <v>9.02</v>
      </c>
      <c r="V367" s="359">
        <v>9.07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2334</v>
      </c>
      <c r="B368" s="151">
        <v>9</v>
      </c>
      <c r="C368" s="2"/>
      <c r="D368" s="4" t="s">
        <v>2354</v>
      </c>
      <c r="E368" s="151">
        <v>8.5</v>
      </c>
      <c r="F368" s="2"/>
      <c r="G368" s="4" t="s">
        <v>2364</v>
      </c>
      <c r="H368" s="151">
        <v>9.5</v>
      </c>
      <c r="I368" s="2"/>
      <c r="J368" s="4" t="s">
        <v>2376</v>
      </c>
      <c r="K368" s="151">
        <v>10.5</v>
      </c>
      <c r="L368" s="2"/>
      <c r="M368" s="11" t="s">
        <v>2388</v>
      </c>
      <c r="N368" s="150">
        <v>8.5</v>
      </c>
      <c r="O368" s="17"/>
      <c r="R368" s="240">
        <v>2</v>
      </c>
      <c r="S368" s="235" t="s">
        <v>338</v>
      </c>
      <c r="T368" s="235" t="s">
        <v>2829</v>
      </c>
      <c r="U368" s="236">
        <v>8.39</v>
      </c>
      <c r="V368" s="309">
        <v>8.3699999999999992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2335</v>
      </c>
      <c r="B369" s="151">
        <v>8</v>
      </c>
      <c r="C369" s="2"/>
      <c r="D369" s="4" t="s">
        <v>2355</v>
      </c>
      <c r="E369" s="151"/>
      <c r="F369" s="2"/>
      <c r="G369" s="4" t="s">
        <v>2365</v>
      </c>
      <c r="H369" s="151">
        <v>8</v>
      </c>
      <c r="I369" s="2"/>
      <c r="J369" s="4" t="s">
        <v>2377</v>
      </c>
      <c r="K369" s="151">
        <v>9.5</v>
      </c>
      <c r="L369" s="2"/>
      <c r="M369" s="4" t="s">
        <v>2389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2336</v>
      </c>
      <c r="B370" s="151">
        <v>8</v>
      </c>
      <c r="C370" s="2"/>
      <c r="D370" s="7" t="s">
        <v>2356</v>
      </c>
      <c r="E370" s="152">
        <v>10</v>
      </c>
      <c r="F370" s="2"/>
      <c r="G370" s="4" t="s">
        <v>2366</v>
      </c>
      <c r="H370" s="151">
        <v>8.5</v>
      </c>
      <c r="I370" s="2"/>
      <c r="J370" s="4" t="s">
        <v>2378</v>
      </c>
      <c r="K370" s="151">
        <v>8.5</v>
      </c>
      <c r="L370" s="2"/>
      <c r="M370" s="4" t="s">
        <v>2390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2337</v>
      </c>
      <c r="B371" s="151">
        <v>8.5</v>
      </c>
      <c r="C371" s="2"/>
      <c r="D371" s="2"/>
      <c r="E371" s="2"/>
      <c r="F371" s="2"/>
      <c r="G371" s="4" t="s">
        <v>2367</v>
      </c>
      <c r="H371" s="151">
        <v>9</v>
      </c>
      <c r="I371" s="2"/>
      <c r="J371" s="4" t="s">
        <v>2379</v>
      </c>
      <c r="K371" s="151">
        <v>7.5</v>
      </c>
      <c r="L371" s="2"/>
      <c r="M371" s="4" t="s">
        <v>2391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2338</v>
      </c>
      <c r="B372" s="151">
        <v>8</v>
      </c>
      <c r="C372" s="2"/>
      <c r="D372" s="137" t="s">
        <v>2393</v>
      </c>
      <c r="E372" s="12">
        <f>ROUND(SUM(E373:E381)/COUNT(E373:E381), 2)</f>
        <v>8.61</v>
      </c>
      <c r="F372" s="2"/>
      <c r="G372" s="7" t="s">
        <v>2368</v>
      </c>
      <c r="H372" s="152">
        <v>10</v>
      </c>
      <c r="I372" s="2"/>
      <c r="J372" s="4" t="s">
        <v>2380</v>
      </c>
      <c r="K372" s="151">
        <v>10</v>
      </c>
      <c r="L372" s="2"/>
      <c r="M372" s="7" t="s">
        <v>2392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2339</v>
      </c>
      <c r="B373" s="151">
        <v>8</v>
      </c>
      <c r="C373" s="2"/>
      <c r="D373" s="11" t="s">
        <v>2394</v>
      </c>
      <c r="E373" s="150">
        <v>9</v>
      </c>
      <c r="F373" s="2"/>
      <c r="G373" s="2"/>
      <c r="H373" s="2"/>
      <c r="I373" s="2"/>
      <c r="J373" s="4" t="s">
        <v>2381</v>
      </c>
      <c r="K373" s="151">
        <v>9.5</v>
      </c>
      <c r="L373" s="2"/>
      <c r="M373" s="2"/>
      <c r="N373" s="2"/>
      <c r="O373" s="17"/>
      <c r="R373" s="368" t="s">
        <v>2883</v>
      </c>
      <c r="S373" s="368"/>
      <c r="T373" s="368"/>
      <c r="U373" s="368"/>
      <c r="V373" s="368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2340</v>
      </c>
      <c r="B374" s="151">
        <v>8.5</v>
      </c>
      <c r="C374" s="2"/>
      <c r="D374" s="4" t="s">
        <v>2395</v>
      </c>
      <c r="E374" s="151">
        <v>7</v>
      </c>
      <c r="F374" s="2"/>
      <c r="G374" s="194" t="s">
        <v>2408</v>
      </c>
      <c r="H374" s="12">
        <f>ROUND(SUM(H375:H385)/COUNT(H375:H385), 2)</f>
        <v>8.86</v>
      </c>
      <c r="I374" s="2"/>
      <c r="J374" s="4" t="s">
        <v>2382</v>
      </c>
      <c r="K374" s="151">
        <v>9</v>
      </c>
      <c r="L374" s="2"/>
      <c r="M374" s="195" t="s">
        <v>2434</v>
      </c>
      <c r="N374" s="12">
        <f>ROUND(SUM(N375:N387)/COUNT(N375:N387), 2)</f>
        <v>8.56</v>
      </c>
      <c r="O374" s="17"/>
      <c r="R374" s="231" t="s">
        <v>352</v>
      </c>
      <c r="S374" s="231" t="s">
        <v>319</v>
      </c>
      <c r="T374" s="231" t="s">
        <v>320</v>
      </c>
      <c r="U374" s="231" t="s">
        <v>321</v>
      </c>
      <c r="V374" s="231" t="s">
        <v>1002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2341</v>
      </c>
      <c r="B375" s="151">
        <v>9</v>
      </c>
      <c r="C375" s="2"/>
      <c r="D375" s="4" t="s">
        <v>2396</v>
      </c>
      <c r="E375" s="151">
        <v>10</v>
      </c>
      <c r="F375" s="2"/>
      <c r="G375" s="11" t="s">
        <v>2409</v>
      </c>
      <c r="H375" s="150">
        <v>8.5</v>
      </c>
      <c r="I375" s="2"/>
      <c r="J375" s="4" t="s">
        <v>2383</v>
      </c>
      <c r="K375" s="151">
        <v>8</v>
      </c>
      <c r="L375" s="2"/>
      <c r="M375" s="11" t="s">
        <v>2426</v>
      </c>
      <c r="N375" s="150">
        <v>9.5</v>
      </c>
      <c r="O375" s="17"/>
      <c r="R375" s="238">
        <v>1</v>
      </c>
      <c r="S375" s="232" t="s">
        <v>327</v>
      </c>
      <c r="T375" s="232" t="s">
        <v>2830</v>
      </c>
      <c r="U375" s="233">
        <v>8.52</v>
      </c>
      <c r="V375" s="264">
        <v>8.56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2078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2410</v>
      </c>
      <c r="H376" s="151">
        <v>9.5</v>
      </c>
      <c r="I376" s="2"/>
      <c r="J376" s="4" t="s">
        <v>2384</v>
      </c>
      <c r="K376" s="151">
        <v>8</v>
      </c>
      <c r="L376" s="2"/>
      <c r="M376" s="229" t="s">
        <v>2427</v>
      </c>
      <c r="N376" s="151">
        <v>10</v>
      </c>
      <c r="O376" s="17"/>
      <c r="R376" s="240">
        <v>2</v>
      </c>
      <c r="S376" s="235" t="s">
        <v>337</v>
      </c>
      <c r="T376" s="235" t="s">
        <v>2831</v>
      </c>
      <c r="U376" s="236">
        <v>8.61</v>
      </c>
      <c r="V376" s="308">
        <v>8.61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2342</v>
      </c>
      <c r="B377" s="152"/>
      <c r="C377" s="2"/>
      <c r="D377" s="4" t="s">
        <v>2397</v>
      </c>
      <c r="E377" s="151">
        <v>7</v>
      </c>
      <c r="F377" s="2"/>
      <c r="G377" s="4" t="s">
        <v>2411</v>
      </c>
      <c r="H377" s="151">
        <v>8</v>
      </c>
      <c r="I377" s="2"/>
      <c r="J377" s="4" t="s">
        <v>2385</v>
      </c>
      <c r="K377" s="151">
        <v>7</v>
      </c>
      <c r="L377" s="2"/>
      <c r="M377" s="229" t="s">
        <v>2428</v>
      </c>
      <c r="N377" s="151">
        <v>8</v>
      </c>
      <c r="O377" s="17"/>
      <c r="R377" s="242">
        <v>3</v>
      </c>
      <c r="S377" s="232" t="s">
        <v>1742</v>
      </c>
      <c r="T377" s="232" t="s">
        <v>2858</v>
      </c>
      <c r="U377" s="233">
        <v>8.5</v>
      </c>
      <c r="V377" s="278">
        <v>8.4700000000000006</v>
      </c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2398</v>
      </c>
      <c r="E378" s="151">
        <v>10</v>
      </c>
      <c r="F378" s="2"/>
      <c r="G378" s="4" t="s">
        <v>2412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2429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2562</v>
      </c>
      <c r="B379" s="1">
        <f>ROUND(SUM(B380:B390)/COUNT(B380:B390), 2)</f>
        <v>9.16</v>
      </c>
      <c r="C379" s="2"/>
      <c r="D379" s="4" t="s">
        <v>2399</v>
      </c>
      <c r="E379" s="151">
        <v>10.5</v>
      </c>
      <c r="F379" s="2"/>
      <c r="G379" s="4" t="s">
        <v>2413</v>
      </c>
      <c r="H379" s="151">
        <v>8.5</v>
      </c>
      <c r="I379" s="2"/>
      <c r="J379" s="2"/>
      <c r="K379" s="2"/>
      <c r="L379" s="2"/>
      <c r="M379" s="4" t="s">
        <v>2430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2447</v>
      </c>
      <c r="B380" s="150">
        <v>9</v>
      </c>
      <c r="C380" s="2"/>
      <c r="D380" s="4" t="s">
        <v>2400</v>
      </c>
      <c r="E380" s="151">
        <v>8</v>
      </c>
      <c r="F380" s="2"/>
      <c r="G380" s="4" t="s">
        <v>2414</v>
      </c>
      <c r="H380" s="151">
        <v>10</v>
      </c>
      <c r="I380" s="2"/>
      <c r="J380" s="197" t="s">
        <v>2458</v>
      </c>
      <c r="K380" s="12">
        <f>ROUND(SUM(K381:K391)/COUNT(K381:K391), 2)</f>
        <v>8.64</v>
      </c>
      <c r="L380" s="2"/>
      <c r="M380" s="229" t="s">
        <v>2431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2448</v>
      </c>
      <c r="B381" s="151">
        <v>8</v>
      </c>
      <c r="C381" s="2"/>
      <c r="D381" s="7" t="s">
        <v>2401</v>
      </c>
      <c r="E381" s="152">
        <v>8</v>
      </c>
      <c r="F381" s="2"/>
      <c r="G381" s="4" t="s">
        <v>2415</v>
      </c>
      <c r="H381" s="151">
        <v>10</v>
      </c>
      <c r="I381" s="2"/>
      <c r="J381" s="11" t="s">
        <v>2459</v>
      </c>
      <c r="K381" s="150">
        <v>8</v>
      </c>
      <c r="L381" s="2"/>
      <c r="M381" s="229" t="s">
        <v>2432</v>
      </c>
      <c r="N381" s="151">
        <v>8</v>
      </c>
      <c r="O381" s="17"/>
      <c r="R381" s="368" t="s">
        <v>2843</v>
      </c>
      <c r="S381" s="368"/>
      <c r="T381" s="368"/>
      <c r="U381" s="368"/>
      <c r="V381" s="368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2453</v>
      </c>
      <c r="B382" s="151">
        <v>10.5</v>
      </c>
      <c r="C382" s="2"/>
      <c r="D382" s="2"/>
      <c r="E382" s="2"/>
      <c r="F382" s="2"/>
      <c r="G382" s="4" t="s">
        <v>2416</v>
      </c>
      <c r="H382" s="151">
        <v>7.5</v>
      </c>
      <c r="I382" s="2"/>
      <c r="J382" s="4" t="s">
        <v>2460</v>
      </c>
      <c r="K382" s="151">
        <v>9</v>
      </c>
      <c r="L382" s="2"/>
      <c r="M382" s="7" t="s">
        <v>2433</v>
      </c>
      <c r="N382" s="152">
        <v>8.5</v>
      </c>
      <c r="O382" s="17"/>
      <c r="R382" s="231" t="s">
        <v>352</v>
      </c>
      <c r="S382" s="231" t="s">
        <v>319</v>
      </c>
      <c r="T382" s="231" t="s">
        <v>320</v>
      </c>
      <c r="U382" s="231" t="s">
        <v>321</v>
      </c>
      <c r="V382" s="231" t="s">
        <v>1002</v>
      </c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2449</v>
      </c>
      <c r="B383" s="151"/>
      <c r="C383" s="2"/>
      <c r="D383" s="198" t="s">
        <v>2468</v>
      </c>
      <c r="E383" s="12">
        <f>ROUND(SUM(E384:E386)/COUNT(E384:E386), 2)</f>
        <v>9.33</v>
      </c>
      <c r="F383" s="2"/>
      <c r="G383" s="4" t="s">
        <v>2417</v>
      </c>
      <c r="H383" s="151">
        <v>9</v>
      </c>
      <c r="I383" s="2"/>
      <c r="J383" s="4" t="s">
        <v>2461</v>
      </c>
      <c r="K383" s="151">
        <v>8.5</v>
      </c>
      <c r="L383" s="2"/>
      <c r="M383" s="2"/>
      <c r="N383" s="2"/>
      <c r="O383" s="17"/>
      <c r="R383" s="238">
        <v>1</v>
      </c>
      <c r="S383" s="232" t="s">
        <v>1373</v>
      </c>
      <c r="T383" s="232" t="s">
        <v>1374</v>
      </c>
      <c r="U383" s="233">
        <v>8.82</v>
      </c>
      <c r="V383" s="258">
        <v>8.8800000000000008</v>
      </c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2450</v>
      </c>
      <c r="B384" s="151">
        <v>10</v>
      </c>
      <c r="C384" s="2"/>
      <c r="D384" s="11" t="s">
        <v>2469</v>
      </c>
      <c r="E384" s="150">
        <v>10.5</v>
      </c>
      <c r="F384" s="2"/>
      <c r="G384" s="4" t="s">
        <v>2418</v>
      </c>
      <c r="H384" s="151">
        <v>8.5</v>
      </c>
      <c r="I384" s="2"/>
      <c r="J384" s="4" t="s">
        <v>2462</v>
      </c>
      <c r="K384" s="151">
        <v>8.5</v>
      </c>
      <c r="L384" s="2"/>
      <c r="M384" s="199" t="s">
        <v>2472</v>
      </c>
      <c r="N384" s="1">
        <f>ROUND(SUM(N385:N395)/COUNT(N385:N395), 2)</f>
        <v>8.11</v>
      </c>
      <c r="O384" s="17"/>
      <c r="R384" s="240">
        <v>2</v>
      </c>
      <c r="S384" s="235" t="s">
        <v>837</v>
      </c>
      <c r="T384" s="235" t="s">
        <v>2832</v>
      </c>
      <c r="U384" s="236">
        <v>8.64</v>
      </c>
      <c r="V384" s="271">
        <v>8.6300000000000008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2451</v>
      </c>
      <c r="B385" s="151">
        <v>7.5</v>
      </c>
      <c r="C385" s="2"/>
      <c r="D385" s="4" t="s">
        <v>2470</v>
      </c>
      <c r="E385" s="151">
        <v>8.5</v>
      </c>
      <c r="F385" s="2"/>
      <c r="G385" s="7" t="s">
        <v>2419</v>
      </c>
      <c r="H385" s="152">
        <v>10</v>
      </c>
      <c r="I385" s="2"/>
      <c r="J385" s="4" t="s">
        <v>2463</v>
      </c>
      <c r="K385" s="151">
        <v>8.5</v>
      </c>
      <c r="L385" s="2"/>
      <c r="M385" s="4" t="s">
        <v>2473</v>
      </c>
      <c r="N385" s="151"/>
      <c r="O385" s="17"/>
      <c r="R385" s="242">
        <v>3</v>
      </c>
      <c r="S385" s="232" t="s">
        <v>1458</v>
      </c>
      <c r="T385" s="232" t="s">
        <v>1463</v>
      </c>
      <c r="U385" s="233">
        <v>8.8000000000000007</v>
      </c>
      <c r="V385" s="292">
        <v>8.68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2452</v>
      </c>
      <c r="B386" s="151">
        <v>10.5</v>
      </c>
      <c r="C386" s="2"/>
      <c r="D386" s="7" t="s">
        <v>2471</v>
      </c>
      <c r="E386" s="152">
        <v>9</v>
      </c>
      <c r="F386" s="2"/>
      <c r="G386" s="2"/>
      <c r="H386" s="2"/>
      <c r="I386" s="2"/>
      <c r="J386" s="4" t="s">
        <v>2464</v>
      </c>
      <c r="K386" s="151">
        <v>10</v>
      </c>
      <c r="L386" s="2"/>
      <c r="M386" s="4" t="s">
        <v>2474</v>
      </c>
      <c r="N386" s="151">
        <v>8</v>
      </c>
      <c r="O386" s="17"/>
      <c r="R386" s="244">
        <v>4</v>
      </c>
      <c r="S386" s="235" t="s">
        <v>2261</v>
      </c>
      <c r="T386" s="235" t="s">
        <v>2262</v>
      </c>
      <c r="U386" s="236">
        <v>8.5399999999999991</v>
      </c>
      <c r="V386" s="239">
        <v>8.41</v>
      </c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2454</v>
      </c>
      <c r="B387" s="152"/>
      <c r="C387" s="2"/>
      <c r="D387" s="2"/>
      <c r="E387" s="2"/>
      <c r="F387" s="2"/>
      <c r="G387" s="200" t="s">
        <v>2486</v>
      </c>
      <c r="H387" s="12">
        <f>ROUND(SUM(H388:H399)/COUNT(H388:H399), 2)</f>
        <v>7.17</v>
      </c>
      <c r="I387" s="2"/>
      <c r="J387" s="4" t="s">
        <v>2465</v>
      </c>
      <c r="K387" s="151">
        <v>8.5</v>
      </c>
      <c r="L387" s="2"/>
      <c r="M387" s="4" t="s">
        <v>2475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2505</v>
      </c>
      <c r="E388" s="12">
        <f>ROUND(SUM(E389:E401)/COUNT(E389:E401), 2)</f>
        <v>8.7899999999999991</v>
      </c>
      <c r="F388" s="2"/>
      <c r="G388" s="11" t="s">
        <v>2487</v>
      </c>
      <c r="H388" s="150">
        <v>8.5</v>
      </c>
      <c r="I388" s="2"/>
      <c r="J388" s="4" t="s">
        <v>2466</v>
      </c>
      <c r="K388" s="151">
        <v>7.5</v>
      </c>
      <c r="L388" s="2"/>
      <c r="M388" s="4" t="s">
        <v>2476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2535</v>
      </c>
      <c r="B389" s="12">
        <f>ROUND(SUM(B390:B399)/COUNT(B390:B399), 2)</f>
        <v>8.75</v>
      </c>
      <c r="C389" s="2"/>
      <c r="D389" s="11" t="s">
        <v>2506</v>
      </c>
      <c r="E389" s="150">
        <v>8.5</v>
      </c>
      <c r="F389" s="2"/>
      <c r="G389" s="4" t="s">
        <v>2488</v>
      </c>
      <c r="H389" s="151">
        <v>7.5</v>
      </c>
      <c r="I389" s="2"/>
      <c r="J389" s="7" t="s">
        <v>2467</v>
      </c>
      <c r="K389" s="152">
        <v>9</v>
      </c>
      <c r="L389" s="2"/>
      <c r="M389" s="4" t="s">
        <v>2477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2525</v>
      </c>
      <c r="B390" s="150">
        <v>9</v>
      </c>
      <c r="C390" s="2"/>
      <c r="D390" s="4" t="s">
        <v>2507</v>
      </c>
      <c r="E390" s="151">
        <v>9.5</v>
      </c>
      <c r="F390" s="2"/>
      <c r="G390" s="4" t="s">
        <v>2489</v>
      </c>
      <c r="H390" s="151">
        <v>7</v>
      </c>
      <c r="I390" s="2"/>
      <c r="J390" s="2"/>
      <c r="K390" s="2"/>
      <c r="L390" s="2"/>
      <c r="M390" s="4" t="s">
        <v>2478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2526</v>
      </c>
      <c r="B391" s="151">
        <v>8</v>
      </c>
      <c r="C391" s="2"/>
      <c r="D391" s="4" t="s">
        <v>2508</v>
      </c>
      <c r="E391" s="151">
        <v>8.5</v>
      </c>
      <c r="F391" s="2"/>
      <c r="G391" s="4" t="s">
        <v>2490</v>
      </c>
      <c r="H391" s="151">
        <v>6.5</v>
      </c>
      <c r="I391" s="2"/>
      <c r="J391" s="203" t="s">
        <v>2540</v>
      </c>
      <c r="K391" s="12">
        <f>ROUND(SUM(K392:K397)/COUNT(K392:K397), 2)</f>
        <v>8.9</v>
      </c>
      <c r="L391" s="2"/>
      <c r="M391" s="4" t="s">
        <v>2479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2527</v>
      </c>
      <c r="B392" s="151">
        <v>9</v>
      </c>
      <c r="C392" s="2"/>
      <c r="D392" s="4" t="s">
        <v>2509</v>
      </c>
      <c r="E392" s="151">
        <v>8</v>
      </c>
      <c r="F392" s="2"/>
      <c r="G392" s="4" t="s">
        <v>2491</v>
      </c>
      <c r="H392" s="151">
        <v>7</v>
      </c>
      <c r="I392" s="2"/>
      <c r="J392" s="11" t="s">
        <v>2541</v>
      </c>
      <c r="K392" s="150">
        <v>8.5</v>
      </c>
      <c r="L392" s="2"/>
      <c r="M392" s="4" t="s">
        <v>2480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2528</v>
      </c>
      <c r="B393" s="151">
        <v>10.5</v>
      </c>
      <c r="C393" s="2"/>
      <c r="D393" s="4" t="s">
        <v>2510</v>
      </c>
      <c r="E393" s="151">
        <v>8</v>
      </c>
      <c r="F393" s="2"/>
      <c r="G393" s="4" t="s">
        <v>2492</v>
      </c>
      <c r="H393" s="151">
        <v>7.5</v>
      </c>
      <c r="I393" s="2"/>
      <c r="J393" s="4" t="s">
        <v>2542</v>
      </c>
      <c r="K393" s="151">
        <v>10.5</v>
      </c>
      <c r="L393" s="2"/>
      <c r="M393" s="4" t="s">
        <v>2481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2529</v>
      </c>
      <c r="B394" s="151">
        <v>8.5</v>
      </c>
      <c r="C394" s="2"/>
      <c r="D394" s="4" t="s">
        <v>2511</v>
      </c>
      <c r="E394" s="151">
        <v>9.5</v>
      </c>
      <c r="F394" s="2"/>
      <c r="G394" s="4" t="s">
        <v>2493</v>
      </c>
      <c r="H394" s="151">
        <v>6.5</v>
      </c>
      <c r="I394" s="2"/>
      <c r="J394" s="4" t="s">
        <v>2543</v>
      </c>
      <c r="K394" s="151">
        <v>9</v>
      </c>
      <c r="L394" s="2"/>
      <c r="M394" s="4" t="s">
        <v>2482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2530</v>
      </c>
      <c r="B395" s="151">
        <v>8.5</v>
      </c>
      <c r="C395" s="2"/>
      <c r="D395" s="4" t="s">
        <v>2512</v>
      </c>
      <c r="E395" s="151">
        <v>8</v>
      </c>
      <c r="F395" s="2"/>
      <c r="G395" s="4" t="s">
        <v>2494</v>
      </c>
      <c r="H395" s="151">
        <v>6</v>
      </c>
      <c r="I395" s="2"/>
      <c r="J395" s="4" t="s">
        <v>2544</v>
      </c>
      <c r="K395" s="151"/>
      <c r="L395" s="2"/>
      <c r="M395" s="7" t="s">
        <v>2483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2531</v>
      </c>
      <c r="B396" s="151">
        <v>8</v>
      </c>
      <c r="C396" s="2"/>
      <c r="D396" s="4" t="s">
        <v>2513</v>
      </c>
      <c r="E396" s="151">
        <v>9</v>
      </c>
      <c r="F396" s="2"/>
      <c r="G396" s="4" t="s">
        <v>2495</v>
      </c>
      <c r="H396" s="151">
        <v>8</v>
      </c>
      <c r="I396" s="2"/>
      <c r="J396" s="4" t="s">
        <v>2545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2532</v>
      </c>
      <c r="B397" s="151">
        <v>8.5</v>
      </c>
      <c r="C397" s="2"/>
      <c r="D397" s="4" t="s">
        <v>2514</v>
      </c>
      <c r="E397" s="151">
        <v>9</v>
      </c>
      <c r="F397" s="2"/>
      <c r="G397" s="4" t="s">
        <v>2496</v>
      </c>
      <c r="H397" s="151">
        <v>7</v>
      </c>
      <c r="I397" s="2"/>
      <c r="J397" s="7" t="s">
        <v>2546</v>
      </c>
      <c r="K397" s="152">
        <v>8</v>
      </c>
      <c r="L397" s="2"/>
      <c r="M397" s="213" t="s">
        <v>2561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2533</v>
      </c>
      <c r="B398" s="151">
        <v>8.5</v>
      </c>
      <c r="C398" s="2"/>
      <c r="D398" s="4" t="s">
        <v>2515</v>
      </c>
      <c r="E398" s="151">
        <v>9</v>
      </c>
      <c r="F398" s="2"/>
      <c r="G398" s="4" t="s">
        <v>2497</v>
      </c>
      <c r="H398" s="151">
        <v>6.5</v>
      </c>
      <c r="I398" s="2"/>
      <c r="J398" s="2"/>
      <c r="K398" s="2"/>
      <c r="L398" s="2"/>
      <c r="M398" s="11" t="s">
        <v>2548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2534</v>
      </c>
      <c r="B399" s="152">
        <v>9</v>
      </c>
      <c r="C399" s="2"/>
      <c r="D399" s="4" t="s">
        <v>2516</v>
      </c>
      <c r="E399" s="151">
        <v>8</v>
      </c>
      <c r="F399" s="2"/>
      <c r="G399" s="7" t="s">
        <v>2498</v>
      </c>
      <c r="H399" s="152">
        <v>8</v>
      </c>
      <c r="I399" s="2"/>
      <c r="J399" s="204" t="s">
        <v>2573</v>
      </c>
      <c r="K399" s="12">
        <f>ROUND(SUM(K400:K410)/COUNT(K400:K410), 2)</f>
        <v>8.86</v>
      </c>
      <c r="L399" s="2"/>
      <c r="M399" s="4" t="s">
        <v>2549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2517</v>
      </c>
      <c r="E400" s="151"/>
      <c r="F400" s="2"/>
      <c r="G400" s="2"/>
      <c r="H400" s="2"/>
      <c r="I400" s="2"/>
      <c r="J400" s="11" t="s">
        <v>2574</v>
      </c>
      <c r="K400" s="150">
        <v>8.5</v>
      </c>
      <c r="L400" s="2"/>
      <c r="M400" s="4" t="s">
        <v>2550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2593</v>
      </c>
      <c r="B401" s="12">
        <f>ROUND(SUM(B402:B411)/COUNT(B402:B411), 2)</f>
        <v>8.75</v>
      </c>
      <c r="C401" s="2"/>
      <c r="D401" s="7" t="s">
        <v>2518</v>
      </c>
      <c r="E401" s="152">
        <v>10.5</v>
      </c>
      <c r="F401" s="2"/>
      <c r="G401" s="206" t="s">
        <v>2600</v>
      </c>
      <c r="H401" s="12">
        <f>ROUND(SUM(H402:H413)/COUNT(H402:H413), 2)</f>
        <v>8.6300000000000008</v>
      </c>
      <c r="I401" s="2"/>
      <c r="J401" s="4" t="s">
        <v>2575</v>
      </c>
      <c r="K401" s="151">
        <v>10</v>
      </c>
      <c r="L401" s="2"/>
      <c r="M401" s="4" t="s">
        <v>2551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2594</v>
      </c>
      <c r="B402" s="150"/>
      <c r="C402" s="2"/>
      <c r="D402" s="2"/>
      <c r="E402" s="2"/>
      <c r="F402" s="2"/>
      <c r="G402" s="11" t="s">
        <v>2601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2552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2595</v>
      </c>
      <c r="B403" s="151">
        <v>10</v>
      </c>
      <c r="C403" s="2"/>
      <c r="D403" s="211" t="s">
        <v>2623</v>
      </c>
      <c r="E403" s="12">
        <f>ROUND(SUM(E404:E413)/COUNT(E404:E413), 2)</f>
        <v>2.5</v>
      </c>
      <c r="F403" s="2"/>
      <c r="G403" s="4" t="s">
        <v>2602</v>
      </c>
      <c r="H403" s="151">
        <v>9</v>
      </c>
      <c r="I403" s="2"/>
      <c r="J403" s="4" t="s">
        <v>2576</v>
      </c>
      <c r="K403" s="151">
        <v>8.5</v>
      </c>
      <c r="L403" s="2"/>
      <c r="M403" s="4" t="s">
        <v>2553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2596</v>
      </c>
      <c r="B404" s="151">
        <v>9.5</v>
      </c>
      <c r="C404" s="2"/>
      <c r="D404" s="11" t="s">
        <v>2613</v>
      </c>
      <c r="E404" s="150">
        <v>3.5</v>
      </c>
      <c r="F404" s="2"/>
      <c r="G404" s="4" t="s">
        <v>2603</v>
      </c>
      <c r="H404" s="151">
        <v>8.5</v>
      </c>
      <c r="I404" s="2"/>
      <c r="J404" s="4" t="s">
        <v>2577</v>
      </c>
      <c r="K404" s="151">
        <v>10.5</v>
      </c>
      <c r="L404" s="2"/>
      <c r="M404" s="4" t="s">
        <v>2554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2597</v>
      </c>
      <c r="B405" s="151">
        <v>8</v>
      </c>
      <c r="C405" s="2"/>
      <c r="D405" s="4" t="s">
        <v>2614</v>
      </c>
      <c r="E405" s="151">
        <v>0</v>
      </c>
      <c r="F405" s="2"/>
      <c r="G405" s="4" t="s">
        <v>2604</v>
      </c>
      <c r="H405" s="151">
        <v>8.5</v>
      </c>
      <c r="I405" s="2"/>
      <c r="J405" s="4" t="s">
        <v>2578</v>
      </c>
      <c r="K405" s="151">
        <v>9.5</v>
      </c>
      <c r="L405" s="2"/>
      <c r="M405" s="4" t="s">
        <v>2555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2598</v>
      </c>
      <c r="B406" s="151"/>
      <c r="C406" s="2"/>
      <c r="D406" s="4" t="s">
        <v>2615</v>
      </c>
      <c r="E406" s="151">
        <v>3</v>
      </c>
      <c r="F406" s="2"/>
      <c r="G406" s="4" t="s">
        <v>2605</v>
      </c>
      <c r="H406" s="151">
        <v>8</v>
      </c>
      <c r="I406" s="2"/>
      <c r="J406" s="4" t="s">
        <v>2579</v>
      </c>
      <c r="K406" s="151">
        <v>8</v>
      </c>
      <c r="L406" s="2"/>
      <c r="M406" s="4" t="s">
        <v>2556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2599</v>
      </c>
      <c r="B407" s="152">
        <v>8</v>
      </c>
      <c r="C407" s="2"/>
      <c r="D407" s="4" t="s">
        <v>2616</v>
      </c>
      <c r="E407" s="151">
        <v>2</v>
      </c>
      <c r="F407" s="2"/>
      <c r="G407" s="4" t="s">
        <v>2606</v>
      </c>
      <c r="H407" s="151">
        <v>7.5</v>
      </c>
      <c r="I407" s="2"/>
      <c r="J407" s="4" t="s">
        <v>2580</v>
      </c>
      <c r="K407" s="151">
        <v>8.5</v>
      </c>
      <c r="L407" s="2"/>
      <c r="M407" s="4" t="s">
        <v>2557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2617</v>
      </c>
      <c r="E408" s="151">
        <v>3</v>
      </c>
      <c r="F408" s="2"/>
      <c r="G408" s="4" t="s">
        <v>2607</v>
      </c>
      <c r="H408" s="151">
        <v>8</v>
      </c>
      <c r="I408" s="2"/>
      <c r="J408" s="4" t="s">
        <v>2581</v>
      </c>
      <c r="K408" s="151">
        <v>7.5</v>
      </c>
      <c r="L408" s="2"/>
      <c r="M408" s="4" t="s">
        <v>2558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2654</v>
      </c>
      <c r="B409" s="12">
        <f>ROUND(SUM(B410:B426)/COUNT(B410:B426), 2)</f>
        <v>8.24</v>
      </c>
      <c r="C409" s="2"/>
      <c r="D409" s="4" t="s">
        <v>2618</v>
      </c>
      <c r="E409" s="153">
        <v>5</v>
      </c>
      <c r="F409" s="2"/>
      <c r="G409" s="4" t="s">
        <v>2608</v>
      </c>
      <c r="H409" s="151">
        <v>7.5</v>
      </c>
      <c r="I409" s="2"/>
      <c r="J409" s="4" t="s">
        <v>2582</v>
      </c>
      <c r="K409" s="151">
        <v>8</v>
      </c>
      <c r="L409" s="2"/>
      <c r="M409" s="4" t="s">
        <v>2559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2655</v>
      </c>
      <c r="B410" s="207">
        <v>7.5</v>
      </c>
      <c r="C410" s="2"/>
      <c r="D410" s="4" t="s">
        <v>2619</v>
      </c>
      <c r="E410" s="151">
        <v>2.5</v>
      </c>
      <c r="F410" s="2"/>
      <c r="G410" s="4" t="s">
        <v>2609</v>
      </c>
      <c r="H410" s="151">
        <v>9</v>
      </c>
      <c r="I410" s="2"/>
      <c r="J410" s="7" t="s">
        <v>2583</v>
      </c>
      <c r="K410" s="152">
        <v>8.5</v>
      </c>
      <c r="L410" s="2"/>
      <c r="M410" s="7" t="s">
        <v>2560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2656</v>
      </c>
      <c r="B411" s="153">
        <v>10</v>
      </c>
      <c r="C411" s="2"/>
      <c r="D411" s="4" t="s">
        <v>2620</v>
      </c>
      <c r="E411" s="151">
        <v>3</v>
      </c>
      <c r="F411" s="2"/>
      <c r="G411" s="4" t="s">
        <v>2610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2657</v>
      </c>
      <c r="B412" s="153">
        <v>9</v>
      </c>
      <c r="C412" s="2"/>
      <c r="D412" s="4" t="s">
        <v>2621</v>
      </c>
      <c r="E412" s="151">
        <v>2</v>
      </c>
      <c r="F412" s="2"/>
      <c r="G412" s="4" t="s">
        <v>2611</v>
      </c>
      <c r="H412" s="151">
        <v>9</v>
      </c>
      <c r="I412" s="2"/>
      <c r="J412" s="212" t="s">
        <v>2674</v>
      </c>
      <c r="K412" s="12">
        <f>ROUND(SUM(K413:K419)/COUNT(K413:K419), 2)</f>
        <v>8.7100000000000009</v>
      </c>
      <c r="L412" s="2"/>
      <c r="M412" s="347" t="s">
        <v>2686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2658</v>
      </c>
      <c r="B413" s="153">
        <v>8</v>
      </c>
      <c r="C413" s="2"/>
      <c r="D413" s="7" t="s">
        <v>2622</v>
      </c>
      <c r="E413" s="152">
        <v>1</v>
      </c>
      <c r="F413" s="2"/>
      <c r="G413" s="7" t="s">
        <v>2612</v>
      </c>
      <c r="H413" s="152">
        <v>8</v>
      </c>
      <c r="I413" s="2"/>
      <c r="J413" s="11" t="s">
        <v>2675</v>
      </c>
      <c r="K413" s="150">
        <v>8.5</v>
      </c>
      <c r="L413" s="2"/>
      <c r="M413" s="11" t="s">
        <v>2687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2659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2676</v>
      </c>
      <c r="K414" s="151">
        <v>9.5</v>
      </c>
      <c r="L414" s="2"/>
      <c r="M414" s="4" t="s">
        <v>2688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2660</v>
      </c>
      <c r="B415" s="153">
        <v>7.5</v>
      </c>
      <c r="C415" s="2"/>
      <c r="D415" s="349" t="s">
        <v>2698</v>
      </c>
      <c r="E415" s="12">
        <f>ROUND(SUM(E416:E423)/COUNT(E416:E423), 2)</f>
        <v>8.69</v>
      </c>
      <c r="F415" s="2"/>
      <c r="G415" s="351" t="s">
        <v>2710</v>
      </c>
      <c r="H415" s="12">
        <f>ROUND(SUM(H416:H419)/COUNT(H416:H419), 2)</f>
        <v>8.8800000000000008</v>
      </c>
      <c r="I415" s="2"/>
      <c r="J415" s="4" t="s">
        <v>2677</v>
      </c>
      <c r="K415" s="151">
        <v>9.5</v>
      </c>
      <c r="L415" s="2"/>
      <c r="M415" s="7" t="s">
        <v>1008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2661</v>
      </c>
      <c r="B416" s="153">
        <v>6</v>
      </c>
      <c r="C416" s="2"/>
      <c r="D416" s="11" t="s">
        <v>2699</v>
      </c>
      <c r="E416" s="150">
        <v>10</v>
      </c>
      <c r="F416" s="2"/>
      <c r="G416" s="11" t="s">
        <v>2717</v>
      </c>
      <c r="H416" s="150">
        <v>8</v>
      </c>
      <c r="I416" s="2"/>
      <c r="J416" s="4" t="s">
        <v>2678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2662</v>
      </c>
      <c r="B417" s="153">
        <v>7.5</v>
      </c>
      <c r="C417" s="2"/>
      <c r="D417" s="4" t="s">
        <v>2700</v>
      </c>
      <c r="E417" s="151">
        <v>10</v>
      </c>
      <c r="F417" s="2"/>
      <c r="G417" s="4" t="s">
        <v>2718</v>
      </c>
      <c r="H417" s="151">
        <v>9</v>
      </c>
      <c r="I417" s="2"/>
      <c r="J417" s="4" t="s">
        <v>2679</v>
      </c>
      <c r="K417" s="151">
        <v>9</v>
      </c>
      <c r="L417" s="2"/>
      <c r="M417" s="352" t="s">
        <v>2721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2663</v>
      </c>
      <c r="B418" s="153">
        <v>7</v>
      </c>
      <c r="C418" s="2"/>
      <c r="D418" s="4" t="s">
        <v>2701</v>
      </c>
      <c r="E418" s="151">
        <v>7.5</v>
      </c>
      <c r="F418" s="2"/>
      <c r="G418" s="4" t="s">
        <v>2719</v>
      </c>
      <c r="H418" s="151">
        <v>10</v>
      </c>
      <c r="I418" s="2"/>
      <c r="J418" s="4" t="s">
        <v>2680</v>
      </c>
      <c r="K418" s="151">
        <v>8.5</v>
      </c>
      <c r="L418" s="2"/>
      <c r="M418" s="11" t="s">
        <v>2722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2664</v>
      </c>
      <c r="B419" s="153">
        <v>8.5</v>
      </c>
      <c r="C419" s="2"/>
      <c r="D419" s="4" t="s">
        <v>2702</v>
      </c>
      <c r="E419" s="151">
        <v>8.5</v>
      </c>
      <c r="F419" s="2"/>
      <c r="G419" s="7" t="s">
        <v>2720</v>
      </c>
      <c r="H419" s="152">
        <v>8.5</v>
      </c>
      <c r="I419" s="2"/>
      <c r="J419" s="7" t="s">
        <v>2681</v>
      </c>
      <c r="K419" s="152">
        <v>8</v>
      </c>
      <c r="L419" s="2"/>
      <c r="M419" s="4" t="s">
        <v>2723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2665</v>
      </c>
      <c r="B420" s="153">
        <v>10</v>
      </c>
      <c r="C420" s="2"/>
      <c r="D420" s="4" t="s">
        <v>2703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2724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2666</v>
      </c>
      <c r="B421" s="153">
        <v>8</v>
      </c>
      <c r="C421" s="2"/>
      <c r="D421" s="4" t="s">
        <v>2704</v>
      </c>
      <c r="E421" s="151">
        <v>8</v>
      </c>
      <c r="F421" s="2"/>
      <c r="G421" s="353" t="s">
        <v>2744</v>
      </c>
      <c r="H421" s="12">
        <f>ROUND(SUM(H422:H432)/COUNT(H422:H432), 2)</f>
        <v>8.5500000000000007</v>
      </c>
      <c r="I421" s="2"/>
      <c r="J421" s="354" t="s">
        <v>2758</v>
      </c>
      <c r="K421" s="12">
        <f>ROUND(SUM(K422:K429)/COUNT(K422:K429), 2)</f>
        <v>8.31</v>
      </c>
      <c r="L421" s="2"/>
      <c r="M421" s="4" t="s">
        <v>2725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2667</v>
      </c>
      <c r="B422" s="153">
        <v>8</v>
      </c>
      <c r="C422" s="2"/>
      <c r="D422" s="4" t="s">
        <v>2705</v>
      </c>
      <c r="E422" s="151">
        <v>7.5</v>
      </c>
      <c r="F422" s="2"/>
      <c r="G422" s="11" t="s">
        <v>2733</v>
      </c>
      <c r="H422" s="150">
        <v>9</v>
      </c>
      <c r="I422" s="2"/>
      <c r="J422" s="11" t="s">
        <v>2759</v>
      </c>
      <c r="K422" s="150">
        <v>9.5</v>
      </c>
      <c r="L422" s="2"/>
      <c r="M422" s="4" t="s">
        <v>2726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2668</v>
      </c>
      <c r="B423" s="153">
        <v>8</v>
      </c>
      <c r="C423" s="2"/>
      <c r="D423" s="7" t="s">
        <v>2706</v>
      </c>
      <c r="E423" s="152">
        <v>10</v>
      </c>
      <c r="F423" s="2"/>
      <c r="G423" s="4" t="s">
        <v>2734</v>
      </c>
      <c r="H423" s="151">
        <v>8.5</v>
      </c>
      <c r="I423" s="2"/>
      <c r="J423" s="4" t="s">
        <v>2760</v>
      </c>
      <c r="K423" s="151">
        <v>8.5</v>
      </c>
      <c r="L423" s="2"/>
      <c r="M423" s="4" t="s">
        <v>2727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2669</v>
      </c>
      <c r="B424" s="153">
        <v>8</v>
      </c>
      <c r="C424" s="2"/>
      <c r="D424" s="2"/>
      <c r="E424" s="2"/>
      <c r="F424" s="2"/>
      <c r="G424" s="4" t="s">
        <v>2735</v>
      </c>
      <c r="H424" s="151">
        <v>10</v>
      </c>
      <c r="I424" s="2"/>
      <c r="J424" s="4" t="s">
        <v>2761</v>
      </c>
      <c r="K424" s="151">
        <v>8</v>
      </c>
      <c r="L424" s="2"/>
      <c r="M424" s="4" t="s">
        <v>2728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2670</v>
      </c>
      <c r="B425" s="153">
        <v>7.5</v>
      </c>
      <c r="C425" s="2"/>
      <c r="D425" s="355" t="s">
        <v>2779</v>
      </c>
      <c r="E425" s="12">
        <f>ROUND(SUM(E426:E434)/COUNT(E426:E434), 2)</f>
        <v>9.06</v>
      </c>
      <c r="F425" s="2"/>
      <c r="G425" s="4" t="s">
        <v>2736</v>
      </c>
      <c r="H425" s="151">
        <v>8.5</v>
      </c>
      <c r="I425" s="2"/>
      <c r="J425" s="4" t="s">
        <v>2762</v>
      </c>
      <c r="K425" s="151">
        <v>7.5</v>
      </c>
      <c r="L425" s="2"/>
      <c r="M425" s="4" t="s">
        <v>2729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2671</v>
      </c>
      <c r="B426" s="208">
        <v>9</v>
      </c>
      <c r="C426" s="2"/>
      <c r="D426" s="11" t="s">
        <v>2770</v>
      </c>
      <c r="E426" s="207">
        <v>8.5</v>
      </c>
      <c r="F426" s="2"/>
      <c r="G426" s="4" t="s">
        <v>2737</v>
      </c>
      <c r="H426" s="151">
        <v>8</v>
      </c>
      <c r="I426" s="2"/>
      <c r="J426" s="4" t="s">
        <v>2763</v>
      </c>
      <c r="K426" s="151">
        <v>8</v>
      </c>
      <c r="L426" s="2"/>
      <c r="M426" s="4" t="s">
        <v>2730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2771</v>
      </c>
      <c r="E427" s="153">
        <v>8</v>
      </c>
      <c r="F427" s="2"/>
      <c r="G427" s="4" t="s">
        <v>2738</v>
      </c>
      <c r="H427" s="151">
        <v>7.5</v>
      </c>
      <c r="I427" s="2"/>
      <c r="J427" s="4" t="s">
        <v>2764</v>
      </c>
      <c r="K427" s="151">
        <v>7</v>
      </c>
      <c r="L427" s="2"/>
      <c r="M427" s="4" t="s">
        <v>2731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356" t="s">
        <v>2785</v>
      </c>
      <c r="B428" s="12">
        <f>ROUND(SUM(B429:B439)/COUNT(B429:B439), 2)</f>
        <v>8.91</v>
      </c>
      <c r="C428" s="2"/>
      <c r="D428" s="4" t="s">
        <v>2772</v>
      </c>
      <c r="E428" s="153">
        <v>8.5</v>
      </c>
      <c r="F428" s="2"/>
      <c r="G428" s="4" t="s">
        <v>2739</v>
      </c>
      <c r="H428" s="151">
        <v>8</v>
      </c>
      <c r="I428" s="2"/>
      <c r="J428" s="4" t="s">
        <v>2765</v>
      </c>
      <c r="K428" s="151">
        <v>10</v>
      </c>
      <c r="L428" s="2"/>
      <c r="M428" s="7" t="s">
        <v>2732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2786</v>
      </c>
      <c r="B429" s="207">
        <v>9.5</v>
      </c>
      <c r="C429" s="2"/>
      <c r="D429" s="4" t="s">
        <v>2773</v>
      </c>
      <c r="E429" s="153">
        <v>10</v>
      </c>
      <c r="F429" s="2"/>
      <c r="G429" s="4" t="s">
        <v>2740</v>
      </c>
      <c r="H429" s="151">
        <v>8</v>
      </c>
      <c r="I429" s="2"/>
      <c r="J429" s="7" t="s">
        <v>2766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2787</v>
      </c>
      <c r="B430" s="153">
        <v>8</v>
      </c>
      <c r="C430" s="2"/>
      <c r="D430" s="4" t="s">
        <v>2774</v>
      </c>
      <c r="E430" s="153">
        <v>10</v>
      </c>
      <c r="F430" s="2"/>
      <c r="G430" s="4" t="s">
        <v>2741</v>
      </c>
      <c r="H430" s="151">
        <v>8</v>
      </c>
      <c r="I430" s="2"/>
      <c r="J430" s="2"/>
      <c r="K430" s="2"/>
      <c r="L430" s="2"/>
      <c r="M430" s="366" t="s">
        <v>2848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2788</v>
      </c>
      <c r="B431" s="153">
        <v>8</v>
      </c>
      <c r="C431" s="2"/>
      <c r="D431" s="4" t="s">
        <v>2775</v>
      </c>
      <c r="E431" s="153">
        <v>10</v>
      </c>
      <c r="F431" s="2"/>
      <c r="G431" s="4" t="s">
        <v>2742</v>
      </c>
      <c r="H431" s="151">
        <v>10</v>
      </c>
      <c r="I431" s="2"/>
      <c r="J431" s="369" t="s">
        <v>2868</v>
      </c>
      <c r="K431" s="12">
        <f>ROUND(SUM(K432:K443)/COUNT(K432:K443), 2)</f>
        <v>8.6300000000000008</v>
      </c>
      <c r="L431" s="2"/>
      <c r="M431" s="11" t="s">
        <v>2849</v>
      </c>
      <c r="N431" s="150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2789</v>
      </c>
      <c r="B432" s="153">
        <v>10</v>
      </c>
      <c r="C432" s="2"/>
      <c r="D432" s="4" t="s">
        <v>2776</v>
      </c>
      <c r="E432" s="153">
        <v>9</v>
      </c>
      <c r="F432" s="2"/>
      <c r="G432" s="7" t="s">
        <v>2743</v>
      </c>
      <c r="H432" s="152">
        <v>8.5</v>
      </c>
      <c r="I432" s="2"/>
      <c r="J432" s="11" t="s">
        <v>2869</v>
      </c>
      <c r="K432" s="150">
        <v>10</v>
      </c>
      <c r="L432" s="2"/>
      <c r="M432" s="4" t="s">
        <v>178</v>
      </c>
      <c r="N432" s="151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2790</v>
      </c>
      <c r="B433" s="153">
        <v>8.5</v>
      </c>
      <c r="C433" s="2"/>
      <c r="D433" s="4" t="s">
        <v>2777</v>
      </c>
      <c r="E433" s="153">
        <v>9</v>
      </c>
      <c r="F433" s="2"/>
      <c r="G433" s="2"/>
      <c r="H433" s="2"/>
      <c r="I433" s="2"/>
      <c r="J433" s="4" t="s">
        <v>2870</v>
      </c>
      <c r="K433" s="151">
        <v>9</v>
      </c>
      <c r="L433" s="2"/>
      <c r="M433" s="4" t="s">
        <v>2850</v>
      </c>
      <c r="N433" s="151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2791</v>
      </c>
      <c r="B434" s="153">
        <v>9.5</v>
      </c>
      <c r="C434" s="2"/>
      <c r="D434" s="7" t="s">
        <v>2778</v>
      </c>
      <c r="E434" s="208">
        <v>8.5</v>
      </c>
      <c r="F434" s="2"/>
      <c r="G434" s="370" t="s">
        <v>2888</v>
      </c>
      <c r="H434" s="12">
        <f>ROUND(SUM(H435:H449)/COUNT(H435:H449), 2)</f>
        <v>8.83</v>
      </c>
      <c r="I434" s="2"/>
      <c r="J434" s="4" t="s">
        <v>2871</v>
      </c>
      <c r="K434" s="151">
        <v>10</v>
      </c>
      <c r="L434" s="2"/>
      <c r="M434" s="4" t="s">
        <v>2851</v>
      </c>
      <c r="N434" s="151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2792</v>
      </c>
      <c r="B435" s="153">
        <v>9</v>
      </c>
      <c r="C435" s="2"/>
      <c r="D435" s="2"/>
      <c r="E435" s="2"/>
      <c r="F435" s="2"/>
      <c r="G435" s="11" t="s">
        <v>2889</v>
      </c>
      <c r="H435" s="207">
        <v>9</v>
      </c>
      <c r="I435" s="2"/>
      <c r="J435" s="4" t="s">
        <v>2872</v>
      </c>
      <c r="K435" s="151">
        <v>8.5</v>
      </c>
      <c r="L435" s="2"/>
      <c r="M435" s="4" t="s">
        <v>2852</v>
      </c>
      <c r="N435" s="151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2793</v>
      </c>
      <c r="B436" s="153">
        <v>9</v>
      </c>
      <c r="C436" s="2"/>
      <c r="D436" s="371" t="s">
        <v>2914</v>
      </c>
      <c r="E436" s="12">
        <f>ROUND(SUM(E437:E457)/COUNT(E437:E457), 2)</f>
        <v>8.73</v>
      </c>
      <c r="F436" s="2"/>
      <c r="G436" s="4" t="s">
        <v>2890</v>
      </c>
      <c r="H436" s="153">
        <v>9</v>
      </c>
      <c r="I436" s="2"/>
      <c r="J436" s="4" t="s">
        <v>2873</v>
      </c>
      <c r="K436" s="151">
        <v>8</v>
      </c>
      <c r="L436" s="2"/>
      <c r="M436" s="4" t="s">
        <v>2853</v>
      </c>
      <c r="N436" s="151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2794</v>
      </c>
      <c r="B437" s="153">
        <v>8.5</v>
      </c>
      <c r="C437" s="2"/>
      <c r="D437" s="11" t="s">
        <v>1413</v>
      </c>
      <c r="E437" s="207"/>
      <c r="F437" s="2"/>
      <c r="G437" s="4" t="s">
        <v>2891</v>
      </c>
      <c r="H437" s="153">
        <v>8</v>
      </c>
      <c r="I437" s="2"/>
      <c r="J437" s="4" t="s">
        <v>2874</v>
      </c>
      <c r="K437" s="151">
        <v>9</v>
      </c>
      <c r="L437" s="2"/>
      <c r="M437" s="4" t="s">
        <v>2854</v>
      </c>
      <c r="N437" s="151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2795</v>
      </c>
      <c r="B438" s="153">
        <v>8.5</v>
      </c>
      <c r="C438" s="2"/>
      <c r="D438" s="4" t="s">
        <v>2915</v>
      </c>
      <c r="E438" s="153">
        <v>9.5</v>
      </c>
      <c r="F438" s="2"/>
      <c r="G438" s="4" t="s">
        <v>2892</v>
      </c>
      <c r="H438" s="153">
        <v>7.5</v>
      </c>
      <c r="I438" s="2"/>
      <c r="J438" s="4" t="s">
        <v>2875</v>
      </c>
      <c r="K438" s="151">
        <v>8</v>
      </c>
      <c r="L438" s="2"/>
      <c r="M438" s="4" t="s">
        <v>1623</v>
      </c>
      <c r="N438" s="151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2796</v>
      </c>
      <c r="B439" s="208">
        <v>9.5</v>
      </c>
      <c r="C439" s="2"/>
      <c r="D439" s="4" t="s">
        <v>2916</v>
      </c>
      <c r="E439" s="153">
        <v>8.5</v>
      </c>
      <c r="F439" s="2"/>
      <c r="G439" s="4" t="s">
        <v>2893</v>
      </c>
      <c r="H439" s="153">
        <v>8</v>
      </c>
      <c r="I439" s="2"/>
      <c r="J439" s="4" t="s">
        <v>2876</v>
      </c>
      <c r="K439" s="151">
        <v>8.5</v>
      </c>
      <c r="L439" s="2"/>
      <c r="M439" s="4" t="s">
        <v>2855</v>
      </c>
      <c r="N439" s="151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>
      <c r="A440" s="2"/>
      <c r="B440" s="2"/>
      <c r="C440" s="2"/>
      <c r="D440" s="4" t="s">
        <v>2917</v>
      </c>
      <c r="E440" s="153">
        <v>10</v>
      </c>
      <c r="F440" s="2"/>
      <c r="G440" s="4" t="s">
        <v>2894</v>
      </c>
      <c r="H440" s="153">
        <v>10.5</v>
      </c>
      <c r="I440" s="2"/>
      <c r="J440" s="4" t="s">
        <v>2877</v>
      </c>
      <c r="K440" s="151">
        <v>8.5</v>
      </c>
      <c r="L440" s="2"/>
      <c r="M440" s="4" t="s">
        <v>2856</v>
      </c>
      <c r="N440" s="151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C441" s="2"/>
      <c r="D441" s="4" t="s">
        <v>2918</v>
      </c>
      <c r="E441" s="153"/>
      <c r="F441" s="2"/>
      <c r="G441" s="4" t="s">
        <v>2895</v>
      </c>
      <c r="H441" s="153">
        <v>8.5</v>
      </c>
      <c r="I441" s="2"/>
      <c r="J441" s="4" t="s">
        <v>2878</v>
      </c>
      <c r="K441" s="151">
        <v>8</v>
      </c>
      <c r="L441" s="2"/>
      <c r="M441" s="7" t="s">
        <v>2857</v>
      </c>
      <c r="N441" s="152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>
      <c r="C442" s="2"/>
      <c r="D442" s="4" t="s">
        <v>2919</v>
      </c>
      <c r="E442" s="153">
        <v>9</v>
      </c>
      <c r="F442" s="2"/>
      <c r="G442" s="4" t="s">
        <v>2896</v>
      </c>
      <c r="H442" s="153">
        <v>9</v>
      </c>
      <c r="I442" s="2"/>
      <c r="J442" s="4" t="s">
        <v>2879</v>
      </c>
      <c r="K442" s="151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C443" s="2"/>
      <c r="D443" s="4" t="s">
        <v>2920</v>
      </c>
      <c r="E443" s="153">
        <v>8</v>
      </c>
      <c r="F443" s="2"/>
      <c r="G443" s="4" t="s">
        <v>2897</v>
      </c>
      <c r="H443" s="153">
        <v>9</v>
      </c>
      <c r="I443" s="2"/>
      <c r="J443" s="7" t="s">
        <v>567</v>
      </c>
      <c r="K443" s="152">
        <v>8</v>
      </c>
      <c r="L443" s="2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>
      <c r="C444" s="2"/>
      <c r="D444" s="4" t="s">
        <v>2921</v>
      </c>
      <c r="E444" s="153">
        <v>9.5</v>
      </c>
      <c r="F444" s="2"/>
      <c r="G444" s="4" t="s">
        <v>2898</v>
      </c>
      <c r="H444" s="153">
        <v>8</v>
      </c>
      <c r="I444" s="2"/>
      <c r="J444" s="2"/>
      <c r="K444" s="2"/>
      <c r="L444" s="2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>
      <c r="C445" s="2"/>
      <c r="D445" s="4" t="s">
        <v>2922</v>
      </c>
      <c r="E445" s="153">
        <v>8</v>
      </c>
      <c r="F445" s="2"/>
      <c r="G445" s="4" t="s">
        <v>2899</v>
      </c>
      <c r="H445" s="153">
        <v>8.5</v>
      </c>
      <c r="I445" s="2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>
      <c r="C446" s="2"/>
      <c r="D446" s="4" t="s">
        <v>2923</v>
      </c>
      <c r="E446" s="153"/>
      <c r="F446" s="2"/>
      <c r="G446" s="4" t="s">
        <v>2900</v>
      </c>
      <c r="H446" s="153">
        <v>10</v>
      </c>
      <c r="I446" s="2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>
      <c r="C447" s="2"/>
      <c r="D447" s="4" t="s">
        <v>2924</v>
      </c>
      <c r="E447" s="153">
        <v>8.5</v>
      </c>
      <c r="F447" s="2"/>
      <c r="G447" s="4" t="s">
        <v>2901</v>
      </c>
      <c r="H447" s="153">
        <v>8.5</v>
      </c>
      <c r="I447" s="2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>
      <c r="C448" s="2"/>
      <c r="D448" s="4" t="s">
        <v>2925</v>
      </c>
      <c r="E448" s="153">
        <v>9</v>
      </c>
      <c r="F448" s="2"/>
      <c r="G448" s="4" t="s">
        <v>2902</v>
      </c>
      <c r="H448" s="153">
        <v>10.5</v>
      </c>
      <c r="I448" s="2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3:35" ht="16.05" customHeight="1" thickBot="1">
      <c r="C449" s="2"/>
      <c r="D449" s="4" t="s">
        <v>2926</v>
      </c>
      <c r="E449" s="153">
        <v>8.5</v>
      </c>
      <c r="F449" s="2"/>
      <c r="G449" s="7" t="s">
        <v>2903</v>
      </c>
      <c r="H449" s="208">
        <v>8.5</v>
      </c>
      <c r="I449" s="2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3:35" ht="16.05" customHeight="1">
      <c r="C450" s="2"/>
      <c r="D450" s="4" t="s">
        <v>2927</v>
      </c>
      <c r="E450" s="153"/>
      <c r="F450" s="2"/>
      <c r="G450" s="2"/>
      <c r="H450" s="2"/>
      <c r="I450" s="2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3:35" ht="16.05" customHeight="1">
      <c r="C451" s="2"/>
      <c r="D451" s="4" t="s">
        <v>2928</v>
      </c>
      <c r="E451" s="153">
        <v>8.5</v>
      </c>
      <c r="F451" s="2"/>
      <c r="V451" s="3"/>
      <c r="W451" s="3"/>
      <c r="X451" s="3"/>
      <c r="Y451" s="3"/>
      <c r="Z451" s="3"/>
    </row>
    <row r="452" spans="3:35" ht="16.05" customHeight="1">
      <c r="C452" s="2"/>
      <c r="D452" s="4" t="s">
        <v>2929</v>
      </c>
      <c r="E452" s="153"/>
      <c r="F452" s="2"/>
      <c r="V452" s="3"/>
      <c r="W452" s="3"/>
      <c r="X452" s="3"/>
      <c r="Y452" s="3"/>
      <c r="Z452" s="3"/>
    </row>
    <row r="453" spans="3:35" ht="16.05" customHeight="1">
      <c r="C453" s="2"/>
      <c r="D453" s="4" t="s">
        <v>2930</v>
      </c>
      <c r="E453" s="153"/>
      <c r="F453" s="2"/>
      <c r="V453" s="3"/>
      <c r="W453" s="3"/>
      <c r="X453" s="3"/>
      <c r="Y453" s="3"/>
      <c r="Z453" s="3"/>
    </row>
    <row r="454" spans="3:35" ht="16.05" customHeight="1">
      <c r="C454" s="2"/>
      <c r="D454" s="4" t="s">
        <v>2931</v>
      </c>
      <c r="E454" s="153">
        <v>9</v>
      </c>
      <c r="F454" s="2"/>
      <c r="V454" s="3"/>
      <c r="W454" s="3"/>
      <c r="X454" s="3"/>
      <c r="Y454" s="3"/>
      <c r="Z454" s="3"/>
    </row>
    <row r="455" spans="3:35" ht="16.05" customHeight="1">
      <c r="C455" s="2"/>
      <c r="D455" s="4" t="s">
        <v>2932</v>
      </c>
      <c r="E455" s="153">
        <v>8.5</v>
      </c>
      <c r="F455" s="2"/>
      <c r="V455" s="3"/>
      <c r="W455" s="3"/>
      <c r="X455" s="3"/>
      <c r="Y455" s="3"/>
      <c r="Z455" s="3"/>
    </row>
    <row r="456" spans="3:35" ht="16.05" customHeight="1">
      <c r="C456" s="2"/>
      <c r="D456" s="4" t="s">
        <v>2933</v>
      </c>
      <c r="E456" s="153">
        <v>8.5</v>
      </c>
      <c r="F456" s="2"/>
      <c r="V456" s="3"/>
      <c r="W456" s="3"/>
      <c r="X456" s="3"/>
      <c r="Y456" s="3"/>
      <c r="Z456" s="3"/>
    </row>
    <row r="457" spans="3:35" ht="16.05" customHeight="1" thickBot="1">
      <c r="C457" s="2"/>
      <c r="D457" s="7" t="s">
        <v>2934</v>
      </c>
      <c r="E457" s="208">
        <v>8</v>
      </c>
      <c r="F457" s="2"/>
      <c r="V457" s="3"/>
      <c r="W457" s="3"/>
      <c r="X457" s="3"/>
      <c r="Y457" s="3"/>
      <c r="Z457" s="3"/>
    </row>
    <row r="458" spans="3:35" ht="16.05" customHeight="1">
      <c r="C458" s="2"/>
      <c r="D458" s="2"/>
      <c r="E458" s="2"/>
      <c r="F458" s="2"/>
      <c r="V458" s="3"/>
      <c r="W458" s="3"/>
      <c r="X458" s="3"/>
      <c r="Y458" s="3"/>
      <c r="Z458" s="3"/>
    </row>
    <row r="459" spans="3:35" ht="16.05" customHeight="1">
      <c r="V459" s="3"/>
      <c r="W459" s="3"/>
      <c r="X459" s="3"/>
      <c r="Y459" s="3"/>
      <c r="Z459" s="3"/>
    </row>
    <row r="460" spans="3:35" ht="16.05" customHeight="1">
      <c r="V460" s="3"/>
      <c r="W460" s="3"/>
      <c r="X460" s="3"/>
      <c r="Y460" s="3"/>
      <c r="Z460" s="3"/>
    </row>
    <row r="461" spans="3:35" ht="16.05" customHeight="1">
      <c r="V461" s="3"/>
      <c r="W461" s="3"/>
      <c r="X461" s="3"/>
      <c r="Y461" s="3"/>
      <c r="Z461" s="3"/>
    </row>
    <row r="462" spans="3:35" ht="16.05" customHeight="1">
      <c r="V462" s="3"/>
      <c r="W462" s="3"/>
      <c r="X462" s="3"/>
      <c r="Y462" s="3"/>
      <c r="Z462" s="3"/>
    </row>
    <row r="463" spans="3:35" ht="16.05" customHeight="1">
      <c r="V463" s="3"/>
      <c r="W463" s="3"/>
      <c r="X463" s="3"/>
      <c r="Y463" s="3"/>
      <c r="Z463" s="3"/>
    </row>
    <row r="464" spans="3:35" ht="16.05" customHeight="1">
      <c r="V464" s="3"/>
      <c r="W464" s="3"/>
      <c r="X464" s="3"/>
      <c r="Y464" s="3"/>
      <c r="Z464" s="3"/>
    </row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0">
    <mergeCell ref="R373:V373"/>
    <mergeCell ref="R381:V381"/>
    <mergeCell ref="R179:AE179"/>
    <mergeCell ref="R210:V210"/>
    <mergeCell ref="R238:V238"/>
    <mergeCell ref="R269:V269"/>
    <mergeCell ref="R277:V277"/>
    <mergeCell ref="R285:V285"/>
    <mergeCell ref="R293:V293"/>
    <mergeCell ref="R301:V301"/>
    <mergeCell ref="R309:V309"/>
    <mergeCell ref="R317:V317"/>
    <mergeCell ref="R325:V325"/>
    <mergeCell ref="R333:V333"/>
    <mergeCell ref="R341:V341"/>
    <mergeCell ref="R349:V349"/>
    <mergeCell ref="R357:V357"/>
    <mergeCell ref="AH1:AI1"/>
    <mergeCell ref="R1:AE1"/>
    <mergeCell ref="R365:V365"/>
  </mergeCells>
  <phoneticPr fontId="204" type="noConversion"/>
  <conditionalFormatting sqref="A2:B2 D2:E2 G2:H2 J2:K2 M2:N2 A16:B16 A26:B26 D14:E14 G17:H17 J14:K14 M14:N14 D30:E30 J25:K25 AK24:AK26">
    <cfRule type="colorScale" priority="20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309" priority="1659" operator="between">
      <formula>10.1</formula>
      <formula>10.6</formula>
    </cfRule>
    <cfRule type="cellIs" dxfId="1308" priority="1697" operator="between">
      <formula>7</formula>
      <formula>7.9</formula>
    </cfRule>
    <cfRule type="cellIs" dxfId="1307" priority="1698" stopIfTrue="1" operator="between">
      <formula>8</formula>
      <formula>8.9</formula>
    </cfRule>
    <cfRule type="cellIs" dxfId="1306" priority="1699" operator="between">
      <formula>9</formula>
      <formula>9.9</formula>
    </cfRule>
    <cfRule type="cellIs" dxfId="1305" priority="1700" stopIfTrue="1" operator="between">
      <formula>10</formula>
      <formula>10</formula>
    </cfRule>
    <cfRule type="containsBlanks" dxfId="1304" priority="1701" stopIfTrue="1">
      <formula>LEN(TRIM(B3))=0</formula>
    </cfRule>
  </conditionalFormatting>
  <conditionalFormatting sqref="B17:B24">
    <cfRule type="cellIs" dxfId="1303" priority="1635" operator="between">
      <formula>10.1</formula>
      <formula>10.6</formula>
    </cfRule>
    <cfRule type="cellIs" dxfId="1302" priority="1636" operator="between">
      <formula>7</formula>
      <formula>7.9</formula>
    </cfRule>
    <cfRule type="cellIs" dxfId="1301" priority="1637" stopIfTrue="1" operator="between">
      <formula>8</formula>
      <formula>8.9</formula>
    </cfRule>
    <cfRule type="cellIs" dxfId="1300" priority="1638" operator="between">
      <formula>9</formula>
      <formula>9.9</formula>
    </cfRule>
    <cfRule type="cellIs" dxfId="1299" priority="1639" stopIfTrue="1" operator="between">
      <formula>10</formula>
      <formula>10</formula>
    </cfRule>
    <cfRule type="containsBlanks" dxfId="1298" priority="1640" stopIfTrue="1">
      <formula>LEN(TRIM(B17))=0</formula>
    </cfRule>
  </conditionalFormatting>
  <conditionalFormatting sqref="B27:B31">
    <cfRule type="cellIs" dxfId="1297" priority="1629" operator="between">
      <formula>10.1</formula>
      <formula>10.6</formula>
    </cfRule>
    <cfRule type="cellIs" dxfId="1296" priority="1630" operator="between">
      <formula>7</formula>
      <formula>7.9</formula>
    </cfRule>
    <cfRule type="cellIs" dxfId="1295" priority="1631" stopIfTrue="1" operator="between">
      <formula>8</formula>
      <formula>8.9</formula>
    </cfRule>
    <cfRule type="cellIs" dxfId="1294" priority="1632" operator="between">
      <formula>9</formula>
      <formula>9.9</formula>
    </cfRule>
    <cfRule type="cellIs" dxfId="1293" priority="1633" stopIfTrue="1" operator="between">
      <formula>10</formula>
      <formula>10</formula>
    </cfRule>
    <cfRule type="containsBlanks" dxfId="1292" priority="1634" stopIfTrue="1">
      <formula>LEN(TRIM(B27))=0</formula>
    </cfRule>
  </conditionalFormatting>
  <conditionalFormatting sqref="B33">
    <cfRule type="colorScale" priority="2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291" priority="1623" operator="between">
      <formula>10.1</formula>
      <formula>10.6</formula>
    </cfRule>
    <cfRule type="cellIs" dxfId="1290" priority="1624" operator="between">
      <formula>7</formula>
      <formula>7.9</formula>
    </cfRule>
    <cfRule type="cellIs" dxfId="1289" priority="1625" stopIfTrue="1" operator="between">
      <formula>8</formula>
      <formula>8.9</formula>
    </cfRule>
    <cfRule type="cellIs" dxfId="1288" priority="1626" operator="between">
      <formula>9</formula>
      <formula>9.9</formula>
    </cfRule>
    <cfRule type="cellIs" dxfId="1287" priority="1627" stopIfTrue="1" operator="between">
      <formula>10</formula>
      <formula>10</formula>
    </cfRule>
    <cfRule type="containsBlanks" dxfId="1286" priority="1628" stopIfTrue="1">
      <formula>LEN(TRIM(B34))=0</formula>
    </cfRule>
  </conditionalFormatting>
  <conditionalFormatting sqref="B47"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285" priority="1593" operator="between">
      <formula>10.1</formula>
      <formula>10.6</formula>
    </cfRule>
    <cfRule type="cellIs" dxfId="1284" priority="1594" operator="between">
      <formula>7</formula>
      <formula>7.9</formula>
    </cfRule>
    <cfRule type="cellIs" dxfId="1283" priority="1595" stopIfTrue="1" operator="between">
      <formula>8</formula>
      <formula>8.9</formula>
    </cfRule>
    <cfRule type="cellIs" dxfId="1282" priority="1596" operator="between">
      <formula>9</formula>
      <formula>9.9</formula>
    </cfRule>
    <cfRule type="cellIs" dxfId="1281" priority="1597" stopIfTrue="1" operator="between">
      <formula>10</formula>
      <formula>10</formula>
    </cfRule>
    <cfRule type="containsBlanks" dxfId="1280" priority="1598" stopIfTrue="1">
      <formula>LEN(TRIM(B48))=0</formula>
    </cfRule>
  </conditionalFormatting>
  <conditionalFormatting sqref="B59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279" priority="1571" operator="between">
      <formula>10.1</formula>
      <formula>10.6</formula>
    </cfRule>
    <cfRule type="cellIs" dxfId="1278" priority="1572" operator="between">
      <formula>7</formula>
      <formula>7.9</formula>
    </cfRule>
    <cfRule type="cellIs" dxfId="1277" priority="1573" stopIfTrue="1" operator="between">
      <formula>8</formula>
      <formula>8.9</formula>
    </cfRule>
    <cfRule type="cellIs" dxfId="1276" priority="1574" operator="between">
      <formula>9</formula>
      <formula>9.9</formula>
    </cfRule>
    <cfRule type="cellIs" dxfId="1275" priority="1575" stopIfTrue="1" operator="between">
      <formula>10</formula>
      <formula>10</formula>
    </cfRule>
    <cfRule type="containsBlanks" dxfId="1274" priority="1576" stopIfTrue="1">
      <formula>LEN(TRIM(B60))=0</formula>
    </cfRule>
  </conditionalFormatting>
  <conditionalFormatting sqref="B70"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273" priority="1485" operator="between">
      <formula>10.1</formula>
      <formula>10.6</formula>
    </cfRule>
    <cfRule type="cellIs" dxfId="1272" priority="1486" operator="between">
      <formula>7</formula>
      <formula>7.9</formula>
    </cfRule>
    <cfRule type="cellIs" dxfId="1271" priority="1487" stopIfTrue="1" operator="between">
      <formula>8</formula>
      <formula>8.9</formula>
    </cfRule>
    <cfRule type="cellIs" dxfId="1270" priority="1488" operator="between">
      <formula>9</formula>
      <formula>9.9</formula>
    </cfRule>
    <cfRule type="cellIs" dxfId="1269" priority="1489" stopIfTrue="1" operator="between">
      <formula>10</formula>
      <formula>10</formula>
    </cfRule>
    <cfRule type="containsBlanks" dxfId="1268" priority="1490" stopIfTrue="1">
      <formula>LEN(TRIM(B71))=0</formula>
    </cfRule>
  </conditionalFormatting>
  <conditionalFormatting sqref="B73">
    <cfRule type="cellIs" dxfId="1267" priority="1484" operator="between">
      <formula>6</formula>
      <formula>6.9</formula>
    </cfRule>
  </conditionalFormatting>
  <conditionalFormatting sqref="B79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266" priority="1461" operator="between">
      <formula>10.1</formula>
      <formula>10.6</formula>
    </cfRule>
    <cfRule type="cellIs" dxfId="1265" priority="1462" operator="between">
      <formula>7</formula>
      <formula>7.9</formula>
    </cfRule>
    <cfRule type="cellIs" dxfId="1264" priority="1463" stopIfTrue="1" operator="between">
      <formula>8</formula>
      <formula>8.9</formula>
    </cfRule>
    <cfRule type="cellIs" dxfId="1263" priority="1464" operator="between">
      <formula>9</formula>
      <formula>9.9</formula>
    </cfRule>
    <cfRule type="cellIs" dxfId="1262" priority="1465" stopIfTrue="1" operator="between">
      <formula>10</formula>
      <formula>10</formula>
    </cfRule>
    <cfRule type="containsBlanks" dxfId="1261" priority="1466" stopIfTrue="1">
      <formula>LEN(TRIM(B80))=0</formula>
    </cfRule>
  </conditionalFormatting>
  <conditionalFormatting sqref="B93"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1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260" priority="1414" operator="between">
      <formula>10.1</formula>
      <formula>10.6</formula>
    </cfRule>
    <cfRule type="cellIs" dxfId="1259" priority="1415" operator="between">
      <formula>7</formula>
      <formula>7.9</formula>
    </cfRule>
    <cfRule type="cellIs" dxfId="1258" priority="1416" stopIfTrue="1" operator="between">
      <formula>8</formula>
      <formula>8.9</formula>
    </cfRule>
    <cfRule type="cellIs" dxfId="1257" priority="1417" operator="between">
      <formula>9</formula>
      <formula>9.9</formula>
    </cfRule>
    <cfRule type="cellIs" dxfId="1256" priority="1418" stopIfTrue="1" operator="between">
      <formula>10</formula>
      <formula>10</formula>
    </cfRule>
    <cfRule type="containsBlanks" dxfId="1255" priority="1419" stopIfTrue="1">
      <formula>LEN(TRIM(B94))=0</formula>
    </cfRule>
  </conditionalFormatting>
  <conditionalFormatting sqref="B103">
    <cfRule type="colorScale" priority="1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254" priority="1365" operator="between">
      <formula>10.1</formula>
      <formula>10.6</formula>
    </cfRule>
    <cfRule type="cellIs" dxfId="1253" priority="1366" operator="between">
      <formula>7</formula>
      <formula>7.9</formula>
    </cfRule>
    <cfRule type="cellIs" dxfId="1252" priority="1367" stopIfTrue="1" operator="between">
      <formula>8</formula>
      <formula>8.9</formula>
    </cfRule>
    <cfRule type="cellIs" dxfId="1251" priority="1368" operator="between">
      <formula>9</formula>
      <formula>9.9</formula>
    </cfRule>
    <cfRule type="cellIs" dxfId="1250" priority="1369" stopIfTrue="1" operator="between">
      <formula>10</formula>
      <formula>10</formula>
    </cfRule>
    <cfRule type="containsBlanks" dxfId="1249" priority="1370" stopIfTrue="1">
      <formula>LEN(TRIM(B104))=0</formula>
    </cfRule>
  </conditionalFormatting>
  <conditionalFormatting sqref="B114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248" priority="1319" operator="between">
      <formula>6</formula>
      <formula>6.9</formula>
    </cfRule>
    <cfRule type="cellIs" dxfId="1247" priority="1320" operator="between">
      <formula>10.1</formula>
      <formula>10.6</formula>
    </cfRule>
    <cfRule type="cellIs" dxfId="1246" priority="1321" operator="between">
      <formula>7</formula>
      <formula>7.9</formula>
    </cfRule>
    <cfRule type="cellIs" dxfId="1245" priority="1322" stopIfTrue="1" operator="between">
      <formula>8</formula>
      <formula>8.9</formula>
    </cfRule>
    <cfRule type="cellIs" dxfId="1244" priority="1323" operator="between">
      <formula>9</formula>
      <formula>9.9</formula>
    </cfRule>
    <cfRule type="cellIs" dxfId="1243" priority="1324" stopIfTrue="1" operator="between">
      <formula>10</formula>
      <formula>10</formula>
    </cfRule>
    <cfRule type="containsBlanks" dxfId="1242" priority="1325" stopIfTrue="1">
      <formula>LEN(TRIM(B115))=0</formula>
    </cfRule>
  </conditionalFormatting>
  <conditionalFormatting sqref="B134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241" priority="1242" operator="between">
      <formula>6</formula>
      <formula>6.9</formula>
    </cfRule>
    <cfRule type="cellIs" dxfId="1240" priority="1243" operator="between">
      <formula>10.1</formula>
      <formula>10.6</formula>
    </cfRule>
    <cfRule type="cellIs" dxfId="1239" priority="1244" operator="between">
      <formula>7</formula>
      <formula>7.9</formula>
    </cfRule>
    <cfRule type="cellIs" dxfId="1238" priority="1245" stopIfTrue="1" operator="between">
      <formula>8</formula>
      <formula>8.9</formula>
    </cfRule>
    <cfRule type="cellIs" dxfId="1237" priority="1246" operator="between">
      <formula>9</formula>
      <formula>9.9</formula>
    </cfRule>
    <cfRule type="cellIs" dxfId="1236" priority="1247" stopIfTrue="1" operator="between">
      <formula>10</formula>
      <formula>10</formula>
    </cfRule>
    <cfRule type="containsBlanks" dxfId="1235" priority="1248" stopIfTrue="1">
      <formula>LEN(TRIM(B135))=0</formula>
    </cfRule>
  </conditionalFormatting>
  <conditionalFormatting sqref="B145">
    <cfRule type="colorScale" priority="12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5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234" priority="1197" operator="between">
      <formula>6</formula>
      <formula>6.9</formula>
    </cfRule>
    <cfRule type="cellIs" dxfId="1233" priority="1198" operator="between">
      <formula>10.1</formula>
      <formula>10.6</formula>
    </cfRule>
    <cfRule type="cellIs" dxfId="1232" priority="1199" operator="between">
      <formula>7</formula>
      <formula>7.9</formula>
    </cfRule>
    <cfRule type="cellIs" dxfId="1231" priority="1200" stopIfTrue="1" operator="between">
      <formula>8</formula>
      <formula>8.9</formula>
    </cfRule>
    <cfRule type="cellIs" dxfId="1230" priority="1201" operator="between">
      <formula>9</formula>
      <formula>9.9</formula>
    </cfRule>
    <cfRule type="cellIs" dxfId="1229" priority="1202" stopIfTrue="1" operator="between">
      <formula>10</formula>
      <formula>10</formula>
    </cfRule>
    <cfRule type="containsBlanks" dxfId="1228" priority="1203" stopIfTrue="1">
      <formula>LEN(TRIM(B146))=0</formula>
    </cfRule>
  </conditionalFormatting>
  <conditionalFormatting sqref="B162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227" priority="1136" operator="between">
      <formula>6</formula>
      <formula>6.9</formula>
    </cfRule>
    <cfRule type="cellIs" dxfId="1226" priority="1137" operator="between">
      <formula>10.1</formula>
      <formula>10.6</formula>
    </cfRule>
    <cfRule type="cellIs" dxfId="1225" priority="1138" operator="between">
      <formula>7</formula>
      <formula>7.9</formula>
    </cfRule>
    <cfRule type="cellIs" dxfId="1224" priority="1139" stopIfTrue="1" operator="between">
      <formula>8</formula>
      <formula>8.9</formula>
    </cfRule>
    <cfRule type="cellIs" dxfId="1223" priority="1140" operator="between">
      <formula>9</formula>
      <formula>9.9</formula>
    </cfRule>
    <cfRule type="cellIs" dxfId="1222" priority="1141" stopIfTrue="1" operator="between">
      <formula>10</formula>
      <formula>10</formula>
    </cfRule>
    <cfRule type="containsBlanks" dxfId="1221" priority="1142" stopIfTrue="1">
      <formula>LEN(TRIM(B163))=0</formula>
    </cfRule>
  </conditionalFormatting>
  <conditionalFormatting sqref="B172">
    <cfRule type="colorScale" priority="1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6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220" priority="1098" operator="between">
      <formula>6</formula>
      <formula>6.9</formula>
    </cfRule>
    <cfRule type="cellIs" dxfId="1219" priority="1099" operator="between">
      <formula>10.1</formula>
      <formula>10.6</formula>
    </cfRule>
    <cfRule type="cellIs" dxfId="1218" priority="1100" operator="between">
      <formula>7</formula>
      <formula>7.9</formula>
    </cfRule>
    <cfRule type="cellIs" dxfId="1217" priority="1101" stopIfTrue="1" operator="between">
      <formula>8</formula>
      <formula>8.9</formula>
    </cfRule>
    <cfRule type="cellIs" dxfId="1216" priority="1102" operator="between">
      <formula>9</formula>
      <formula>9.9</formula>
    </cfRule>
    <cfRule type="cellIs" dxfId="1215" priority="1103" stopIfTrue="1" operator="between">
      <formula>10</formula>
      <formula>10</formula>
    </cfRule>
    <cfRule type="containsBlanks" dxfId="1214" priority="1104" stopIfTrue="1">
      <formula>LEN(TRIM(B173))=0</formula>
    </cfRule>
  </conditionalFormatting>
  <conditionalFormatting sqref="B185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213" priority="1060" operator="between">
      <formula>6</formula>
      <formula>6.9</formula>
    </cfRule>
    <cfRule type="cellIs" dxfId="1212" priority="1061" operator="between">
      <formula>10.1</formula>
      <formula>10.6</formula>
    </cfRule>
    <cfRule type="cellIs" dxfId="1211" priority="1062" operator="between">
      <formula>7</formula>
      <formula>7.9</formula>
    </cfRule>
    <cfRule type="cellIs" dxfId="1210" priority="1063" stopIfTrue="1" operator="between">
      <formula>8</formula>
      <formula>8.9</formula>
    </cfRule>
    <cfRule type="cellIs" dxfId="1209" priority="1064" operator="between">
      <formula>9</formula>
      <formula>9.9</formula>
    </cfRule>
    <cfRule type="cellIs" dxfId="1208" priority="1065" stopIfTrue="1" operator="between">
      <formula>10</formula>
      <formula>10</formula>
    </cfRule>
    <cfRule type="containsBlanks" dxfId="1207" priority="1066" stopIfTrue="1">
      <formula>LEN(TRIM(B186))=0</formula>
    </cfRule>
  </conditionalFormatting>
  <conditionalFormatting sqref="B196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206" priority="1011" operator="between">
      <formula>6</formula>
      <formula>6.9</formula>
    </cfRule>
    <cfRule type="cellIs" dxfId="1205" priority="1012" operator="between">
      <formula>10.1</formula>
      <formula>10.6</formula>
    </cfRule>
    <cfRule type="cellIs" dxfId="1204" priority="1013" operator="between">
      <formula>7</formula>
      <formula>7.9</formula>
    </cfRule>
    <cfRule type="cellIs" dxfId="1203" priority="1014" stopIfTrue="1" operator="between">
      <formula>8</formula>
      <formula>8.9</formula>
    </cfRule>
    <cfRule type="cellIs" dxfId="1202" priority="1015" operator="between">
      <formula>9</formula>
      <formula>9.9</formula>
    </cfRule>
    <cfRule type="cellIs" dxfId="1201" priority="1016" stopIfTrue="1" operator="between">
      <formula>10</formula>
      <formula>10</formula>
    </cfRule>
    <cfRule type="containsBlanks" dxfId="1200" priority="1017" stopIfTrue="1">
      <formula>LEN(TRIM(B197))=0</formula>
    </cfRule>
  </conditionalFormatting>
  <conditionalFormatting sqref="B213">
    <cfRule type="colorScale" priority="9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199" priority="935" operator="between">
      <formula>6</formula>
      <formula>6.9</formula>
    </cfRule>
    <cfRule type="cellIs" dxfId="1198" priority="936" operator="between">
      <formula>10.1</formula>
      <formula>10.6</formula>
    </cfRule>
    <cfRule type="cellIs" dxfId="1197" priority="937" operator="between">
      <formula>7</formula>
      <formula>7.9</formula>
    </cfRule>
    <cfRule type="cellIs" dxfId="1196" priority="938" stopIfTrue="1" operator="between">
      <formula>8</formula>
      <formula>8.9</formula>
    </cfRule>
    <cfRule type="cellIs" dxfId="1195" priority="939" operator="between">
      <formula>9</formula>
      <formula>9.9</formula>
    </cfRule>
    <cfRule type="cellIs" dxfId="1194" priority="940" stopIfTrue="1" operator="between">
      <formula>10</formula>
      <formula>10</formula>
    </cfRule>
    <cfRule type="containsBlanks" dxfId="1193" priority="941" stopIfTrue="1">
      <formula>LEN(TRIM(B214))=0</formula>
    </cfRule>
  </conditionalFormatting>
  <conditionalFormatting sqref="B226">
    <cfRule type="colorScale" priority="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192" priority="872" operator="between">
      <formula>6</formula>
      <formula>6.9</formula>
    </cfRule>
    <cfRule type="cellIs" dxfId="1191" priority="873" operator="between">
      <formula>10.1</formula>
      <formula>10.6</formula>
    </cfRule>
    <cfRule type="cellIs" dxfId="1190" priority="874" operator="between">
      <formula>7</formula>
      <formula>7.9</formula>
    </cfRule>
    <cfRule type="cellIs" dxfId="1189" priority="875" stopIfTrue="1" operator="between">
      <formula>8</formula>
      <formula>8.9</formula>
    </cfRule>
    <cfRule type="cellIs" dxfId="1188" priority="876" operator="between">
      <formula>9</formula>
      <formula>9.9</formula>
    </cfRule>
    <cfRule type="cellIs" dxfId="1187" priority="877" stopIfTrue="1" operator="between">
      <formula>10</formula>
      <formula>10</formula>
    </cfRule>
    <cfRule type="containsBlanks" dxfId="1186" priority="878" stopIfTrue="1">
      <formula>LEN(TRIM(B236))=0</formula>
    </cfRule>
  </conditionalFormatting>
  <conditionalFormatting sqref="B246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185" priority="827" operator="between">
      <formula>6</formula>
      <formula>6.9</formula>
    </cfRule>
    <cfRule type="cellIs" dxfId="1184" priority="828" operator="between">
      <formula>10.1</formula>
      <formula>10.6</formula>
    </cfRule>
    <cfRule type="cellIs" dxfId="1183" priority="829" operator="between">
      <formula>7</formula>
      <formula>7.9</formula>
    </cfRule>
    <cfRule type="cellIs" dxfId="1182" priority="830" stopIfTrue="1" operator="between">
      <formula>8</formula>
      <formula>8.9</formula>
    </cfRule>
    <cfRule type="cellIs" dxfId="1181" priority="831" operator="between">
      <formula>9</formula>
      <formula>9.9</formula>
    </cfRule>
    <cfRule type="cellIs" dxfId="1180" priority="832" stopIfTrue="1" operator="between">
      <formula>10</formula>
      <formula>10</formula>
    </cfRule>
    <cfRule type="containsBlanks" dxfId="1179" priority="833" stopIfTrue="1">
      <formula>LEN(TRIM(B247))=0</formula>
    </cfRule>
  </conditionalFormatting>
  <conditionalFormatting sqref="B260">
    <cfRule type="colorScale" priority="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178" priority="789" operator="between">
      <formula>6</formula>
      <formula>6.9</formula>
    </cfRule>
    <cfRule type="cellIs" dxfId="1177" priority="790" operator="between">
      <formula>10.1</formula>
      <formula>10.6</formula>
    </cfRule>
    <cfRule type="cellIs" dxfId="1176" priority="791" operator="between">
      <formula>7</formula>
      <formula>7.9</formula>
    </cfRule>
    <cfRule type="cellIs" dxfId="1175" priority="792" stopIfTrue="1" operator="between">
      <formula>8</formula>
      <formula>8.9</formula>
    </cfRule>
    <cfRule type="cellIs" dxfId="1174" priority="793" operator="between">
      <formula>9</formula>
      <formula>9.9</formula>
    </cfRule>
    <cfRule type="cellIs" dxfId="1173" priority="794" stopIfTrue="1" operator="between">
      <formula>10</formula>
      <formula>10</formula>
    </cfRule>
    <cfRule type="containsBlanks" dxfId="1172" priority="795" stopIfTrue="1">
      <formula>LEN(TRIM(B261))=0</formula>
    </cfRule>
  </conditionalFormatting>
  <conditionalFormatting sqref="B272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71" priority="747" operator="between">
      <formula>6</formula>
      <formula>6.9</formula>
    </cfRule>
    <cfRule type="cellIs" dxfId="1170" priority="748" operator="between">
      <formula>10.1</formula>
      <formula>10.6</formula>
    </cfRule>
    <cfRule type="cellIs" dxfId="1169" priority="749" operator="between">
      <formula>7</formula>
      <formula>7.9</formula>
    </cfRule>
    <cfRule type="cellIs" dxfId="1168" priority="750" stopIfTrue="1" operator="between">
      <formula>8</formula>
      <formula>8.9</formula>
    </cfRule>
    <cfRule type="cellIs" dxfId="1167" priority="751" operator="between">
      <formula>9</formula>
      <formula>9.9</formula>
    </cfRule>
    <cfRule type="cellIs" dxfId="1166" priority="752" stopIfTrue="1" operator="between">
      <formula>10</formula>
      <formula>10</formula>
    </cfRule>
    <cfRule type="containsBlanks" dxfId="1165" priority="753" stopIfTrue="1">
      <formula>LEN(TRIM(B273))=0</formula>
    </cfRule>
  </conditionalFormatting>
  <conditionalFormatting sqref="B279"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164" priority="699" operator="between">
      <formula>6</formula>
      <formula>6.9</formula>
    </cfRule>
    <cfRule type="cellIs" dxfId="1163" priority="700" operator="between">
      <formula>10.1</formula>
      <formula>10.6</formula>
    </cfRule>
    <cfRule type="cellIs" dxfId="1162" priority="701" operator="between">
      <formula>7</formula>
      <formula>7.9</formula>
    </cfRule>
    <cfRule type="cellIs" dxfId="1161" priority="702" stopIfTrue="1" operator="between">
      <formula>8</formula>
      <formula>8.9</formula>
    </cfRule>
    <cfRule type="cellIs" dxfId="1160" priority="703" operator="between">
      <formula>9</formula>
      <formula>9.9</formula>
    </cfRule>
    <cfRule type="cellIs" dxfId="1159" priority="704" stopIfTrue="1" operator="between">
      <formula>10</formula>
      <formula>10</formula>
    </cfRule>
    <cfRule type="containsBlanks" dxfId="1158" priority="705" stopIfTrue="1">
      <formula>LEN(TRIM(B280))=0</formula>
    </cfRule>
  </conditionalFormatting>
  <conditionalFormatting sqref="B309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157" priority="588" operator="between">
      <formula>6</formula>
      <formula>6.9</formula>
    </cfRule>
    <cfRule type="cellIs" dxfId="1156" priority="589" operator="between">
      <formula>10.1</formula>
      <formula>10.6</formula>
    </cfRule>
    <cfRule type="cellIs" dxfId="1155" priority="590" operator="between">
      <formula>7</formula>
      <formula>7.9</formula>
    </cfRule>
    <cfRule type="cellIs" dxfId="1154" priority="591" stopIfTrue="1" operator="between">
      <formula>8</formula>
      <formula>8.9</formula>
    </cfRule>
    <cfRule type="cellIs" dxfId="1153" priority="592" operator="between">
      <formula>9</formula>
      <formula>9.9</formula>
    </cfRule>
    <cfRule type="cellIs" dxfId="1152" priority="593" stopIfTrue="1" operator="between">
      <formula>10</formula>
      <formula>10</formula>
    </cfRule>
    <cfRule type="containsBlanks" dxfId="1151" priority="594" stopIfTrue="1">
      <formula>LEN(TRIM(B310))=0</formula>
    </cfRule>
  </conditionalFormatting>
  <conditionalFormatting sqref="B322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150" priority="522" stopIfTrue="1">
      <formula>LEN(TRIM(B323))=0</formula>
    </cfRule>
    <cfRule type="cellIs" dxfId="1149" priority="523" operator="lessThan">
      <formula>2</formula>
    </cfRule>
    <cfRule type="cellIs" dxfId="1148" priority="524" operator="between">
      <formula>2</formula>
      <formula>4.9</formula>
    </cfRule>
    <cfRule type="cellIs" dxfId="1147" priority="525" operator="between">
      <formula>5</formula>
      <formula>6.9</formula>
    </cfRule>
    <cfRule type="cellIs" dxfId="1146" priority="526" operator="between">
      <formula>10.1</formula>
      <formula>10.6</formula>
    </cfRule>
    <cfRule type="cellIs" dxfId="1145" priority="527" operator="between">
      <formula>7</formula>
      <formula>7.9</formula>
    </cfRule>
    <cfRule type="cellIs" dxfId="1144" priority="528" stopIfTrue="1" operator="between">
      <formula>8</formula>
      <formula>8.9</formula>
    </cfRule>
    <cfRule type="cellIs" dxfId="1143" priority="529" operator="between">
      <formula>9</formula>
      <formula>9.9</formula>
    </cfRule>
    <cfRule type="cellIs" dxfId="1142" priority="530" stopIfTrue="1" operator="between">
      <formula>10</formula>
      <formula>10</formula>
    </cfRule>
  </conditionalFormatting>
  <conditionalFormatting sqref="B343"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141" priority="436" stopIfTrue="1">
      <formula>LEN(TRIM(B344))=0</formula>
    </cfRule>
    <cfRule type="cellIs" dxfId="1140" priority="437" operator="lessThan">
      <formula>2</formula>
    </cfRule>
    <cfRule type="cellIs" dxfId="1139" priority="438" operator="between">
      <formula>2</formula>
      <formula>4.9</formula>
    </cfRule>
    <cfRule type="cellIs" dxfId="1138" priority="439" operator="between">
      <formula>5</formula>
      <formula>6.9</formula>
    </cfRule>
    <cfRule type="cellIs" dxfId="1137" priority="440" operator="between">
      <formula>10.1</formula>
      <formula>10.6</formula>
    </cfRule>
    <cfRule type="cellIs" dxfId="1136" priority="441" operator="between">
      <formula>7</formula>
      <formula>7.9</formula>
    </cfRule>
    <cfRule type="cellIs" dxfId="1135" priority="442" stopIfTrue="1" operator="between">
      <formula>8</formula>
      <formula>8.9</formula>
    </cfRule>
    <cfRule type="cellIs" dxfId="1134" priority="443" operator="between">
      <formula>9</formula>
      <formula>9.9</formula>
    </cfRule>
    <cfRule type="cellIs" dxfId="1133" priority="444" stopIfTrue="1" operator="between">
      <formula>10</formula>
      <formula>10</formula>
    </cfRule>
  </conditionalFormatting>
  <conditionalFormatting sqref="B360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132" priority="299" stopIfTrue="1">
      <formula>LEN(TRIM(B380))=0</formula>
    </cfRule>
    <cfRule type="cellIs" dxfId="1131" priority="300" operator="lessThan">
      <formula>2</formula>
    </cfRule>
    <cfRule type="cellIs" dxfId="1130" priority="301" operator="between">
      <formula>2</formula>
      <formula>4.9</formula>
    </cfRule>
    <cfRule type="cellIs" dxfId="1129" priority="302" operator="between">
      <formula>5</formula>
      <formula>6.9</formula>
    </cfRule>
    <cfRule type="cellIs" dxfId="1128" priority="303" operator="between">
      <formula>10.1</formula>
      <formula>10.6</formula>
    </cfRule>
    <cfRule type="cellIs" dxfId="1127" priority="304" operator="between">
      <formula>7</formula>
      <formula>7.9</formula>
    </cfRule>
    <cfRule type="cellIs" dxfId="1126" priority="305" stopIfTrue="1" operator="between">
      <formula>8</formula>
      <formula>8.9</formula>
    </cfRule>
    <cfRule type="cellIs" dxfId="1125" priority="306" operator="between">
      <formula>9</formula>
      <formula>9.9</formula>
    </cfRule>
    <cfRule type="cellIs" dxfId="1124" priority="307" stopIfTrue="1" operator="between">
      <formula>10</formula>
      <formula>10</formula>
    </cfRule>
  </conditionalFormatting>
  <conditionalFormatting sqref="B389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123" priority="235" stopIfTrue="1">
      <formula>LEN(TRIM(B390))=0</formula>
    </cfRule>
    <cfRule type="cellIs" dxfId="1122" priority="236" operator="lessThan">
      <formula>2</formula>
    </cfRule>
    <cfRule type="cellIs" dxfId="1121" priority="237" operator="between">
      <formula>2</formula>
      <formula>4.9</formula>
    </cfRule>
    <cfRule type="cellIs" dxfId="1120" priority="238" operator="between">
      <formula>5</formula>
      <formula>6.9</formula>
    </cfRule>
    <cfRule type="cellIs" dxfId="1119" priority="239" operator="between">
      <formula>10.1</formula>
      <formula>10.6</formula>
    </cfRule>
    <cfRule type="cellIs" dxfId="1118" priority="240" operator="between">
      <formula>7</formula>
      <formula>7.9</formula>
    </cfRule>
    <cfRule type="cellIs" dxfId="1117" priority="241" stopIfTrue="1" operator="between">
      <formula>8</formula>
      <formula>8.9</formula>
    </cfRule>
    <cfRule type="cellIs" dxfId="1116" priority="242" operator="between">
      <formula>9</formula>
      <formula>9.9</formula>
    </cfRule>
    <cfRule type="cellIs" dxfId="1115" priority="243" stopIfTrue="1" operator="between">
      <formula>10</formula>
      <formula>10</formula>
    </cfRule>
  </conditionalFormatting>
  <conditionalFormatting sqref="B401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114" priority="189" stopIfTrue="1">
      <formula>LEN(TRIM(B402))=0</formula>
    </cfRule>
    <cfRule type="cellIs" dxfId="1113" priority="190" operator="lessThan">
      <formula>2</formula>
    </cfRule>
    <cfRule type="cellIs" dxfId="1112" priority="191" operator="between">
      <formula>2</formula>
      <formula>4.9</formula>
    </cfRule>
    <cfRule type="cellIs" dxfId="1111" priority="192" operator="between">
      <formula>5</formula>
      <formula>6.9</formula>
    </cfRule>
    <cfRule type="cellIs" dxfId="1110" priority="193" operator="between">
      <formula>10.1</formula>
      <formula>10.6</formula>
    </cfRule>
    <cfRule type="cellIs" dxfId="1109" priority="194" operator="between">
      <formula>7</formula>
      <formula>7.9</formula>
    </cfRule>
    <cfRule type="cellIs" dxfId="1108" priority="195" stopIfTrue="1" operator="between">
      <formula>8</formula>
      <formula>8.9</formula>
    </cfRule>
    <cfRule type="cellIs" dxfId="1107" priority="196" operator="between">
      <formula>9</formula>
      <formula>9.9</formula>
    </cfRule>
    <cfRule type="cellIs" dxfId="1106" priority="197" stopIfTrue="1" operator="between">
      <formula>10</formula>
      <formula>10</formula>
    </cfRule>
  </conditionalFormatting>
  <conditionalFormatting sqref="B409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105" priority="158" stopIfTrue="1">
      <formula>LEN(TRIM(B410))=0</formula>
    </cfRule>
    <cfRule type="cellIs" dxfId="1104" priority="159" operator="lessThan">
      <formula>2</formula>
    </cfRule>
    <cfRule type="cellIs" dxfId="1103" priority="160" operator="between">
      <formula>2</formula>
      <formula>4.9</formula>
    </cfRule>
    <cfRule type="cellIs" dxfId="1102" priority="161" operator="between">
      <formula>5</formula>
      <formula>6.9</formula>
    </cfRule>
    <cfRule type="cellIs" dxfId="1101" priority="162" operator="between">
      <formula>10.1</formula>
      <formula>10.6</formula>
    </cfRule>
    <cfRule type="cellIs" dxfId="1100" priority="163" operator="between">
      <formula>7</formula>
      <formula>7.9</formula>
    </cfRule>
    <cfRule type="cellIs" dxfId="1099" priority="164" stopIfTrue="1" operator="between">
      <formula>8</formula>
      <formula>8.9</formula>
    </cfRule>
    <cfRule type="cellIs" dxfId="1098" priority="165" operator="between">
      <formula>9</formula>
      <formula>9.9</formula>
    </cfRule>
    <cfRule type="cellIs" dxfId="1097" priority="166" stopIfTrue="1" operator="between">
      <formula>10</formula>
      <formula>10</formula>
    </cfRule>
  </conditionalFormatting>
  <conditionalFormatting sqref="B428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096" priority="47" stopIfTrue="1">
      <formula>LEN(TRIM(B429))=0</formula>
    </cfRule>
    <cfRule type="cellIs" dxfId="1095" priority="48" operator="lessThan">
      <formula>2</formula>
    </cfRule>
    <cfRule type="cellIs" dxfId="1094" priority="49" operator="between">
      <formula>2</formula>
      <formula>4.9</formula>
    </cfRule>
    <cfRule type="cellIs" dxfId="1093" priority="50" operator="between">
      <formula>5</formula>
      <formula>6.9</formula>
    </cfRule>
    <cfRule type="cellIs" dxfId="1092" priority="51" operator="between">
      <formula>10.1</formula>
      <formula>10.6</formula>
    </cfRule>
    <cfRule type="cellIs" dxfId="1091" priority="52" operator="between">
      <formula>7</formula>
      <formula>7.9</formula>
    </cfRule>
    <cfRule type="cellIs" dxfId="1090" priority="53" stopIfTrue="1" operator="between">
      <formula>8</formula>
      <formula>8.9</formula>
    </cfRule>
    <cfRule type="cellIs" dxfId="1089" priority="54" operator="between">
      <formula>9</formula>
      <formula>9.9</formula>
    </cfRule>
    <cfRule type="cellIs" dxfId="1088" priority="55" stopIfTrue="1" operator="between">
      <formula>10</formula>
      <formula>10</formula>
    </cfRule>
  </conditionalFormatting>
  <conditionalFormatting sqref="E3:E12">
    <cfRule type="cellIs" dxfId="1087" priority="1653" operator="between">
      <formula>10.1</formula>
      <formula>10.6</formula>
    </cfRule>
    <cfRule type="cellIs" dxfId="1086" priority="1654" operator="between">
      <formula>7</formula>
      <formula>7.9</formula>
    </cfRule>
    <cfRule type="cellIs" dxfId="1085" priority="1655" stopIfTrue="1" operator="between">
      <formula>8</formula>
      <formula>8.9</formula>
    </cfRule>
    <cfRule type="cellIs" dxfId="1084" priority="1656" operator="between">
      <formula>9</formula>
      <formula>9.9</formula>
    </cfRule>
    <cfRule type="cellIs" dxfId="1083" priority="1657" stopIfTrue="1" operator="between">
      <formula>10</formula>
      <formula>10</formula>
    </cfRule>
    <cfRule type="containsBlanks" dxfId="1082" priority="1658" stopIfTrue="1">
      <formula>LEN(TRIM(E3))=0</formula>
    </cfRule>
  </conditionalFormatting>
  <conditionalFormatting sqref="E15:E28">
    <cfRule type="cellIs" dxfId="1081" priority="963" operator="between">
      <formula>7</formula>
      <formula>7.9</formula>
    </cfRule>
    <cfRule type="cellIs" dxfId="1080" priority="964" stopIfTrue="1" operator="between">
      <formula>8</formula>
      <formula>8.9</formula>
    </cfRule>
    <cfRule type="cellIs" dxfId="1079" priority="965" operator="between">
      <formula>9</formula>
      <formula>9.9</formula>
    </cfRule>
    <cfRule type="cellIs" dxfId="1078" priority="966" stopIfTrue="1" operator="between">
      <formula>10</formula>
      <formula>10</formula>
    </cfRule>
    <cfRule type="containsBlanks" dxfId="1077" priority="967" stopIfTrue="1">
      <formula>LEN(TRIM(E15))=0</formula>
    </cfRule>
  </conditionalFormatting>
  <conditionalFormatting sqref="E16">
    <cfRule type="cellIs" dxfId="1076" priority="962" operator="between">
      <formula>10.1</formula>
      <formula>10.6</formula>
    </cfRule>
  </conditionalFormatting>
  <conditionalFormatting sqref="E31:E37">
    <cfRule type="cellIs" dxfId="1075" priority="1617" operator="between">
      <formula>10.1</formula>
      <formula>10.6</formula>
    </cfRule>
    <cfRule type="cellIs" dxfId="1074" priority="1618" operator="between">
      <formula>7</formula>
      <formula>7.9</formula>
    </cfRule>
    <cfRule type="cellIs" dxfId="1073" priority="1619" stopIfTrue="1" operator="between">
      <formula>8</formula>
      <formula>8.9</formula>
    </cfRule>
    <cfRule type="cellIs" dxfId="1072" priority="1620" operator="between">
      <formula>9</formula>
      <formula>9.9</formula>
    </cfRule>
    <cfRule type="cellIs" dxfId="1071" priority="1621" stopIfTrue="1" operator="between">
      <formula>10</formula>
      <formula>10</formula>
    </cfRule>
    <cfRule type="containsBlanks" dxfId="1070" priority="1622" stopIfTrue="1">
      <formula>LEN(TRIM(E31))=0</formula>
    </cfRule>
  </conditionalFormatting>
  <conditionalFormatting sqref="E39">
    <cfRule type="colorScale" priority="20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069" priority="1729" operator="between">
      <formula>7</formula>
      <formula>7.9</formula>
    </cfRule>
    <cfRule type="cellIs" dxfId="1068" priority="1730" stopIfTrue="1" operator="between">
      <formula>8</formula>
      <formula>8.9</formula>
    </cfRule>
    <cfRule type="cellIs" dxfId="1067" priority="1731" operator="between">
      <formula>9</formula>
      <formula>9.9</formula>
    </cfRule>
    <cfRule type="cellIs" dxfId="1066" priority="1732" stopIfTrue="1" operator="between">
      <formula>10</formula>
      <formula>10</formula>
    </cfRule>
  </conditionalFormatting>
  <conditionalFormatting sqref="E54"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065" priority="1599" operator="between">
      <formula>10.1</formula>
      <formula>10.6</formula>
    </cfRule>
    <cfRule type="cellIs" dxfId="1064" priority="1600" operator="between">
      <formula>7</formula>
      <formula>7.9</formula>
    </cfRule>
    <cfRule type="cellIs" dxfId="1063" priority="1601" stopIfTrue="1" operator="between">
      <formula>8</formula>
      <formula>8.9</formula>
    </cfRule>
    <cfRule type="cellIs" dxfId="1062" priority="1602" operator="between">
      <formula>9</formula>
      <formula>9.9</formula>
    </cfRule>
    <cfRule type="cellIs" dxfId="1061" priority="1603" stopIfTrue="1" operator="between">
      <formula>10</formula>
      <formula>10</formula>
    </cfRule>
    <cfRule type="containsBlanks" dxfId="1060" priority="1604" stopIfTrue="1">
      <formula>LEN(TRIM(E55))=0</formula>
    </cfRule>
  </conditionalFormatting>
  <conditionalFormatting sqref="E65">
    <cfRule type="colorScale" priority="15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059" priority="1532" operator="between">
      <formula>10.1</formula>
      <formula>10.6</formula>
    </cfRule>
    <cfRule type="cellIs" dxfId="1058" priority="1533" operator="between">
      <formula>7</formula>
      <formula>7.9</formula>
    </cfRule>
    <cfRule type="cellIs" dxfId="1057" priority="1534" stopIfTrue="1" operator="between">
      <formula>8</formula>
      <formula>8.9</formula>
    </cfRule>
    <cfRule type="cellIs" dxfId="1056" priority="1535" operator="between">
      <formula>9</formula>
      <formula>9.9</formula>
    </cfRule>
    <cfRule type="cellIs" dxfId="1055" priority="1536" stopIfTrue="1" operator="between">
      <formula>10</formula>
      <formula>10</formula>
    </cfRule>
    <cfRule type="containsBlanks" dxfId="1054" priority="1537" stopIfTrue="1">
      <formula>LEN(TRIM(E66))=0</formula>
    </cfRule>
  </conditionalFormatting>
  <conditionalFormatting sqref="E80">
    <cfRule type="colorScale" priority="1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0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053" priority="1453" operator="between">
      <formula>10.1</formula>
      <formula>10.6</formula>
    </cfRule>
    <cfRule type="cellIs" dxfId="1052" priority="1454" operator="between">
      <formula>7</formula>
      <formula>7.9</formula>
    </cfRule>
    <cfRule type="cellIs" dxfId="1051" priority="1455" stopIfTrue="1" operator="between">
      <formula>8</formula>
      <formula>8.9</formula>
    </cfRule>
    <cfRule type="cellIs" dxfId="1050" priority="1456" operator="between">
      <formula>9</formula>
      <formula>9.9</formula>
    </cfRule>
    <cfRule type="cellIs" dxfId="1049" priority="1457" stopIfTrue="1" operator="between">
      <formula>10</formula>
      <formula>10</formula>
    </cfRule>
    <cfRule type="containsBlanks" dxfId="1048" priority="1458" stopIfTrue="1">
      <formula>LEN(TRIM(E81))=0</formula>
    </cfRule>
  </conditionalFormatting>
  <conditionalFormatting sqref="E101">
    <cfRule type="colorScale" priority="1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47" priority="1375" operator="between">
      <formula>10.1</formula>
      <formula>10.6</formula>
    </cfRule>
    <cfRule type="cellIs" dxfId="1046" priority="1376" operator="between">
      <formula>7</formula>
      <formula>7.9</formula>
    </cfRule>
    <cfRule type="cellIs" dxfId="1045" priority="1377" stopIfTrue="1" operator="between">
      <formula>8</formula>
      <formula>8.9</formula>
    </cfRule>
    <cfRule type="cellIs" dxfId="1044" priority="1378" operator="between">
      <formula>9</formula>
      <formula>9.9</formula>
    </cfRule>
    <cfRule type="cellIs" dxfId="1043" priority="1379" stopIfTrue="1" operator="between">
      <formula>10</formula>
      <formula>10</formula>
    </cfRule>
    <cfRule type="containsBlanks" dxfId="1042" priority="1380" stopIfTrue="1">
      <formula>LEN(TRIM(E102))=0</formula>
    </cfRule>
  </conditionalFormatting>
  <conditionalFormatting sqref="E117"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041" priority="1308" operator="between">
      <formula>6</formula>
      <formula>6.9</formula>
    </cfRule>
    <cfRule type="cellIs" dxfId="1040" priority="1309" operator="between">
      <formula>10.1</formula>
      <formula>10.6</formula>
    </cfRule>
    <cfRule type="cellIs" dxfId="1039" priority="1310" operator="between">
      <formula>7</formula>
      <formula>7.9</formula>
    </cfRule>
    <cfRule type="cellIs" dxfId="1038" priority="1311" stopIfTrue="1" operator="between">
      <formula>8</formula>
      <formula>8.9</formula>
    </cfRule>
    <cfRule type="cellIs" dxfId="1037" priority="1312" operator="between">
      <formula>9</formula>
      <formula>9.9</formula>
    </cfRule>
    <cfRule type="cellIs" dxfId="1036" priority="1313" stopIfTrue="1" operator="between">
      <formula>10</formula>
      <formula>10</formula>
    </cfRule>
    <cfRule type="containsBlanks" dxfId="1035" priority="1314" stopIfTrue="1">
      <formula>LEN(TRIM(E118))=0</formula>
    </cfRule>
  </conditionalFormatting>
  <conditionalFormatting sqref="E128">
    <cfRule type="colorScale" priority="1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034" priority="1275" operator="between">
      <formula>6</formula>
      <formula>6.9</formula>
    </cfRule>
    <cfRule type="cellIs" dxfId="1033" priority="1276" operator="between">
      <formula>10.1</formula>
      <formula>10.6</formula>
    </cfRule>
    <cfRule type="cellIs" dxfId="1032" priority="1277" operator="between">
      <formula>7</formula>
      <formula>7.9</formula>
    </cfRule>
    <cfRule type="cellIs" dxfId="1031" priority="1278" stopIfTrue="1" operator="between">
      <formula>8</formula>
      <formula>8.9</formula>
    </cfRule>
    <cfRule type="cellIs" dxfId="1030" priority="1279" operator="between">
      <formula>9</formula>
      <formula>9.9</formula>
    </cfRule>
    <cfRule type="cellIs" dxfId="1029" priority="1280" stopIfTrue="1" operator="between">
      <formula>10</formula>
      <formula>10</formula>
    </cfRule>
    <cfRule type="containsBlanks" dxfId="1028" priority="1281" stopIfTrue="1">
      <formula>LEN(TRIM(E129))=0</formula>
    </cfRule>
  </conditionalFormatting>
  <conditionalFormatting sqref="E146">
    <cfRule type="colorScale" priority="11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027" priority="1188" operator="between">
      <formula>6</formula>
      <formula>6.9</formula>
    </cfRule>
    <cfRule type="cellIs" dxfId="1026" priority="1189" operator="between">
      <formula>10.1</formula>
      <formula>10.6</formula>
    </cfRule>
    <cfRule type="cellIs" dxfId="1025" priority="1190" operator="between">
      <formula>7</formula>
      <formula>7.9</formula>
    </cfRule>
    <cfRule type="cellIs" dxfId="1024" priority="1191" stopIfTrue="1" operator="between">
      <formula>8</formula>
      <formula>8.9</formula>
    </cfRule>
    <cfRule type="cellIs" dxfId="1023" priority="1192" operator="between">
      <formula>9</formula>
      <formula>9.9</formula>
    </cfRule>
    <cfRule type="cellIs" dxfId="1022" priority="1193" stopIfTrue="1" operator="between">
      <formula>10</formula>
      <formula>10</formula>
    </cfRule>
    <cfRule type="containsBlanks" dxfId="1021" priority="1194" stopIfTrue="1">
      <formula>LEN(TRIM(E147))=0</formula>
    </cfRule>
  </conditionalFormatting>
  <conditionalFormatting sqref="E161"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0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020" priority="1152" operator="between">
      <formula>6</formula>
      <formula>6.9</formula>
    </cfRule>
    <cfRule type="cellIs" dxfId="1019" priority="1153" operator="between">
      <formula>10.1</formula>
      <formula>10.6</formula>
    </cfRule>
    <cfRule type="cellIs" dxfId="1018" priority="1154" operator="between">
      <formula>7</formula>
      <formula>7.9</formula>
    </cfRule>
    <cfRule type="cellIs" dxfId="1017" priority="1155" stopIfTrue="1" operator="between">
      <formula>8</formula>
      <formula>8.9</formula>
    </cfRule>
    <cfRule type="cellIs" dxfId="1016" priority="1156" operator="between">
      <formula>9</formula>
      <formula>9.9</formula>
    </cfRule>
    <cfRule type="cellIs" dxfId="1015" priority="1157" stopIfTrue="1" operator="between">
      <formula>10</formula>
      <formula>10</formula>
    </cfRule>
    <cfRule type="containsBlanks" dxfId="1014" priority="1158" stopIfTrue="1">
      <formula>LEN(TRIM(E162))=0</formula>
    </cfRule>
  </conditionalFormatting>
  <conditionalFormatting sqref="E172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013" priority="1107" operator="between">
      <formula>6</formula>
      <formula>6.9</formula>
    </cfRule>
    <cfRule type="cellIs" dxfId="1012" priority="1108" operator="between">
      <formula>10.1</formula>
      <formula>10.6</formula>
    </cfRule>
    <cfRule type="cellIs" dxfId="1011" priority="1109" operator="between">
      <formula>7</formula>
      <formula>7.9</formula>
    </cfRule>
    <cfRule type="cellIs" dxfId="1010" priority="1110" stopIfTrue="1" operator="between">
      <formula>8</formula>
      <formula>8.9</formula>
    </cfRule>
    <cfRule type="cellIs" dxfId="1009" priority="1111" operator="between">
      <formula>9</formula>
      <formula>9.9</formula>
    </cfRule>
    <cfRule type="cellIs" dxfId="1008" priority="1112" stopIfTrue="1" operator="between">
      <formula>10</formula>
      <formula>10</formula>
    </cfRule>
    <cfRule type="containsBlanks" dxfId="1007" priority="1113" stopIfTrue="1">
      <formula>LEN(TRIM(E173))=0</formula>
    </cfRule>
  </conditionalFormatting>
  <conditionalFormatting sqref="E186">
    <cfRule type="colorScale" priority="1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006" priority="1045" operator="between">
      <formula>6</formula>
      <formula>6.9</formula>
    </cfRule>
    <cfRule type="cellIs" dxfId="1005" priority="1046" operator="between">
      <formula>10.1</formula>
      <formula>10.6</formula>
    </cfRule>
    <cfRule type="cellIs" dxfId="1004" priority="1047" operator="between">
      <formula>7</formula>
      <formula>7.9</formula>
    </cfRule>
    <cfRule type="cellIs" dxfId="1003" priority="1048" stopIfTrue="1" operator="between">
      <formula>8</formula>
      <formula>8.9</formula>
    </cfRule>
    <cfRule type="cellIs" dxfId="1002" priority="1049" operator="between">
      <formula>9</formula>
      <formula>9.9</formula>
    </cfRule>
    <cfRule type="cellIs" dxfId="1001" priority="1050" stopIfTrue="1" operator="between">
      <formula>10</formula>
      <formula>10</formula>
    </cfRule>
    <cfRule type="containsBlanks" dxfId="1000" priority="1051" stopIfTrue="1">
      <formula>LEN(TRIM(E187))=0</formula>
    </cfRule>
  </conditionalFormatting>
  <conditionalFormatting sqref="E201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999" priority="991" operator="between">
      <formula>6</formula>
      <formula>6.9</formula>
    </cfRule>
    <cfRule type="cellIs" dxfId="998" priority="992" operator="between">
      <formula>10.1</formula>
      <formula>11</formula>
    </cfRule>
    <cfRule type="cellIs" dxfId="997" priority="993" operator="between">
      <formula>7</formula>
      <formula>7.9</formula>
    </cfRule>
    <cfRule type="cellIs" dxfId="996" priority="994" stopIfTrue="1" operator="between">
      <formula>8</formula>
      <formula>8.9</formula>
    </cfRule>
    <cfRule type="cellIs" dxfId="995" priority="995" operator="between">
      <formula>9</formula>
      <formula>9.9</formula>
    </cfRule>
    <cfRule type="cellIs" dxfId="994" priority="996" stopIfTrue="1" operator="between">
      <formula>10</formula>
      <formula>10</formula>
    </cfRule>
    <cfRule type="containsBlanks" dxfId="993" priority="997" stopIfTrue="1">
      <formula>LEN(TRIM(E202))=0</formula>
    </cfRule>
  </conditionalFormatting>
  <conditionalFormatting sqref="E213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92" priority="946" operator="between">
      <formula>6</formula>
      <formula>6.9</formula>
    </cfRule>
    <cfRule type="cellIs" dxfId="991" priority="947" operator="between">
      <formula>10.1</formula>
      <formula>10.6</formula>
    </cfRule>
    <cfRule type="cellIs" dxfId="990" priority="948" operator="between">
      <formula>7</formula>
      <formula>7.9</formula>
    </cfRule>
    <cfRule type="cellIs" dxfId="989" priority="949" stopIfTrue="1" operator="between">
      <formula>8</formula>
      <formula>8.9</formula>
    </cfRule>
    <cfRule type="cellIs" dxfId="988" priority="950" operator="between">
      <formula>9</formula>
      <formula>9.9</formula>
    </cfRule>
    <cfRule type="cellIs" dxfId="987" priority="951" stopIfTrue="1" operator="between">
      <formula>10</formula>
      <formula>10</formula>
    </cfRule>
    <cfRule type="containsBlanks" dxfId="986" priority="952" stopIfTrue="1">
      <formula>LEN(TRIM(E214))=0</formula>
    </cfRule>
  </conditionalFormatting>
  <conditionalFormatting sqref="E229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985" priority="906" operator="between">
      <formula>6</formula>
      <formula>6.9</formula>
    </cfRule>
    <cfRule type="cellIs" dxfId="984" priority="907" operator="between">
      <formula>10.1</formula>
      <formula>10.6</formula>
    </cfRule>
    <cfRule type="cellIs" dxfId="983" priority="908" operator="between">
      <formula>7</formula>
      <formula>7.9</formula>
    </cfRule>
    <cfRule type="cellIs" dxfId="982" priority="909" stopIfTrue="1" operator="between">
      <formula>8</formula>
      <formula>8.9</formula>
    </cfRule>
    <cfRule type="cellIs" dxfId="981" priority="910" operator="between">
      <formula>9</formula>
      <formula>9.9</formula>
    </cfRule>
    <cfRule type="cellIs" dxfId="980" priority="911" stopIfTrue="1" operator="between">
      <formula>10</formula>
      <formula>10</formula>
    </cfRule>
    <cfRule type="containsBlanks" dxfId="979" priority="912" stopIfTrue="1">
      <formula>LEN(TRIM(E230))=0</formula>
    </cfRule>
  </conditionalFormatting>
  <conditionalFormatting sqref="E237"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978" priority="865" operator="between">
      <formula>6</formula>
      <formula>6.9</formula>
    </cfRule>
    <cfRule type="cellIs" dxfId="977" priority="866" operator="between">
      <formula>10.1</formula>
      <formula>10.6</formula>
    </cfRule>
    <cfRule type="cellIs" dxfId="976" priority="867" operator="between">
      <formula>7</formula>
      <formula>7.9</formula>
    </cfRule>
    <cfRule type="cellIs" dxfId="975" priority="868" stopIfTrue="1" operator="between">
      <formula>8</formula>
      <formula>8.9</formula>
    </cfRule>
    <cfRule type="cellIs" dxfId="974" priority="869" operator="between">
      <formula>9</formula>
      <formula>9.9</formula>
    </cfRule>
    <cfRule type="cellIs" dxfId="973" priority="870" stopIfTrue="1" operator="between">
      <formula>10</formula>
      <formula>10</formula>
    </cfRule>
    <cfRule type="containsBlanks" dxfId="972" priority="871" stopIfTrue="1">
      <formula>LEN(TRIM(E238))=0</formula>
    </cfRule>
  </conditionalFormatting>
  <conditionalFormatting sqref="E254">
    <cfRule type="colorScale" priority="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971" priority="771" operator="between">
      <formula>6</formula>
      <formula>6.9</formula>
    </cfRule>
    <cfRule type="cellIs" dxfId="970" priority="772" operator="between">
      <formula>10.1</formula>
      <formula>10.6</formula>
    </cfRule>
    <cfRule type="cellIs" dxfId="969" priority="773" operator="between">
      <formula>7</formula>
      <formula>7.9</formula>
    </cfRule>
    <cfRule type="cellIs" dxfId="968" priority="774" stopIfTrue="1" operator="between">
      <formula>8</formula>
      <formula>8.9</formula>
    </cfRule>
    <cfRule type="cellIs" dxfId="967" priority="775" operator="between">
      <formula>9</formula>
      <formula>9.9</formula>
    </cfRule>
    <cfRule type="cellIs" dxfId="966" priority="776" stopIfTrue="1" operator="between">
      <formula>10</formula>
      <formula>10</formula>
    </cfRule>
    <cfRule type="containsBlanks" dxfId="965" priority="777" stopIfTrue="1">
      <formula>LEN(TRIM(E267))=0</formula>
    </cfRule>
  </conditionalFormatting>
  <conditionalFormatting sqref="E278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964" priority="718" operator="between">
      <formula>6</formula>
      <formula>6.9</formula>
    </cfRule>
    <cfRule type="cellIs" dxfId="963" priority="719" operator="between">
      <formula>10.1</formula>
      <formula>10.6</formula>
    </cfRule>
    <cfRule type="cellIs" dxfId="962" priority="720" operator="between">
      <formula>7</formula>
      <formula>7.9</formula>
    </cfRule>
    <cfRule type="cellIs" dxfId="961" priority="721" stopIfTrue="1" operator="between">
      <formula>8</formula>
      <formula>8.9</formula>
    </cfRule>
    <cfRule type="cellIs" dxfId="960" priority="722" operator="between">
      <formula>9</formula>
      <formula>9.9</formula>
    </cfRule>
    <cfRule type="cellIs" dxfId="959" priority="723" stopIfTrue="1" operator="between">
      <formula>10</formula>
      <formula>10</formula>
    </cfRule>
    <cfRule type="containsBlanks" dxfId="958" priority="724" stopIfTrue="1">
      <formula>LEN(TRIM(E279))=0</formula>
    </cfRule>
  </conditionalFormatting>
  <conditionalFormatting sqref="E288"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957" priority="670" operator="between">
      <formula>6</formula>
      <formula>6.9</formula>
    </cfRule>
    <cfRule type="cellIs" dxfId="956" priority="671" operator="between">
      <formula>10.1</formula>
      <formula>10.6</formula>
    </cfRule>
    <cfRule type="cellIs" dxfId="955" priority="672" operator="between">
      <formula>7</formula>
      <formula>7.9</formula>
    </cfRule>
    <cfRule type="cellIs" dxfId="954" priority="673" stopIfTrue="1" operator="between">
      <formula>8</formula>
      <formula>8.9</formula>
    </cfRule>
    <cfRule type="cellIs" dxfId="953" priority="674" operator="between">
      <formula>9</formula>
      <formula>9.9</formula>
    </cfRule>
    <cfRule type="cellIs" dxfId="952" priority="675" stopIfTrue="1" operator="between">
      <formula>10</formula>
      <formula>10</formula>
    </cfRule>
    <cfRule type="containsBlanks" dxfId="951" priority="676" stopIfTrue="1">
      <formula>LEN(TRIM(E289))=0</formula>
    </cfRule>
  </conditionalFormatting>
  <conditionalFormatting sqref="E299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950" priority="619" operator="between">
      <formula>6</formula>
      <formula>6.9</formula>
    </cfRule>
    <cfRule type="cellIs" dxfId="949" priority="620" operator="between">
      <formula>10.1</formula>
      <formula>10.6</formula>
    </cfRule>
    <cfRule type="cellIs" dxfId="948" priority="621" operator="between">
      <formula>7</formula>
      <formula>7.9</formula>
    </cfRule>
    <cfRule type="cellIs" dxfId="947" priority="622" stopIfTrue="1" operator="between">
      <formula>8</formula>
      <formula>8.9</formula>
    </cfRule>
    <cfRule type="cellIs" dxfId="946" priority="623" operator="between">
      <formula>9</formula>
      <formula>9.9</formula>
    </cfRule>
    <cfRule type="cellIs" dxfId="945" priority="624" stopIfTrue="1" operator="between">
      <formula>10</formula>
      <formula>10</formula>
    </cfRule>
    <cfRule type="containsBlanks" dxfId="944" priority="625" stopIfTrue="1">
      <formula>LEN(TRIM(E300))=0</formula>
    </cfRule>
  </conditionalFormatting>
  <conditionalFormatting sqref="E310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943" priority="566" stopIfTrue="1">
      <formula>LEN(TRIM(E311))=0</formula>
    </cfRule>
    <cfRule type="cellIs" dxfId="942" priority="567" operator="lessThan">
      <formula>2</formula>
    </cfRule>
    <cfRule type="cellIs" dxfId="941" priority="568" operator="between">
      <formula>2</formula>
      <formula>4.9</formula>
    </cfRule>
    <cfRule type="cellIs" dxfId="940" priority="569" operator="between">
      <formula>5</formula>
      <formula>6.9</formula>
    </cfRule>
    <cfRule type="cellIs" dxfId="939" priority="570" operator="between">
      <formula>10.1</formula>
      <formula>10.6</formula>
    </cfRule>
    <cfRule type="cellIs" dxfId="938" priority="571" operator="between">
      <formula>7</formula>
      <formula>7.9</formula>
    </cfRule>
    <cfRule type="cellIs" dxfId="937" priority="572" stopIfTrue="1" operator="between">
      <formula>8</formula>
      <formula>8.9</formula>
    </cfRule>
    <cfRule type="cellIs" dxfId="936" priority="573" operator="between">
      <formula>9</formula>
      <formula>9.9</formula>
    </cfRule>
    <cfRule type="cellIs" dxfId="935" priority="574" stopIfTrue="1" operator="between">
      <formula>10</formula>
      <formula>10</formula>
    </cfRule>
  </conditionalFormatting>
  <conditionalFormatting sqref="E320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934" priority="557" stopIfTrue="1">
      <formula>LEN(TRIM(E321))=0</formula>
    </cfRule>
    <cfRule type="cellIs" dxfId="933" priority="558" operator="lessThan">
      <formula>2</formula>
    </cfRule>
    <cfRule type="cellIs" dxfId="932" priority="559" operator="between">
      <formula>2</formula>
      <formula>4.9</formula>
    </cfRule>
    <cfRule type="cellIs" dxfId="931" priority="560" operator="between">
      <formula>5</formula>
      <formula>6.9</formula>
    </cfRule>
    <cfRule type="cellIs" dxfId="930" priority="561" operator="between">
      <formula>10.1</formula>
      <formula>10.6</formula>
    </cfRule>
    <cfRule type="cellIs" dxfId="929" priority="562" operator="between">
      <formula>7</formula>
      <formula>7.9</formula>
    </cfRule>
    <cfRule type="cellIs" dxfId="928" priority="563" stopIfTrue="1" operator="between">
      <formula>8</formula>
      <formula>8.9</formula>
    </cfRule>
    <cfRule type="cellIs" dxfId="927" priority="564" operator="between">
      <formula>9</formula>
      <formula>9.9</formula>
    </cfRule>
    <cfRule type="cellIs" dxfId="926" priority="565" stopIfTrue="1" operator="between">
      <formula>10</formula>
      <formula>10</formula>
    </cfRule>
  </conditionalFormatting>
  <conditionalFormatting sqref="E328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925" priority="513" stopIfTrue="1">
      <formula>LEN(TRIM(E329))=0</formula>
    </cfRule>
    <cfRule type="cellIs" dxfId="924" priority="514" operator="lessThan">
      <formula>2</formula>
    </cfRule>
    <cfRule type="cellIs" dxfId="923" priority="515" operator="between">
      <formula>2</formula>
      <formula>4.9</formula>
    </cfRule>
    <cfRule type="cellIs" dxfId="922" priority="516" operator="between">
      <formula>5</formula>
      <formula>6.9</formula>
    </cfRule>
    <cfRule type="cellIs" dxfId="921" priority="517" operator="between">
      <formula>10.1</formula>
      <formula>10.6</formula>
    </cfRule>
    <cfRule type="cellIs" dxfId="920" priority="518" operator="between">
      <formula>7</formula>
      <formula>7.9</formula>
    </cfRule>
    <cfRule type="cellIs" dxfId="919" priority="519" stopIfTrue="1" operator="between">
      <formula>8</formula>
      <formula>8.9</formula>
    </cfRule>
    <cfRule type="cellIs" dxfId="918" priority="520" operator="between">
      <formula>9</formula>
      <formula>9.9</formula>
    </cfRule>
    <cfRule type="cellIs" dxfId="917" priority="521" stopIfTrue="1" operator="between">
      <formula>10</formula>
      <formula>10</formula>
    </cfRule>
  </conditionalFormatting>
  <conditionalFormatting sqref="E360"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916" priority="390" stopIfTrue="1">
      <formula>LEN(TRIM(E361))=0</formula>
    </cfRule>
    <cfRule type="cellIs" dxfId="915" priority="391" operator="lessThan">
      <formula>2</formula>
    </cfRule>
    <cfRule type="cellIs" dxfId="914" priority="392" operator="between">
      <formula>2</formula>
      <formula>4.9</formula>
    </cfRule>
    <cfRule type="cellIs" dxfId="913" priority="393" operator="between">
      <formula>5</formula>
      <formula>6.9</formula>
    </cfRule>
    <cfRule type="cellIs" dxfId="912" priority="394" operator="between">
      <formula>10.1</formula>
      <formula>10.6</formula>
    </cfRule>
    <cfRule type="cellIs" dxfId="911" priority="395" operator="between">
      <formula>7</formula>
      <formula>7.9</formula>
    </cfRule>
    <cfRule type="cellIs" dxfId="910" priority="396" stopIfTrue="1" operator="between">
      <formula>8</formula>
      <formula>8.9</formula>
    </cfRule>
    <cfRule type="cellIs" dxfId="909" priority="397" operator="between">
      <formula>9</formula>
      <formula>9.9</formula>
    </cfRule>
    <cfRule type="cellIs" dxfId="908" priority="398" stopIfTrue="1" operator="between">
      <formula>10</formula>
      <formula>10</formula>
    </cfRule>
  </conditionalFormatting>
  <conditionalFormatting sqref="E372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907" priority="344" stopIfTrue="1">
      <formula>LEN(TRIM(E373))=0</formula>
    </cfRule>
    <cfRule type="cellIs" dxfId="906" priority="345" operator="lessThan">
      <formula>2</formula>
    </cfRule>
    <cfRule type="cellIs" dxfId="905" priority="346" operator="between">
      <formula>2</formula>
      <formula>4.9</formula>
    </cfRule>
    <cfRule type="cellIs" dxfId="904" priority="347" operator="between">
      <formula>5</formula>
      <formula>6.9</formula>
    </cfRule>
    <cfRule type="cellIs" dxfId="903" priority="348" operator="between">
      <formula>10.1</formula>
      <formula>10.6</formula>
    </cfRule>
    <cfRule type="cellIs" dxfId="902" priority="349" operator="between">
      <formula>7</formula>
      <formula>7.9</formula>
    </cfRule>
    <cfRule type="cellIs" dxfId="901" priority="350" stopIfTrue="1" operator="between">
      <formula>8</formula>
      <formula>8.9</formula>
    </cfRule>
    <cfRule type="cellIs" dxfId="900" priority="351" operator="between">
      <formula>9</formula>
      <formula>9.9</formula>
    </cfRule>
    <cfRule type="cellIs" dxfId="899" priority="352" stopIfTrue="1" operator="between">
      <formula>10</formula>
      <formula>10</formula>
    </cfRule>
  </conditionalFormatting>
  <conditionalFormatting sqref="E383">
    <cfRule type="colorScale" priority="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898" priority="277" stopIfTrue="1">
      <formula>LEN(TRIM(E384))=0</formula>
    </cfRule>
    <cfRule type="cellIs" dxfId="897" priority="278" operator="lessThan">
      <formula>2</formula>
    </cfRule>
    <cfRule type="cellIs" dxfId="896" priority="279" operator="between">
      <formula>2</formula>
      <formula>4.9</formula>
    </cfRule>
    <cfRule type="cellIs" dxfId="895" priority="280" operator="between">
      <formula>5</formula>
      <formula>6.9</formula>
    </cfRule>
    <cfRule type="cellIs" dxfId="894" priority="281" operator="between">
      <formula>10.1</formula>
      <formula>10.6</formula>
    </cfRule>
    <cfRule type="cellIs" dxfId="893" priority="282" operator="between">
      <formula>7</formula>
      <formula>7.9</formula>
    </cfRule>
    <cfRule type="cellIs" dxfId="892" priority="283" stopIfTrue="1" operator="between">
      <formula>8</formula>
      <formula>8.9</formula>
    </cfRule>
    <cfRule type="cellIs" dxfId="891" priority="284" operator="between">
      <formula>9</formula>
      <formula>9.9</formula>
    </cfRule>
    <cfRule type="cellIs" dxfId="890" priority="285" stopIfTrue="1" operator="between">
      <formula>10</formula>
      <formula>10</formula>
    </cfRule>
  </conditionalFormatting>
  <conditionalFormatting sqref="E388"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889" priority="246" stopIfTrue="1">
      <formula>LEN(TRIM(E389))=0</formula>
    </cfRule>
    <cfRule type="cellIs" dxfId="888" priority="247" operator="lessThan">
      <formula>2</formula>
    </cfRule>
    <cfRule type="cellIs" dxfId="887" priority="248" operator="between">
      <formula>2</formula>
      <formula>4.9</formula>
    </cfRule>
    <cfRule type="cellIs" dxfId="886" priority="249" operator="between">
      <formula>5</formula>
      <formula>6.9</formula>
    </cfRule>
    <cfRule type="cellIs" dxfId="885" priority="250" operator="between">
      <formula>10.1</formula>
      <formula>10.6</formula>
    </cfRule>
    <cfRule type="cellIs" dxfId="884" priority="251" operator="between">
      <formula>7</formula>
      <formula>7.9</formula>
    </cfRule>
    <cfRule type="cellIs" dxfId="883" priority="252" stopIfTrue="1" operator="between">
      <formula>8</formula>
      <formula>8.9</formula>
    </cfRule>
    <cfRule type="cellIs" dxfId="882" priority="253" operator="between">
      <formula>9</formula>
      <formula>9.9</formula>
    </cfRule>
    <cfRule type="cellIs" dxfId="881" priority="254" stopIfTrue="1" operator="between">
      <formula>10</formula>
      <formula>10</formula>
    </cfRule>
  </conditionalFormatting>
  <conditionalFormatting sqref="E403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880" priority="169" stopIfTrue="1">
      <formula>LEN(TRIM(E404))=0</formula>
    </cfRule>
    <cfRule type="cellIs" dxfId="879" priority="170" operator="lessThan">
      <formula>2</formula>
    </cfRule>
    <cfRule type="cellIs" dxfId="878" priority="171" operator="between">
      <formula>2</formula>
      <formula>4.9</formula>
    </cfRule>
    <cfRule type="cellIs" dxfId="877" priority="172" operator="between">
      <formula>5</formula>
      <formula>6.9</formula>
    </cfRule>
    <cfRule type="cellIs" dxfId="876" priority="173" operator="between">
      <formula>10.1</formula>
      <formula>10.6</formula>
    </cfRule>
    <cfRule type="cellIs" dxfId="875" priority="174" operator="between">
      <formula>7</formula>
      <formula>7.9</formula>
    </cfRule>
    <cfRule type="cellIs" dxfId="874" priority="175" stopIfTrue="1" operator="between">
      <formula>8</formula>
      <formula>8.9</formula>
    </cfRule>
    <cfRule type="cellIs" dxfId="873" priority="176" operator="between">
      <formula>9</formula>
      <formula>9.9</formula>
    </cfRule>
    <cfRule type="cellIs" dxfId="872" priority="177" stopIfTrue="1" operator="between">
      <formula>10</formula>
      <formula>10</formula>
    </cfRule>
  </conditionalFormatting>
  <conditionalFormatting sqref="E415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871" priority="122" stopIfTrue="1">
      <formula>LEN(TRIM(E416))=0</formula>
    </cfRule>
    <cfRule type="cellIs" dxfId="870" priority="123" operator="lessThan">
      <formula>2</formula>
    </cfRule>
    <cfRule type="cellIs" dxfId="869" priority="124" operator="between">
      <formula>2</formula>
      <formula>4.9</formula>
    </cfRule>
    <cfRule type="cellIs" dxfId="868" priority="125" operator="between">
      <formula>5</formula>
      <formula>6.9</formula>
    </cfRule>
    <cfRule type="cellIs" dxfId="867" priority="126" operator="between">
      <formula>10.1</formula>
      <formula>10.6</formula>
    </cfRule>
    <cfRule type="cellIs" dxfId="866" priority="127" operator="between">
      <formula>7</formula>
      <formula>7.9</formula>
    </cfRule>
    <cfRule type="cellIs" dxfId="865" priority="128" stopIfTrue="1" operator="between">
      <formula>8</formula>
      <formula>8.9</formula>
    </cfRule>
    <cfRule type="cellIs" dxfId="864" priority="129" operator="between">
      <formula>9</formula>
      <formula>9.9</formula>
    </cfRule>
    <cfRule type="cellIs" dxfId="863" priority="130" stopIfTrue="1" operator="between">
      <formula>10</formula>
      <formula>10</formula>
    </cfRule>
  </conditionalFormatting>
  <conditionalFormatting sqref="E425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862" priority="58" stopIfTrue="1">
      <formula>LEN(TRIM(E426))=0</formula>
    </cfRule>
    <cfRule type="cellIs" dxfId="861" priority="59" operator="lessThan">
      <formula>2</formula>
    </cfRule>
    <cfRule type="cellIs" dxfId="860" priority="60" operator="between">
      <formula>2</formula>
      <formula>4.9</formula>
    </cfRule>
    <cfRule type="cellIs" dxfId="859" priority="61" operator="between">
      <formula>5</formula>
      <formula>6.9</formula>
    </cfRule>
    <cfRule type="cellIs" dxfId="858" priority="62" operator="between">
      <formula>10.1</formula>
      <formula>10.6</formula>
    </cfRule>
    <cfRule type="cellIs" dxfId="857" priority="63" operator="between">
      <formula>7</formula>
      <formula>7.9</formula>
    </cfRule>
    <cfRule type="cellIs" dxfId="856" priority="64" stopIfTrue="1" operator="between">
      <formula>8</formula>
      <formula>8.9</formula>
    </cfRule>
    <cfRule type="cellIs" dxfId="855" priority="65" operator="between">
      <formula>9</formula>
      <formula>9.9</formula>
    </cfRule>
    <cfRule type="cellIs" dxfId="854" priority="66" stopIfTrue="1" operator="between">
      <formula>10</formula>
      <formula>10</formula>
    </cfRule>
  </conditionalFormatting>
  <conditionalFormatting sqref="H3:H15">
    <cfRule type="cellIs" dxfId="853" priority="755" operator="between">
      <formula>7</formula>
      <formula>7.9</formula>
    </cfRule>
    <cfRule type="cellIs" dxfId="852" priority="756" stopIfTrue="1" operator="between">
      <formula>8</formula>
      <formula>8.9</formula>
    </cfRule>
    <cfRule type="cellIs" dxfId="851" priority="757" operator="between">
      <formula>9</formula>
      <formula>9.9</formula>
    </cfRule>
    <cfRule type="cellIs" dxfId="850" priority="758" stopIfTrue="1" operator="between">
      <formula>10</formula>
      <formula>10</formula>
    </cfRule>
  </conditionalFormatting>
  <conditionalFormatting sqref="H7">
    <cfRule type="cellIs" dxfId="849" priority="754" operator="between">
      <formula>10.1</formula>
      <formula>10.6</formula>
    </cfRule>
    <cfRule type="containsBlanks" dxfId="848" priority="759" stopIfTrue="1">
      <formula>LEN(TRIM(H7))=0</formula>
    </cfRule>
  </conditionalFormatting>
  <conditionalFormatting sqref="H18:H28">
    <cfRule type="cellIs" dxfId="847" priority="1749" operator="between">
      <formula>7</formula>
      <formula>7.9</formula>
    </cfRule>
    <cfRule type="cellIs" dxfId="846" priority="1750" stopIfTrue="1" operator="between">
      <formula>8</formula>
      <formula>8.9</formula>
    </cfRule>
    <cfRule type="cellIs" dxfId="845" priority="1751" operator="between">
      <formula>9</formula>
      <formula>9.9</formula>
    </cfRule>
    <cfRule type="cellIs" dxfId="844" priority="1752" stopIfTrue="1" operator="between">
      <formula>10</formula>
      <formula>10</formula>
    </cfRule>
  </conditionalFormatting>
  <conditionalFormatting sqref="H30">
    <cfRule type="colorScale" priority="2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43" priority="1611" operator="between">
      <formula>10.1</formula>
      <formula>10.6</formula>
    </cfRule>
    <cfRule type="cellIs" dxfId="842" priority="1612" operator="between">
      <formula>7</formula>
      <formula>7.9</formula>
    </cfRule>
    <cfRule type="cellIs" dxfId="841" priority="1613" stopIfTrue="1" operator="between">
      <formula>8</formula>
      <formula>8.9</formula>
    </cfRule>
    <cfRule type="cellIs" dxfId="840" priority="1614" operator="between">
      <formula>9</formula>
      <formula>9.9</formula>
    </cfRule>
    <cfRule type="cellIs" dxfId="839" priority="1615" stopIfTrue="1" operator="between">
      <formula>10</formula>
      <formula>10</formula>
    </cfRule>
    <cfRule type="containsBlanks" dxfId="838" priority="1616" stopIfTrue="1">
      <formula>LEN(TRIM(H31))=0</formula>
    </cfRule>
  </conditionalFormatting>
  <conditionalFormatting sqref="H47">
    <cfRule type="colorScale" priority="1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6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837" priority="1605" operator="between">
      <formula>10.1</formula>
      <formula>10.6</formula>
    </cfRule>
    <cfRule type="cellIs" dxfId="836" priority="1606" operator="between">
      <formula>7</formula>
      <formula>7.9</formula>
    </cfRule>
    <cfRule type="cellIs" dxfId="835" priority="1607" stopIfTrue="1" operator="between">
      <formula>8</formula>
      <formula>8.9</formula>
    </cfRule>
    <cfRule type="cellIs" dxfId="834" priority="1608" operator="between">
      <formula>9</formula>
      <formula>9.9</formula>
    </cfRule>
    <cfRule type="cellIs" dxfId="833" priority="1609" stopIfTrue="1" operator="between">
      <formula>10</formula>
      <formula>10</formula>
    </cfRule>
    <cfRule type="containsBlanks" dxfId="832" priority="1610" stopIfTrue="1">
      <formula>LEN(TRIM(H48))=0</formula>
    </cfRule>
  </conditionalFormatting>
  <conditionalFormatting sqref="H57"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831" priority="1477" operator="between">
      <formula>6</formula>
      <formula>6.9</formula>
    </cfRule>
    <cfRule type="cellIs" dxfId="830" priority="1478" operator="between">
      <formula>10.1</formula>
      <formula>10.6</formula>
    </cfRule>
    <cfRule type="cellIs" dxfId="829" priority="1479" operator="between">
      <formula>7</formula>
      <formula>7.9</formula>
    </cfRule>
    <cfRule type="cellIs" dxfId="828" priority="1480" stopIfTrue="1" operator="between">
      <formula>8</formula>
      <formula>8.9</formula>
    </cfRule>
    <cfRule type="cellIs" dxfId="827" priority="1481" operator="between">
      <formula>9</formula>
      <formula>9.9</formula>
    </cfRule>
    <cfRule type="cellIs" dxfId="826" priority="1482" stopIfTrue="1" operator="between">
      <formula>10</formula>
      <formula>10</formula>
    </cfRule>
    <cfRule type="containsBlanks" dxfId="825" priority="1483" stopIfTrue="1">
      <formula>LEN(TRIM(H58))=0</formula>
    </cfRule>
  </conditionalFormatting>
  <conditionalFormatting sqref="H69"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824" priority="1506" operator="between">
      <formula>10.1</formula>
      <formula>10.6</formula>
    </cfRule>
    <cfRule type="cellIs" dxfId="823" priority="1507" operator="between">
      <formula>7</formula>
      <formula>7.9</formula>
    </cfRule>
    <cfRule type="cellIs" dxfId="822" priority="1508" stopIfTrue="1" operator="between">
      <formula>8</formula>
      <formula>8.9</formula>
    </cfRule>
    <cfRule type="cellIs" dxfId="821" priority="1509" operator="between">
      <formula>9</formula>
      <formula>9.9</formula>
    </cfRule>
    <cfRule type="cellIs" dxfId="820" priority="1510" stopIfTrue="1" operator="between">
      <formula>10</formula>
      <formula>10</formula>
    </cfRule>
    <cfRule type="containsBlanks" dxfId="819" priority="1511" stopIfTrue="1">
      <formula>LEN(TRIM(H70))=0</formula>
    </cfRule>
  </conditionalFormatting>
  <conditionalFormatting sqref="H83">
    <cfRule type="colorScale" priority="1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818" priority="1430" operator="between">
      <formula>6</formula>
      <formula>6.9</formula>
    </cfRule>
    <cfRule type="cellIs" dxfId="817" priority="1431" operator="between">
      <formula>10.1</formula>
      <formula>10.6</formula>
    </cfRule>
    <cfRule type="cellIs" dxfId="816" priority="1432" operator="between">
      <formula>7</formula>
      <formula>7.9</formula>
    </cfRule>
    <cfRule type="cellIs" dxfId="815" priority="1433" stopIfTrue="1" operator="between">
      <formula>8</formula>
      <formula>8.9</formula>
    </cfRule>
    <cfRule type="cellIs" dxfId="814" priority="1434" operator="between">
      <formula>9</formula>
      <formula>9.9</formula>
    </cfRule>
    <cfRule type="cellIs" dxfId="813" priority="1435" stopIfTrue="1" operator="between">
      <formula>10</formula>
      <formula>10</formula>
    </cfRule>
    <cfRule type="containsBlanks" dxfId="812" priority="1436" stopIfTrue="1">
      <formula>LEN(TRIM(H84))=0</formula>
    </cfRule>
  </conditionalFormatting>
  <conditionalFormatting sqref="H97">
    <cfRule type="colorScale" priority="1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8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811" priority="1381" operator="between">
      <formula>6</formula>
      <formula>6.9</formula>
    </cfRule>
    <cfRule type="cellIs" dxfId="810" priority="1382" operator="between">
      <formula>10.1</formula>
      <formula>10.6</formula>
    </cfRule>
    <cfRule type="cellIs" dxfId="809" priority="1383" operator="between">
      <formula>7</formula>
      <formula>7.9</formula>
    </cfRule>
    <cfRule type="cellIs" dxfId="808" priority="1384" stopIfTrue="1" operator="between">
      <formula>8</formula>
      <formula>8.9</formula>
    </cfRule>
    <cfRule type="cellIs" dxfId="807" priority="1385" operator="between">
      <formula>9</formula>
      <formula>9.9</formula>
    </cfRule>
    <cfRule type="cellIs" dxfId="806" priority="1386" stopIfTrue="1" operator="between">
      <formula>10</formula>
      <formula>10</formula>
    </cfRule>
    <cfRule type="containsBlanks" dxfId="805" priority="1387" stopIfTrue="1">
      <formula>LEN(TRIM(H98))=0</formula>
    </cfRule>
  </conditionalFormatting>
  <conditionalFormatting sqref="H110">
    <cfRule type="colorScale" priority="1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804" priority="1357" operator="between">
      <formula>10.1</formula>
      <formula>10.6</formula>
    </cfRule>
    <cfRule type="cellIs" dxfId="803" priority="1358" operator="between">
      <formula>7</formula>
      <formula>7.9</formula>
    </cfRule>
    <cfRule type="cellIs" dxfId="802" priority="1359" stopIfTrue="1" operator="between">
      <formula>8</formula>
      <formula>8.9</formula>
    </cfRule>
    <cfRule type="cellIs" dxfId="801" priority="1360" operator="between">
      <formula>9</formula>
      <formula>9.9</formula>
    </cfRule>
    <cfRule type="cellIs" dxfId="800" priority="1361" stopIfTrue="1" operator="between">
      <formula>10</formula>
      <formula>10</formula>
    </cfRule>
    <cfRule type="containsBlanks" dxfId="799" priority="1362" stopIfTrue="1">
      <formula>LEN(TRIM(H111))=0</formula>
    </cfRule>
  </conditionalFormatting>
  <conditionalFormatting sqref="H125">
    <cfRule type="colorScale" priority="1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98" priority="1284" operator="between">
      <formula>6</formula>
      <formula>6.9</formula>
    </cfRule>
    <cfRule type="cellIs" dxfId="797" priority="1285" operator="between">
      <formula>10.1</formula>
      <formula>10.6</formula>
    </cfRule>
    <cfRule type="cellIs" dxfId="796" priority="1286" operator="between">
      <formula>7</formula>
      <formula>7.9</formula>
    </cfRule>
    <cfRule type="cellIs" dxfId="795" priority="1287" stopIfTrue="1" operator="between">
      <formula>8</formula>
      <formula>8.9</formula>
    </cfRule>
    <cfRule type="cellIs" dxfId="794" priority="1288" operator="between">
      <formula>9</formula>
      <formula>9.9</formula>
    </cfRule>
    <cfRule type="cellIs" dxfId="793" priority="1289" stopIfTrue="1" operator="between">
      <formula>10</formula>
      <formula>10</formula>
    </cfRule>
    <cfRule type="containsBlanks" dxfId="792" priority="1290" stopIfTrue="1">
      <formula>LEN(TRIM(H126))=0</formula>
    </cfRule>
  </conditionalFormatting>
  <conditionalFormatting sqref="H131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91" priority="1251" operator="between">
      <formula>6</formula>
      <formula>6.9</formula>
    </cfRule>
    <cfRule type="cellIs" dxfId="790" priority="1252" operator="between">
      <formula>10.1</formula>
      <formula>10.6</formula>
    </cfRule>
    <cfRule type="cellIs" dxfId="789" priority="1253" operator="between">
      <formula>7</formula>
      <formula>7.9</formula>
    </cfRule>
    <cfRule type="cellIs" dxfId="788" priority="1254" stopIfTrue="1" operator="between">
      <formula>8</formula>
      <formula>8.9</formula>
    </cfRule>
    <cfRule type="cellIs" dxfId="787" priority="1255" operator="between">
      <formula>9</formula>
      <formula>9.9</formula>
    </cfRule>
    <cfRule type="cellIs" dxfId="786" priority="1256" stopIfTrue="1" operator="between">
      <formula>10</formula>
      <formula>10</formula>
    </cfRule>
    <cfRule type="containsBlanks" dxfId="785" priority="1257" stopIfTrue="1">
      <formula>LEN(TRIM(H132))=0</formula>
    </cfRule>
  </conditionalFormatting>
  <conditionalFormatting sqref="H149"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84" priority="1179" operator="between">
      <formula>6</formula>
      <formula>6.9</formula>
    </cfRule>
    <cfRule type="cellIs" dxfId="783" priority="1180" operator="between">
      <formula>10.1</formula>
      <formula>10.6</formula>
    </cfRule>
    <cfRule type="cellIs" dxfId="782" priority="1181" operator="between">
      <formula>7</formula>
      <formula>7.9</formula>
    </cfRule>
    <cfRule type="cellIs" dxfId="781" priority="1182" stopIfTrue="1" operator="between">
      <formula>8</formula>
      <formula>8.9</formula>
    </cfRule>
    <cfRule type="cellIs" dxfId="780" priority="1183" operator="between">
      <formula>9</formula>
      <formula>9.9</formula>
    </cfRule>
    <cfRule type="cellIs" dxfId="779" priority="1184" stopIfTrue="1" operator="between">
      <formula>10</formula>
      <formula>10</formula>
    </cfRule>
    <cfRule type="containsBlanks" dxfId="778" priority="1185" stopIfTrue="1">
      <formula>LEN(TRIM(H150))=0</formula>
    </cfRule>
  </conditionalFormatting>
  <conditionalFormatting sqref="H165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77" priority="1127" operator="between">
      <formula>6</formula>
      <formula>6.9</formula>
    </cfRule>
    <cfRule type="cellIs" dxfId="776" priority="1128" operator="between">
      <formula>10.1</formula>
      <formula>10.6</formula>
    </cfRule>
    <cfRule type="cellIs" dxfId="775" priority="1129" operator="between">
      <formula>7</formula>
      <formula>7.9</formula>
    </cfRule>
    <cfRule type="cellIs" dxfId="774" priority="1130" stopIfTrue="1" operator="between">
      <formula>8</formula>
      <formula>8.9</formula>
    </cfRule>
    <cfRule type="cellIs" dxfId="773" priority="1131" operator="between">
      <formula>9</formula>
      <formula>9.9</formula>
    </cfRule>
    <cfRule type="cellIs" dxfId="772" priority="1132" stopIfTrue="1" operator="between">
      <formula>10</formula>
      <formula>10</formula>
    </cfRule>
    <cfRule type="containsBlanks" dxfId="771" priority="1133" stopIfTrue="1">
      <formula>LEN(TRIM(H166))=0</formula>
    </cfRule>
  </conditionalFormatting>
  <conditionalFormatting sqref="H177">
    <cfRule type="colorScale" priority="10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70" priority="1078" operator="between">
      <formula>6</formula>
      <formula>6.9</formula>
    </cfRule>
    <cfRule type="cellIs" dxfId="769" priority="1079" operator="between">
      <formula>10.1</formula>
      <formula>10.6</formula>
    </cfRule>
    <cfRule type="cellIs" dxfId="768" priority="1080" operator="between">
      <formula>7</formula>
      <formula>7.9</formula>
    </cfRule>
    <cfRule type="cellIs" dxfId="767" priority="1081" stopIfTrue="1" operator="between">
      <formula>8</formula>
      <formula>8.9</formula>
    </cfRule>
    <cfRule type="cellIs" dxfId="766" priority="1082" operator="between">
      <formula>9</formula>
      <formula>9.9</formula>
    </cfRule>
    <cfRule type="cellIs" dxfId="765" priority="1083" stopIfTrue="1" operator="between">
      <formula>10</formula>
      <formula>10</formula>
    </cfRule>
    <cfRule type="containsBlanks" dxfId="764" priority="1084" stopIfTrue="1">
      <formula>LEN(TRIM(H178))=0</formula>
    </cfRule>
  </conditionalFormatting>
  <conditionalFormatting sqref="H191">
    <cfRule type="colorScale" priority="10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6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63" priority="1018" operator="between">
      <formula>6</formula>
      <formula>6.9</formula>
    </cfRule>
    <cfRule type="cellIs" dxfId="762" priority="1019" operator="between">
      <formula>10.1</formula>
      <formula>10.6</formula>
    </cfRule>
    <cfRule type="cellIs" dxfId="761" priority="1020" operator="between">
      <formula>7</formula>
      <formula>7.9</formula>
    </cfRule>
    <cfRule type="cellIs" dxfId="760" priority="1021" stopIfTrue="1" operator="between">
      <formula>8</formula>
      <formula>8.9</formula>
    </cfRule>
    <cfRule type="cellIs" dxfId="759" priority="1022" operator="between">
      <formula>9</formula>
      <formula>9.9</formula>
    </cfRule>
    <cfRule type="cellIs" dxfId="758" priority="1023" stopIfTrue="1" operator="between">
      <formula>10</formula>
      <formula>10</formula>
    </cfRule>
    <cfRule type="containsBlanks" dxfId="757" priority="1024" stopIfTrue="1">
      <formula>LEN(TRIM(H192))=0</formula>
    </cfRule>
  </conditionalFormatting>
  <conditionalFormatting sqref="H202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756" priority="979" operator="between">
      <formula>6</formula>
      <formula>6.9</formula>
    </cfRule>
    <cfRule type="cellIs" dxfId="755" priority="980" operator="between">
      <formula>10.1</formula>
      <formula>11</formula>
    </cfRule>
    <cfRule type="cellIs" dxfId="754" priority="981" operator="between">
      <formula>7</formula>
      <formula>7.9</formula>
    </cfRule>
    <cfRule type="cellIs" dxfId="753" priority="982" stopIfTrue="1" operator="between">
      <formula>8</formula>
      <formula>8.9</formula>
    </cfRule>
    <cfRule type="cellIs" dxfId="752" priority="983" operator="between">
      <formula>9</formula>
      <formula>9.9</formula>
    </cfRule>
    <cfRule type="cellIs" dxfId="751" priority="984" stopIfTrue="1" operator="between">
      <formula>10</formula>
      <formula>10</formula>
    </cfRule>
    <cfRule type="containsBlanks" dxfId="750" priority="985" stopIfTrue="1">
      <formula>LEN(TRIM(H203))=0</formula>
    </cfRule>
  </conditionalFormatting>
  <conditionalFormatting sqref="H215"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49" priority="928" operator="between">
      <formula>6</formula>
      <formula>6.9</formula>
    </cfRule>
    <cfRule type="cellIs" dxfId="748" priority="929" operator="between">
      <formula>10.1</formula>
      <formula>10.6</formula>
    </cfRule>
    <cfRule type="cellIs" dxfId="747" priority="930" operator="between">
      <formula>7</formula>
      <formula>7.9</formula>
    </cfRule>
    <cfRule type="cellIs" dxfId="746" priority="931" stopIfTrue="1" operator="between">
      <formula>8</formula>
      <formula>8.9</formula>
    </cfRule>
    <cfRule type="cellIs" dxfId="745" priority="932" operator="between">
      <formula>9</formula>
      <formula>9.9</formula>
    </cfRule>
    <cfRule type="cellIs" dxfId="744" priority="933" stopIfTrue="1" operator="between">
      <formula>10</formula>
      <formula>10</formula>
    </cfRule>
    <cfRule type="containsBlanks" dxfId="743" priority="934" stopIfTrue="1">
      <formula>LEN(TRIM(H216))=0</formula>
    </cfRule>
  </conditionalFormatting>
  <conditionalFormatting sqref="H229">
    <cfRule type="colorScale" priority="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742" priority="888" operator="between">
      <formula>6</formula>
      <formula>6.9</formula>
    </cfRule>
    <cfRule type="cellIs" dxfId="741" priority="889" operator="between">
      <formula>10.1</formula>
      <formula>10.6</formula>
    </cfRule>
    <cfRule type="cellIs" dxfId="740" priority="890" operator="between">
      <formula>7</formula>
      <formula>7.9</formula>
    </cfRule>
    <cfRule type="cellIs" dxfId="739" priority="891" stopIfTrue="1" operator="between">
      <formula>8</formula>
      <formula>8.9</formula>
    </cfRule>
    <cfRule type="cellIs" dxfId="738" priority="892" operator="between">
      <formula>9</formula>
      <formula>9.9</formula>
    </cfRule>
    <cfRule type="cellIs" dxfId="737" priority="893" stopIfTrue="1" operator="between">
      <formula>10</formula>
      <formula>10</formula>
    </cfRule>
    <cfRule type="containsBlanks" dxfId="736" priority="894" stopIfTrue="1">
      <formula>LEN(TRIM(H230))=0</formula>
    </cfRule>
  </conditionalFormatting>
  <conditionalFormatting sqref="H246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735" priority="838" operator="between">
      <formula>6</formula>
      <formula>6.9</formula>
    </cfRule>
    <cfRule type="cellIs" dxfId="734" priority="839" operator="between">
      <formula>10.1</formula>
      <formula>10.6</formula>
    </cfRule>
    <cfRule type="cellIs" dxfId="733" priority="840" operator="between">
      <formula>7</formula>
      <formula>7.9</formula>
    </cfRule>
    <cfRule type="cellIs" dxfId="732" priority="841" stopIfTrue="1" operator="between">
      <formula>8</formula>
      <formula>8.9</formula>
    </cfRule>
    <cfRule type="cellIs" dxfId="731" priority="842" operator="between">
      <formula>9</formula>
      <formula>9.9</formula>
    </cfRule>
    <cfRule type="cellIs" dxfId="730" priority="843" stopIfTrue="1" operator="between">
      <formula>10</formula>
      <formula>10</formula>
    </cfRule>
    <cfRule type="containsBlanks" dxfId="729" priority="844" stopIfTrue="1">
      <formula>LEN(TRIM(H247))=0</formula>
    </cfRule>
  </conditionalFormatting>
  <conditionalFormatting sqref="H258">
    <cfRule type="colorScale" priority="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728" priority="798" operator="between">
      <formula>6</formula>
      <formula>6.9</formula>
    </cfRule>
    <cfRule type="cellIs" dxfId="727" priority="799" operator="between">
      <formula>10.1</formula>
      <formula>10.6</formula>
    </cfRule>
    <cfRule type="cellIs" dxfId="726" priority="800" operator="between">
      <formula>7</formula>
      <formula>7.9</formula>
    </cfRule>
    <cfRule type="cellIs" dxfId="725" priority="801" stopIfTrue="1" operator="between">
      <formula>8</formula>
      <formula>8.9</formula>
    </cfRule>
    <cfRule type="cellIs" dxfId="724" priority="802" operator="between">
      <formula>9</formula>
      <formula>9.9</formula>
    </cfRule>
    <cfRule type="cellIs" dxfId="723" priority="803" stopIfTrue="1" operator="between">
      <formula>10</formula>
      <formula>10</formula>
    </cfRule>
    <cfRule type="containsBlanks" dxfId="722" priority="804" stopIfTrue="1">
      <formula>LEN(TRIM(H259))=0</formula>
    </cfRule>
  </conditionalFormatting>
  <conditionalFormatting sqref="H265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721" priority="760" operator="between">
      <formula>6</formula>
      <formula>6.9</formula>
    </cfRule>
    <cfRule type="cellIs" dxfId="720" priority="761" operator="between">
      <formula>10.1</formula>
      <formula>10.6</formula>
    </cfRule>
    <cfRule type="cellIs" dxfId="719" priority="762" operator="between">
      <formula>7</formula>
      <formula>7.9</formula>
    </cfRule>
    <cfRule type="cellIs" dxfId="718" priority="763" stopIfTrue="1" operator="between">
      <formula>8</formula>
      <formula>8.9</formula>
    </cfRule>
    <cfRule type="cellIs" dxfId="717" priority="764" operator="between">
      <formula>9</formula>
      <formula>9.9</formula>
    </cfRule>
    <cfRule type="cellIs" dxfId="716" priority="765" stopIfTrue="1" operator="between">
      <formula>10</formula>
      <formula>10</formula>
    </cfRule>
    <cfRule type="containsBlanks" dxfId="715" priority="766" stopIfTrue="1">
      <formula>LEN(TRIM(H266))=0</formula>
    </cfRule>
  </conditionalFormatting>
  <conditionalFormatting sqref="H276"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714" priority="736" operator="between">
      <formula>6</formula>
      <formula>6.9</formula>
    </cfRule>
    <cfRule type="cellIs" dxfId="713" priority="737" operator="between">
      <formula>10.1</formula>
      <formula>10.6</formula>
    </cfRule>
    <cfRule type="cellIs" dxfId="712" priority="738" operator="between">
      <formula>7</formula>
      <formula>7.9</formula>
    </cfRule>
    <cfRule type="cellIs" dxfId="711" priority="739" stopIfTrue="1" operator="between">
      <formula>8</formula>
      <formula>8.9</formula>
    </cfRule>
    <cfRule type="cellIs" dxfId="710" priority="740" operator="between">
      <formula>9</formula>
      <formula>9.9</formula>
    </cfRule>
    <cfRule type="cellIs" dxfId="709" priority="741" stopIfTrue="1" operator="between">
      <formula>10</formula>
      <formula>10</formula>
    </cfRule>
    <cfRule type="containsBlanks" dxfId="708" priority="742" stopIfTrue="1">
      <formula>LEN(TRIM(H277))=0</formula>
    </cfRule>
  </conditionalFormatting>
  <conditionalFormatting sqref="H288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707" priority="661" operator="between">
      <formula>6</formula>
      <formula>6.9</formula>
    </cfRule>
    <cfRule type="cellIs" dxfId="706" priority="662" operator="between">
      <formula>10.1</formula>
      <formula>10.6</formula>
    </cfRule>
    <cfRule type="cellIs" dxfId="705" priority="663" operator="between">
      <formula>7</formula>
      <formula>7.9</formula>
    </cfRule>
    <cfRule type="cellIs" dxfId="704" priority="664" stopIfTrue="1" operator="between">
      <formula>8</formula>
      <formula>8.9</formula>
    </cfRule>
    <cfRule type="cellIs" dxfId="703" priority="665" operator="between">
      <formula>9</formula>
      <formula>9.9</formula>
    </cfRule>
    <cfRule type="cellIs" dxfId="702" priority="666" stopIfTrue="1" operator="between">
      <formula>10</formula>
      <formula>10</formula>
    </cfRule>
    <cfRule type="containsBlanks" dxfId="701" priority="667" stopIfTrue="1">
      <formula>LEN(TRIM(H289))=0</formula>
    </cfRule>
  </conditionalFormatting>
  <conditionalFormatting sqref="H296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700" priority="650" stopIfTrue="1">
      <formula>LEN(TRIM(H297))=0</formula>
    </cfRule>
    <cfRule type="cellIs" dxfId="699" priority="651" operator="lessThan">
      <formula>2</formula>
    </cfRule>
    <cfRule type="cellIs" dxfId="698" priority="652" operator="between">
      <formula>2</formula>
      <formula>4.9</formula>
    </cfRule>
    <cfRule type="cellIs" dxfId="697" priority="653" operator="between">
      <formula>5</formula>
      <formula>6.9</formula>
    </cfRule>
    <cfRule type="cellIs" dxfId="696" priority="654" operator="between">
      <formula>10.1</formula>
      <formula>10.6</formula>
    </cfRule>
    <cfRule type="cellIs" dxfId="695" priority="655" operator="between">
      <formula>7</formula>
      <formula>7.9</formula>
    </cfRule>
    <cfRule type="cellIs" dxfId="694" priority="656" stopIfTrue="1" operator="between">
      <formula>8</formula>
      <formula>8.9</formula>
    </cfRule>
    <cfRule type="cellIs" dxfId="693" priority="657" operator="between">
      <formula>9</formula>
      <formula>9.9</formula>
    </cfRule>
    <cfRule type="cellIs" dxfId="692" priority="658" stopIfTrue="1" operator="between">
      <formula>10</formula>
      <formula>10</formula>
    </cfRule>
  </conditionalFormatting>
  <conditionalFormatting sqref="H309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691" priority="577" stopIfTrue="1">
      <formula>LEN(TRIM(H310))=0</formula>
    </cfRule>
    <cfRule type="cellIs" dxfId="690" priority="578" operator="lessThan">
      <formula>2</formula>
    </cfRule>
    <cfRule type="cellIs" dxfId="689" priority="579" operator="between">
      <formula>2</formula>
      <formula>4.9</formula>
    </cfRule>
    <cfRule type="cellIs" dxfId="688" priority="580" operator="between">
      <formula>5</formula>
      <formula>6.9</formula>
    </cfRule>
    <cfRule type="cellIs" dxfId="687" priority="581" operator="between">
      <formula>10.1</formula>
      <formula>10.6</formula>
    </cfRule>
    <cfRule type="cellIs" dxfId="686" priority="582" operator="between">
      <formula>7</formula>
      <formula>7.9</formula>
    </cfRule>
    <cfRule type="cellIs" dxfId="685" priority="583" stopIfTrue="1" operator="between">
      <formula>8</formula>
      <formula>8.9</formula>
    </cfRule>
    <cfRule type="cellIs" dxfId="684" priority="584" operator="between">
      <formula>9</formula>
      <formula>9.9</formula>
    </cfRule>
    <cfRule type="cellIs" dxfId="683" priority="585" stopIfTrue="1" operator="between">
      <formula>10</formula>
      <formula>10</formula>
    </cfRule>
  </conditionalFormatting>
  <conditionalFormatting sqref="H329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682" priority="478" stopIfTrue="1">
      <formula>LEN(TRIM(H330))=0</formula>
    </cfRule>
    <cfRule type="cellIs" dxfId="681" priority="479" operator="lessThan">
      <formula>2</formula>
    </cfRule>
    <cfRule type="cellIs" dxfId="680" priority="480" operator="between">
      <formula>2</formula>
      <formula>4.9</formula>
    </cfRule>
    <cfRule type="cellIs" dxfId="679" priority="481" operator="between">
      <formula>5</formula>
      <formula>6.9</formula>
    </cfRule>
    <cfRule type="cellIs" dxfId="678" priority="482" operator="between">
      <formula>10.1</formula>
      <formula>10.6</formula>
    </cfRule>
    <cfRule type="cellIs" dxfId="677" priority="483" operator="between">
      <formula>7</formula>
      <formula>7.9</formula>
    </cfRule>
    <cfRule type="cellIs" dxfId="676" priority="484" stopIfTrue="1" operator="between">
      <formula>8</formula>
      <formula>8.9</formula>
    </cfRule>
    <cfRule type="cellIs" dxfId="675" priority="485" operator="between">
      <formula>9</formula>
      <formula>9.9</formula>
    </cfRule>
    <cfRule type="cellIs" dxfId="674" priority="486" stopIfTrue="1" operator="between">
      <formula>10</formula>
      <formula>10</formula>
    </cfRule>
  </conditionalFormatting>
  <conditionalFormatting sqref="H339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673" priority="458" stopIfTrue="1">
      <formula>LEN(TRIM(H340))=0</formula>
    </cfRule>
    <cfRule type="cellIs" dxfId="672" priority="459" operator="lessThan">
      <formula>2</formula>
    </cfRule>
    <cfRule type="cellIs" dxfId="671" priority="460" operator="between">
      <formula>2</formula>
      <formula>4.9</formula>
    </cfRule>
    <cfRule type="cellIs" dxfId="670" priority="461" operator="between">
      <formula>5</formula>
      <formula>6.9</formula>
    </cfRule>
    <cfRule type="cellIs" dxfId="669" priority="462" operator="between">
      <formula>10.1</formula>
      <formula>10.6</formula>
    </cfRule>
    <cfRule type="cellIs" dxfId="668" priority="463" operator="between">
      <formula>7</formula>
      <formula>7.9</formula>
    </cfRule>
    <cfRule type="cellIs" dxfId="667" priority="464" stopIfTrue="1" operator="between">
      <formula>8</formula>
      <formula>8.9</formula>
    </cfRule>
    <cfRule type="cellIs" dxfId="666" priority="465" operator="between">
      <formula>9</formula>
      <formula>9.9</formula>
    </cfRule>
    <cfRule type="cellIs" dxfId="665" priority="466" stopIfTrue="1" operator="between">
      <formula>10</formula>
      <formula>10</formula>
    </cfRule>
  </conditionalFormatting>
  <conditionalFormatting sqref="H353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664" priority="425" stopIfTrue="1">
      <formula>LEN(TRIM(H354))=0</formula>
    </cfRule>
    <cfRule type="cellIs" dxfId="663" priority="426" operator="lessThan">
      <formula>2</formula>
    </cfRule>
    <cfRule type="cellIs" dxfId="662" priority="427" operator="between">
      <formula>2</formula>
      <formula>4.9</formula>
    </cfRule>
    <cfRule type="cellIs" dxfId="661" priority="428" operator="between">
      <formula>5</formula>
      <formula>6.9</formula>
    </cfRule>
    <cfRule type="cellIs" dxfId="660" priority="429" operator="between">
      <formula>10.1</formula>
      <formula>10.6</formula>
    </cfRule>
    <cfRule type="cellIs" dxfId="659" priority="430" operator="between">
      <formula>7</formula>
      <formula>7.9</formula>
    </cfRule>
    <cfRule type="cellIs" dxfId="658" priority="431" stopIfTrue="1" operator="between">
      <formula>8</formula>
      <formula>8.9</formula>
    </cfRule>
    <cfRule type="cellIs" dxfId="657" priority="432" operator="between">
      <formula>9</formula>
      <formula>9.9</formula>
    </cfRule>
    <cfRule type="cellIs" dxfId="656" priority="433" stopIfTrue="1" operator="between">
      <formula>10</formula>
      <formula>10</formula>
    </cfRule>
  </conditionalFormatting>
  <conditionalFormatting sqref="H365"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8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655" priority="379" stopIfTrue="1">
      <formula>LEN(TRIM(H366))=0</formula>
    </cfRule>
    <cfRule type="cellIs" dxfId="654" priority="380" operator="lessThan">
      <formula>2</formula>
    </cfRule>
    <cfRule type="cellIs" dxfId="653" priority="381" operator="between">
      <formula>2</formula>
      <formula>4.9</formula>
    </cfRule>
    <cfRule type="cellIs" dxfId="652" priority="382" operator="between">
      <formula>5</formula>
      <formula>6.9</formula>
    </cfRule>
    <cfRule type="cellIs" dxfId="651" priority="383" operator="between">
      <formula>10.1</formula>
      <formula>10.6</formula>
    </cfRule>
    <cfRule type="cellIs" dxfId="650" priority="384" operator="between">
      <formula>7</formula>
      <formula>7.9</formula>
    </cfRule>
    <cfRule type="cellIs" dxfId="649" priority="385" stopIfTrue="1" operator="between">
      <formula>8</formula>
      <formula>8.9</formula>
    </cfRule>
    <cfRule type="cellIs" dxfId="648" priority="386" operator="between">
      <formula>9</formula>
      <formula>9.9</formula>
    </cfRule>
    <cfRule type="cellIs" dxfId="647" priority="387" stopIfTrue="1" operator="between">
      <formula>10</formula>
      <formula>10</formula>
    </cfRule>
  </conditionalFormatting>
  <conditionalFormatting sqref="H374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646" priority="331" stopIfTrue="1">
      <formula>LEN(TRIM(H375))=0</formula>
    </cfRule>
    <cfRule type="cellIs" dxfId="645" priority="332" operator="lessThan">
      <formula>2</formula>
    </cfRule>
    <cfRule type="cellIs" dxfId="644" priority="333" operator="between">
      <formula>2</formula>
      <formula>4.9</formula>
    </cfRule>
    <cfRule type="cellIs" dxfId="643" priority="334" operator="between">
      <formula>5</formula>
      <formula>6.9</formula>
    </cfRule>
    <cfRule type="cellIs" dxfId="642" priority="335" operator="between">
      <formula>10.1</formula>
      <formula>10.6</formula>
    </cfRule>
    <cfRule type="cellIs" dxfId="641" priority="336" operator="between">
      <formula>7</formula>
      <formula>7.9</formula>
    </cfRule>
    <cfRule type="cellIs" dxfId="640" priority="337" stopIfTrue="1" operator="between">
      <formula>8</formula>
      <formula>8.9</formula>
    </cfRule>
    <cfRule type="cellIs" dxfId="639" priority="338" operator="between">
      <formula>9</formula>
      <formula>9.9</formula>
    </cfRule>
    <cfRule type="cellIs" dxfId="638" priority="339" stopIfTrue="1" operator="between">
      <formula>10</formula>
      <formula>10</formula>
    </cfRule>
  </conditionalFormatting>
  <conditionalFormatting sqref="H387"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637" priority="255" stopIfTrue="1">
      <formula>LEN(TRIM(H388))=0</formula>
    </cfRule>
    <cfRule type="cellIs" dxfId="636" priority="256" operator="lessThan">
      <formula>2</formula>
    </cfRule>
    <cfRule type="cellIs" dxfId="635" priority="257" operator="between">
      <formula>2</formula>
      <formula>4.9</formula>
    </cfRule>
    <cfRule type="cellIs" dxfId="634" priority="258" operator="between">
      <formula>5</formula>
      <formula>6.9</formula>
    </cfRule>
    <cfRule type="cellIs" dxfId="633" priority="259" operator="between">
      <formula>10.1</formula>
      <formula>10.6</formula>
    </cfRule>
    <cfRule type="cellIs" dxfId="632" priority="260" operator="between">
      <formula>7</formula>
      <formula>7.9</formula>
    </cfRule>
    <cfRule type="cellIs" dxfId="631" priority="261" stopIfTrue="1" operator="between">
      <formula>8</formula>
      <formula>8.9</formula>
    </cfRule>
    <cfRule type="cellIs" dxfId="630" priority="262" operator="between">
      <formula>9</formula>
      <formula>9.9</formula>
    </cfRule>
    <cfRule type="cellIs" dxfId="629" priority="263" stopIfTrue="1" operator="between">
      <formula>10</formula>
      <formula>10</formula>
    </cfRule>
  </conditionalFormatting>
  <conditionalFormatting sqref="H401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628" priority="180" stopIfTrue="1">
      <formula>LEN(TRIM(H402))=0</formula>
    </cfRule>
    <cfRule type="cellIs" dxfId="627" priority="181" operator="lessThan">
      <formula>2</formula>
    </cfRule>
    <cfRule type="cellIs" dxfId="626" priority="182" operator="between">
      <formula>2</formula>
      <formula>4.9</formula>
    </cfRule>
    <cfRule type="cellIs" dxfId="625" priority="183" operator="between">
      <formula>5</formula>
      <formula>6.9</formula>
    </cfRule>
    <cfRule type="cellIs" dxfId="624" priority="184" operator="between">
      <formula>10.1</formula>
      <formula>10.6</formula>
    </cfRule>
    <cfRule type="cellIs" dxfId="623" priority="185" operator="between">
      <formula>7</formula>
      <formula>7.9</formula>
    </cfRule>
    <cfRule type="cellIs" dxfId="622" priority="186" stopIfTrue="1" operator="between">
      <formula>8</formula>
      <formula>8.9</formula>
    </cfRule>
    <cfRule type="cellIs" dxfId="621" priority="187" operator="between">
      <formula>9</formula>
      <formula>9.9</formula>
    </cfRule>
    <cfRule type="cellIs" dxfId="620" priority="188" stopIfTrue="1" operator="between">
      <formula>10</formula>
      <formula>10</formula>
    </cfRule>
  </conditionalFormatting>
  <conditionalFormatting sqref="H415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619" priority="102" stopIfTrue="1">
      <formula>LEN(TRIM(H416))=0</formula>
    </cfRule>
    <cfRule type="cellIs" dxfId="618" priority="103" operator="lessThan">
      <formula>2</formula>
    </cfRule>
    <cfRule type="cellIs" dxfId="617" priority="104" operator="between">
      <formula>2</formula>
      <formula>4.9</formula>
    </cfRule>
    <cfRule type="cellIs" dxfId="616" priority="105" operator="between">
      <formula>5</formula>
      <formula>6.9</formula>
    </cfRule>
    <cfRule type="cellIs" dxfId="615" priority="106" operator="between">
      <formula>10.1</formula>
      <formula>10.6</formula>
    </cfRule>
    <cfRule type="cellIs" dxfId="614" priority="107" operator="between">
      <formula>7</formula>
      <formula>7.9</formula>
    </cfRule>
    <cfRule type="cellIs" dxfId="613" priority="108" stopIfTrue="1" operator="between">
      <formula>8</formula>
      <formula>8.9</formula>
    </cfRule>
    <cfRule type="cellIs" dxfId="612" priority="109" operator="between">
      <formula>9</formula>
      <formula>9.9</formula>
    </cfRule>
    <cfRule type="cellIs" dxfId="611" priority="110" stopIfTrue="1" operator="between">
      <formula>10</formula>
      <formula>10</formula>
    </cfRule>
  </conditionalFormatting>
  <conditionalFormatting sqref="H421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610" priority="80" stopIfTrue="1">
      <formula>LEN(TRIM(H422))=0</formula>
    </cfRule>
    <cfRule type="cellIs" dxfId="609" priority="81" operator="lessThan">
      <formula>2</formula>
    </cfRule>
    <cfRule type="cellIs" dxfId="608" priority="82" operator="between">
      <formula>2</formula>
      <formula>4.9</formula>
    </cfRule>
    <cfRule type="cellIs" dxfId="607" priority="83" operator="between">
      <formula>5</formula>
      <formula>6.9</formula>
    </cfRule>
    <cfRule type="cellIs" dxfId="606" priority="84" operator="between">
      <formula>10.1</formula>
      <formula>10.6</formula>
    </cfRule>
    <cfRule type="cellIs" dxfId="605" priority="85" operator="between">
      <formula>7</formula>
      <formula>7.9</formula>
    </cfRule>
    <cfRule type="cellIs" dxfId="604" priority="86" stopIfTrue="1" operator="between">
      <formula>8</formula>
      <formula>8.9</formula>
    </cfRule>
    <cfRule type="cellIs" dxfId="603" priority="87" operator="between">
      <formula>9</formula>
      <formula>9.9</formula>
    </cfRule>
    <cfRule type="cellIs" dxfId="602" priority="88" stopIfTrue="1" operator="between">
      <formula>10</formula>
      <formula>10</formula>
    </cfRule>
  </conditionalFormatting>
  <conditionalFormatting sqref="K3:K12">
    <cfRule type="cellIs" dxfId="601" priority="1647" operator="between">
      <formula>10.1</formula>
      <formula>10.6</formula>
    </cfRule>
    <cfRule type="cellIs" dxfId="600" priority="1648" operator="between">
      <formula>7</formula>
      <formula>7.9</formula>
    </cfRule>
    <cfRule type="cellIs" dxfId="599" priority="1649" stopIfTrue="1" operator="between">
      <formula>8</formula>
      <formula>8.9</formula>
    </cfRule>
    <cfRule type="cellIs" dxfId="598" priority="1650" operator="between">
      <formula>9</formula>
      <formula>9.9</formula>
    </cfRule>
    <cfRule type="cellIs" dxfId="597" priority="1651" stopIfTrue="1" operator="between">
      <formula>10</formula>
      <formula>10</formula>
    </cfRule>
    <cfRule type="containsBlanks" dxfId="596" priority="1652" stopIfTrue="1">
      <formula>LEN(TRIM(K3))=0</formula>
    </cfRule>
  </conditionalFormatting>
  <conditionalFormatting sqref="K15:K23">
    <cfRule type="cellIs" dxfId="595" priority="1055" operator="between">
      <formula>7</formula>
      <formula>7.9</formula>
    </cfRule>
    <cfRule type="cellIs" dxfId="594" priority="1056" stopIfTrue="1" operator="between">
      <formula>8</formula>
      <formula>8.9</formula>
    </cfRule>
    <cfRule type="cellIs" dxfId="593" priority="1057" operator="between">
      <formula>9</formula>
      <formula>9.9</formula>
    </cfRule>
    <cfRule type="cellIs" dxfId="592" priority="1058" stopIfTrue="1" operator="between">
      <formula>10</formula>
      <formula>10</formula>
    </cfRule>
  </conditionalFormatting>
  <conditionalFormatting sqref="K23">
    <cfRule type="cellIs" dxfId="591" priority="1054" operator="between">
      <formula>10.1</formula>
      <formula>10.6</formula>
    </cfRule>
    <cfRule type="containsBlanks" dxfId="590" priority="1059" stopIfTrue="1">
      <formula>LEN(TRIM(K23))=0</formula>
    </cfRule>
  </conditionalFormatting>
  <conditionalFormatting sqref="K26:K38">
    <cfRule type="cellIs" dxfId="589" priority="1682" operator="between">
      <formula>7</formula>
      <formula>7.9</formula>
    </cfRule>
    <cfRule type="cellIs" dxfId="588" priority="1683" stopIfTrue="1" operator="between">
      <formula>8</formula>
      <formula>8.9</formula>
    </cfRule>
    <cfRule type="cellIs" dxfId="587" priority="1684" operator="between">
      <formula>9</formula>
      <formula>9.9</formula>
    </cfRule>
    <cfRule type="cellIs" dxfId="586" priority="1685" stopIfTrue="1" operator="between">
      <formula>10</formula>
      <formula>10</formula>
    </cfRule>
    <cfRule type="containsBlanks" dxfId="585" priority="1686" stopIfTrue="1">
      <formula>LEN(TRIM(K26))=0</formula>
    </cfRule>
  </conditionalFormatting>
  <conditionalFormatting sqref="K40">
    <cfRule type="colorScale" priority="2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5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84" priority="1587" operator="between">
      <formula>10.1</formula>
      <formula>10.6</formula>
    </cfRule>
    <cfRule type="cellIs" dxfId="583" priority="1588" operator="between">
      <formula>7</formula>
      <formula>7.9</formula>
    </cfRule>
    <cfRule type="cellIs" dxfId="582" priority="1589" stopIfTrue="1" operator="between">
      <formula>8</formula>
      <formula>8.9</formula>
    </cfRule>
    <cfRule type="cellIs" dxfId="581" priority="1590" operator="between">
      <formula>9</formula>
      <formula>9.9</formula>
    </cfRule>
    <cfRule type="cellIs" dxfId="580" priority="1591" stopIfTrue="1" operator="between">
      <formula>10</formula>
      <formula>10</formula>
    </cfRule>
    <cfRule type="containsBlanks" dxfId="579" priority="1592" stopIfTrue="1">
      <formula>LEN(TRIM(K41))=0</formula>
    </cfRule>
  </conditionalFormatting>
  <conditionalFormatting sqref="K54">
    <cfRule type="colorScale" priority="1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78" priority="1549" operator="between">
      <formula>10.1</formula>
      <formula>10.6</formula>
    </cfRule>
    <cfRule type="cellIs" dxfId="577" priority="1550" operator="between">
      <formula>7</formula>
      <formula>7.9</formula>
    </cfRule>
    <cfRule type="cellIs" dxfId="576" priority="1551" stopIfTrue="1" operator="between">
      <formula>8</formula>
      <formula>8.9</formula>
    </cfRule>
    <cfRule type="cellIs" dxfId="575" priority="1552" operator="between">
      <formula>9</formula>
      <formula>9.9</formula>
    </cfRule>
    <cfRule type="cellIs" dxfId="574" priority="1553" stopIfTrue="1" operator="between">
      <formula>10</formula>
      <formula>10</formula>
    </cfRule>
    <cfRule type="containsBlanks" dxfId="573" priority="1554" stopIfTrue="1">
      <formula>LEN(TRIM(K55))=0</formula>
    </cfRule>
  </conditionalFormatting>
  <conditionalFormatting sqref="K66">
    <cfRule type="colorScale" priority="1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72" priority="1522" operator="between">
      <formula>10.1</formula>
      <formula>10.6</formula>
    </cfRule>
    <cfRule type="cellIs" dxfId="571" priority="1523" operator="between">
      <formula>7</formula>
      <formula>7.9</formula>
    </cfRule>
    <cfRule type="cellIs" dxfId="570" priority="1524" stopIfTrue="1" operator="between">
      <formula>8</formula>
      <formula>8.9</formula>
    </cfRule>
    <cfRule type="cellIs" dxfId="569" priority="1525" operator="between">
      <formula>9</formula>
      <formula>9.9</formula>
    </cfRule>
    <cfRule type="cellIs" dxfId="568" priority="1526" stopIfTrue="1" operator="between">
      <formula>10</formula>
      <formula>10</formula>
    </cfRule>
    <cfRule type="containsBlanks" dxfId="567" priority="1527" stopIfTrue="1">
      <formula>LEN(TRIM(K67))=0</formula>
    </cfRule>
  </conditionalFormatting>
  <conditionalFormatting sqref="K77"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66" priority="1469" operator="between">
      <formula>10.1</formula>
      <formula>10.6</formula>
    </cfRule>
    <cfRule type="cellIs" dxfId="565" priority="1470" operator="between">
      <formula>7</formula>
      <formula>7.9</formula>
    </cfRule>
    <cfRule type="cellIs" dxfId="564" priority="1471" stopIfTrue="1" operator="between">
      <formula>8</formula>
      <formula>8.9</formula>
    </cfRule>
    <cfRule type="cellIs" dxfId="563" priority="1472" operator="between">
      <formula>9</formula>
      <formula>9.9</formula>
    </cfRule>
    <cfRule type="cellIs" dxfId="562" priority="1473" stopIfTrue="1" operator="between">
      <formula>10</formula>
      <formula>10</formula>
    </cfRule>
    <cfRule type="containsBlanks" dxfId="561" priority="1474" stopIfTrue="1">
      <formula>LEN(TRIM(K78))=0</formula>
    </cfRule>
  </conditionalFormatting>
  <conditionalFormatting sqref="K90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60" priority="1424" operator="between">
      <formula>10.1</formula>
      <formula>10.6</formula>
    </cfRule>
    <cfRule type="cellIs" dxfId="559" priority="1425" operator="between">
      <formula>7</formula>
      <formula>7.9</formula>
    </cfRule>
    <cfRule type="cellIs" dxfId="558" priority="1426" stopIfTrue="1" operator="between">
      <formula>8</formula>
      <formula>8.9</formula>
    </cfRule>
    <cfRule type="cellIs" dxfId="557" priority="1427" operator="between">
      <formula>9</formula>
      <formula>9.9</formula>
    </cfRule>
    <cfRule type="cellIs" dxfId="556" priority="1428" stopIfTrue="1" operator="between">
      <formula>10</formula>
      <formula>10</formula>
    </cfRule>
    <cfRule type="containsBlanks" dxfId="555" priority="1429" stopIfTrue="1">
      <formula>LEN(TRIM(K91))=0</formula>
    </cfRule>
  </conditionalFormatting>
  <conditionalFormatting sqref="K98"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54" priority="1390" operator="between">
      <formula>6</formula>
      <formula>6.9</formula>
    </cfRule>
    <cfRule type="cellIs" dxfId="553" priority="1391" operator="between">
      <formula>10.1</formula>
      <formula>10.6</formula>
    </cfRule>
    <cfRule type="cellIs" dxfId="552" priority="1392" operator="between">
      <formula>7</formula>
      <formula>7.9</formula>
    </cfRule>
    <cfRule type="cellIs" dxfId="551" priority="1393" stopIfTrue="1" operator="between">
      <formula>8</formula>
      <formula>8.9</formula>
    </cfRule>
    <cfRule type="cellIs" dxfId="550" priority="1394" operator="between">
      <formula>9</formula>
      <formula>9.9</formula>
    </cfRule>
    <cfRule type="cellIs" dxfId="549" priority="1395" stopIfTrue="1" operator="between">
      <formula>10</formula>
      <formula>10</formula>
    </cfRule>
    <cfRule type="containsBlanks" dxfId="548" priority="1396" stopIfTrue="1">
      <formula>LEN(TRIM(K99))=0</formula>
    </cfRule>
  </conditionalFormatting>
  <conditionalFormatting sqref="K111"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47" priority="1343" operator="between">
      <formula>10.1</formula>
      <formula>10.6</formula>
    </cfRule>
    <cfRule type="cellIs" dxfId="546" priority="1344" operator="between">
      <formula>7</formula>
      <formula>7.9</formula>
    </cfRule>
    <cfRule type="cellIs" dxfId="545" priority="1345" stopIfTrue="1" operator="between">
      <formula>8</formula>
      <formula>8.9</formula>
    </cfRule>
    <cfRule type="cellIs" dxfId="544" priority="1346" operator="between">
      <formula>9</formula>
      <formula>9.9</formula>
    </cfRule>
    <cfRule type="cellIs" dxfId="543" priority="1347" stopIfTrue="1" operator="between">
      <formula>10</formula>
      <formula>10</formula>
    </cfRule>
    <cfRule type="containsBlanks" dxfId="542" priority="1348" stopIfTrue="1">
      <formula>LEN(TRIM(K112))=0</formula>
    </cfRule>
  </conditionalFormatting>
  <conditionalFormatting sqref="K114">
    <cfRule type="cellIs" dxfId="541" priority="1342" operator="between">
      <formula>6</formula>
      <formula>6.9</formula>
    </cfRule>
  </conditionalFormatting>
  <conditionalFormatting sqref="K124"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7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40" priority="1300" operator="between">
      <formula>10.1</formula>
      <formula>10.6</formula>
    </cfRule>
    <cfRule type="cellIs" dxfId="539" priority="1301" operator="between">
      <formula>7</formula>
      <formula>7.9</formula>
    </cfRule>
    <cfRule type="cellIs" dxfId="538" priority="1302" stopIfTrue="1" operator="between">
      <formula>8</formula>
      <formula>8.9</formula>
    </cfRule>
    <cfRule type="cellIs" dxfId="537" priority="1303" operator="between">
      <formula>9</formula>
      <formula>9.9</formula>
    </cfRule>
    <cfRule type="cellIs" dxfId="536" priority="1304" stopIfTrue="1" operator="between">
      <formula>10</formula>
      <formula>10</formula>
    </cfRule>
    <cfRule type="containsBlanks" dxfId="535" priority="1305" stopIfTrue="1">
      <formula>LEN(TRIM(K125))=0</formula>
    </cfRule>
  </conditionalFormatting>
  <conditionalFormatting sqref="K125:K134">
    <cfRule type="cellIs" dxfId="534" priority="1293" operator="between">
      <formula>6</formula>
      <formula>6.9</formula>
    </cfRule>
    <cfRule type="cellIs" dxfId="533" priority="1294" operator="between">
      <formula>10.1</formula>
      <formula>10.6</formula>
    </cfRule>
    <cfRule type="cellIs" dxfId="532" priority="1295" operator="between">
      <formula>7</formula>
      <formula>7.9</formula>
    </cfRule>
    <cfRule type="cellIs" dxfId="531" priority="1296" stopIfTrue="1" operator="between">
      <formula>8</formula>
      <formula>8.9</formula>
    </cfRule>
    <cfRule type="cellIs" dxfId="530" priority="1297" operator="between">
      <formula>9</formula>
      <formula>9.9</formula>
    </cfRule>
    <cfRule type="cellIs" dxfId="529" priority="1298" stopIfTrue="1" operator="between">
      <formula>10</formula>
      <formula>10</formula>
    </cfRule>
    <cfRule type="containsBlanks" dxfId="528" priority="1299" stopIfTrue="1">
      <formula>LEN(TRIM(K125))=0</formula>
    </cfRule>
  </conditionalFormatting>
  <conditionalFormatting sqref="K136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27" priority="1235" operator="between">
      <formula>6</formula>
      <formula>6.9</formula>
    </cfRule>
    <cfRule type="cellIs" dxfId="526" priority="1236" operator="between">
      <formula>10.1</formula>
      <formula>10.6</formula>
    </cfRule>
    <cfRule type="cellIs" dxfId="525" priority="1237" operator="between">
      <formula>7</formula>
      <formula>7.9</formula>
    </cfRule>
    <cfRule type="cellIs" dxfId="524" priority="1238" stopIfTrue="1" operator="between">
      <formula>8</formula>
      <formula>8.9</formula>
    </cfRule>
    <cfRule type="cellIs" dxfId="523" priority="1239" operator="between">
      <formula>9</formula>
      <formula>9.9</formula>
    </cfRule>
    <cfRule type="cellIs" dxfId="522" priority="1240" stopIfTrue="1" operator="between">
      <formula>10</formula>
      <formula>10</formula>
    </cfRule>
    <cfRule type="containsBlanks" dxfId="521" priority="1241" stopIfTrue="1">
      <formula>LEN(TRIM(K137))=0</formula>
    </cfRule>
  </conditionalFormatting>
  <conditionalFormatting sqref="K149">
    <cfRule type="colorScale" priority="1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20" priority="1172" operator="between">
      <formula>6</formula>
      <formula>6.9</formula>
    </cfRule>
    <cfRule type="cellIs" dxfId="519" priority="1173" operator="between">
      <formula>10.1</formula>
      <formula>10.6</formula>
    </cfRule>
    <cfRule type="cellIs" dxfId="518" priority="1174" operator="between">
      <formula>7</formula>
      <formula>7.9</formula>
    </cfRule>
    <cfRule type="cellIs" dxfId="517" priority="1175" stopIfTrue="1" operator="between">
      <formula>8</formula>
      <formula>8.9</formula>
    </cfRule>
    <cfRule type="cellIs" dxfId="516" priority="1176" operator="between">
      <formula>9</formula>
      <formula>9.9</formula>
    </cfRule>
    <cfRule type="cellIs" dxfId="515" priority="1177" stopIfTrue="1" operator="between">
      <formula>10</formula>
      <formula>10</formula>
    </cfRule>
    <cfRule type="containsBlanks" dxfId="514" priority="1178" stopIfTrue="1">
      <formula>LEN(TRIM(K150))=0</formula>
    </cfRule>
  </conditionalFormatting>
  <conditionalFormatting sqref="K165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13" priority="1116" operator="between">
      <formula>6</formula>
      <formula>6.9</formula>
    </cfRule>
    <cfRule type="cellIs" dxfId="512" priority="1117" operator="between">
      <formula>10.1</formula>
      <formula>10.6</formula>
    </cfRule>
    <cfRule type="cellIs" dxfId="511" priority="1118" operator="between">
      <formula>7</formula>
      <formula>7.9</formula>
    </cfRule>
    <cfRule type="cellIs" dxfId="510" priority="1119" stopIfTrue="1" operator="between">
      <formula>8</formula>
      <formula>8.9</formula>
    </cfRule>
    <cfRule type="cellIs" dxfId="509" priority="1120" operator="between">
      <formula>9</formula>
      <formula>9.9</formula>
    </cfRule>
    <cfRule type="cellIs" dxfId="508" priority="1121" stopIfTrue="1" operator="between">
      <formula>10</formula>
      <formula>10</formula>
    </cfRule>
    <cfRule type="containsBlanks" dxfId="507" priority="1122" stopIfTrue="1">
      <formula>LEN(TRIM(K166))=0</formula>
    </cfRule>
  </conditionalFormatting>
  <conditionalFormatting sqref="K175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06" priority="1089" operator="between">
      <formula>6</formula>
      <formula>6.9</formula>
    </cfRule>
    <cfRule type="cellIs" dxfId="505" priority="1090" operator="between">
      <formula>10.1</formula>
      <formula>10.6</formula>
    </cfRule>
    <cfRule type="cellIs" dxfId="504" priority="1091" operator="between">
      <formula>7</formula>
      <formula>7.9</formula>
    </cfRule>
    <cfRule type="cellIs" dxfId="503" priority="1092" stopIfTrue="1" operator="between">
      <formula>8</formula>
      <formula>8.9</formula>
    </cfRule>
    <cfRule type="cellIs" dxfId="502" priority="1093" operator="between">
      <formula>9</formula>
      <formula>9.9</formula>
    </cfRule>
    <cfRule type="cellIs" dxfId="501" priority="1094" stopIfTrue="1" operator="between">
      <formula>10</formula>
      <formula>10</formula>
    </cfRule>
    <cfRule type="containsBlanks" dxfId="500" priority="1095" stopIfTrue="1">
      <formula>LEN(TRIM(K176))=0</formula>
    </cfRule>
  </conditionalFormatting>
  <conditionalFormatting sqref="K182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99" priority="1069" operator="between">
      <formula>6</formula>
      <formula>6.9</formula>
    </cfRule>
    <cfRule type="cellIs" dxfId="498" priority="1070" operator="between">
      <formula>10.1</formula>
      <formula>10.6</formula>
    </cfRule>
    <cfRule type="cellIs" dxfId="497" priority="1071" operator="between">
      <formula>7</formula>
      <formula>7.9</formula>
    </cfRule>
    <cfRule type="cellIs" dxfId="496" priority="1072" stopIfTrue="1" operator="between">
      <formula>8</formula>
      <formula>8.9</formula>
    </cfRule>
    <cfRule type="cellIs" dxfId="495" priority="1073" operator="between">
      <formula>9</formula>
      <formula>9.9</formula>
    </cfRule>
    <cfRule type="cellIs" dxfId="494" priority="1074" stopIfTrue="1" operator="between">
      <formula>10</formula>
      <formula>10</formula>
    </cfRule>
    <cfRule type="containsBlanks" dxfId="493" priority="1075" stopIfTrue="1">
      <formula>LEN(TRIM(K183))=0</formula>
    </cfRule>
  </conditionalFormatting>
  <conditionalFormatting sqref="K189"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92" priority="1029" operator="between">
      <formula>6</formula>
      <formula>6.9</formula>
    </cfRule>
    <cfRule type="cellIs" dxfId="491" priority="1030" operator="between">
      <formula>10.1</formula>
      <formula>10.6</formula>
    </cfRule>
    <cfRule type="cellIs" dxfId="490" priority="1031" operator="between">
      <formula>7</formula>
      <formula>7.9</formula>
    </cfRule>
    <cfRule type="cellIs" dxfId="489" priority="1032" stopIfTrue="1" operator="between">
      <formula>8</formula>
      <formula>8.9</formula>
    </cfRule>
    <cfRule type="cellIs" dxfId="488" priority="1033" operator="between">
      <formula>9</formula>
      <formula>9.9</formula>
    </cfRule>
    <cfRule type="cellIs" dxfId="487" priority="1034" stopIfTrue="1" operator="between">
      <formula>10</formula>
      <formula>10</formula>
    </cfRule>
    <cfRule type="containsBlanks" dxfId="486" priority="1035" stopIfTrue="1">
      <formula>LEN(TRIM(K190))=0</formula>
    </cfRule>
  </conditionalFormatting>
  <conditionalFormatting sqref="K199"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85" priority="1000" operator="between">
      <formula>6</formula>
      <formula>6.9</formula>
    </cfRule>
    <cfRule type="cellIs" dxfId="484" priority="1001" operator="between">
      <formula>10.1</formula>
      <formula>10.6</formula>
    </cfRule>
    <cfRule type="cellIs" dxfId="483" priority="1002" operator="between">
      <formula>7</formula>
      <formula>7.9</formula>
    </cfRule>
    <cfRule type="cellIs" dxfId="482" priority="1003" stopIfTrue="1" operator="between">
      <formula>8</formula>
      <formula>8.9</formula>
    </cfRule>
    <cfRule type="cellIs" dxfId="481" priority="1004" operator="between">
      <formula>9</formula>
      <formula>9.9</formula>
    </cfRule>
    <cfRule type="cellIs" dxfId="480" priority="1005" stopIfTrue="1" operator="between">
      <formula>10</formula>
      <formula>10</formula>
    </cfRule>
    <cfRule type="containsBlanks" dxfId="479" priority="1006" stopIfTrue="1">
      <formula>LEN(TRIM(K200))=0</formula>
    </cfRule>
  </conditionalFormatting>
  <conditionalFormatting sqref="K208"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78" priority="970" operator="between">
      <formula>6</formula>
      <formula>6.9</formula>
    </cfRule>
    <cfRule type="cellIs" dxfId="477" priority="971" operator="between">
      <formula>10.1</formula>
      <formula>11</formula>
    </cfRule>
    <cfRule type="cellIs" dxfId="476" priority="972" operator="between">
      <formula>7</formula>
      <formula>7.9</formula>
    </cfRule>
    <cfRule type="cellIs" dxfId="475" priority="973" stopIfTrue="1" operator="between">
      <formula>8</formula>
      <formula>8.9</formula>
    </cfRule>
    <cfRule type="cellIs" dxfId="474" priority="974" operator="between">
      <formula>9</formula>
      <formula>9.9</formula>
    </cfRule>
    <cfRule type="cellIs" dxfId="473" priority="975" stopIfTrue="1" operator="between">
      <formula>10</formula>
      <formula>10</formula>
    </cfRule>
    <cfRule type="containsBlanks" dxfId="472" priority="976" stopIfTrue="1">
      <formula>LEN(TRIM(K209))=0</formula>
    </cfRule>
  </conditionalFormatting>
  <conditionalFormatting sqref="K219"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71" priority="917" operator="between">
      <formula>6</formula>
      <formula>6.9</formula>
    </cfRule>
    <cfRule type="cellIs" dxfId="470" priority="918" operator="between">
      <formula>10.1</formula>
      <formula>10.6</formula>
    </cfRule>
    <cfRule type="cellIs" dxfId="469" priority="919" operator="between">
      <formula>7</formula>
      <formula>7.9</formula>
    </cfRule>
    <cfRule type="cellIs" dxfId="468" priority="920" stopIfTrue="1" operator="between">
      <formula>8</formula>
      <formula>8.9</formula>
    </cfRule>
    <cfRule type="cellIs" dxfId="467" priority="921" operator="between">
      <formula>9</formula>
      <formula>9.9</formula>
    </cfRule>
    <cfRule type="cellIs" dxfId="466" priority="922" stopIfTrue="1" operator="between">
      <formula>10</formula>
      <formula>10</formula>
    </cfRule>
    <cfRule type="containsBlanks" dxfId="465" priority="923" stopIfTrue="1">
      <formula>LEN(TRIM(K220))=0</formula>
    </cfRule>
  </conditionalFormatting>
  <conditionalFormatting sqref="K237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64" priority="854" operator="between">
      <formula>6</formula>
      <formula>6.9</formula>
    </cfRule>
    <cfRule type="cellIs" dxfId="463" priority="855" operator="between">
      <formula>10.1</formula>
      <formula>10.6</formula>
    </cfRule>
    <cfRule type="cellIs" dxfId="462" priority="856" operator="between">
      <formula>7</formula>
      <formula>7.9</formula>
    </cfRule>
    <cfRule type="cellIs" dxfId="461" priority="857" stopIfTrue="1" operator="between">
      <formula>8</formula>
      <formula>8.9</formula>
    </cfRule>
    <cfRule type="cellIs" dxfId="460" priority="858" operator="between">
      <formula>9</formula>
      <formula>9.9</formula>
    </cfRule>
    <cfRule type="cellIs" dxfId="459" priority="859" stopIfTrue="1" operator="between">
      <formula>10</formula>
      <formula>10</formula>
    </cfRule>
    <cfRule type="containsBlanks" dxfId="458" priority="860" stopIfTrue="1">
      <formula>LEN(TRIM(K238))=0</formula>
    </cfRule>
  </conditionalFormatting>
  <conditionalFormatting sqref="K252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57" priority="809" operator="between">
      <formula>6</formula>
      <formula>6.9</formula>
    </cfRule>
    <cfRule type="cellIs" dxfId="456" priority="810" operator="between">
      <formula>10.1</formula>
      <formula>10.6</formula>
    </cfRule>
    <cfRule type="cellIs" dxfId="455" priority="811" operator="between">
      <formula>7</formula>
      <formula>7.9</formula>
    </cfRule>
    <cfRule type="cellIs" dxfId="454" priority="812" stopIfTrue="1" operator="between">
      <formula>8</formula>
      <formula>8.9</formula>
    </cfRule>
    <cfRule type="cellIs" dxfId="453" priority="813" operator="between">
      <formula>9</formula>
      <formula>9.9</formula>
    </cfRule>
    <cfRule type="cellIs" dxfId="452" priority="814" stopIfTrue="1" operator="between">
      <formula>10</formula>
      <formula>10</formula>
    </cfRule>
    <cfRule type="containsBlanks" dxfId="451" priority="815" stopIfTrue="1">
      <formula>LEN(TRIM(K253))=0</formula>
    </cfRule>
  </conditionalFormatting>
  <conditionalFormatting sqref="K264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50" priority="780" operator="between">
      <formula>6</formula>
      <formula>6.9</formula>
    </cfRule>
    <cfRule type="cellIs" dxfId="449" priority="781" operator="between">
      <formula>10.1</formula>
      <formula>10.6</formula>
    </cfRule>
    <cfRule type="cellIs" dxfId="448" priority="782" operator="between">
      <formula>7</formula>
      <formula>7.9</formula>
    </cfRule>
    <cfRule type="cellIs" dxfId="447" priority="783" stopIfTrue="1" operator="between">
      <formula>8</formula>
      <formula>8.9</formula>
    </cfRule>
    <cfRule type="cellIs" dxfId="446" priority="784" operator="between">
      <formula>9</formula>
      <formula>9.9</formula>
    </cfRule>
    <cfRule type="cellIs" dxfId="445" priority="785" stopIfTrue="1" operator="between">
      <formula>10</formula>
      <formula>10</formula>
    </cfRule>
    <cfRule type="containsBlanks" dxfId="444" priority="786" stopIfTrue="1">
      <formula>LEN(TRIM(K265))=0</formula>
    </cfRule>
  </conditionalFormatting>
  <conditionalFormatting sqref="K276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43" priority="727" operator="between">
      <formula>6</formula>
      <formula>6.9</formula>
    </cfRule>
    <cfRule type="cellIs" dxfId="442" priority="728" operator="between">
      <formula>10.1</formula>
      <formula>10.6</formula>
    </cfRule>
    <cfRule type="cellIs" dxfId="441" priority="729" operator="between">
      <formula>7</formula>
      <formula>7.9</formula>
    </cfRule>
    <cfRule type="cellIs" dxfId="440" priority="730" stopIfTrue="1" operator="between">
      <formula>8</formula>
      <formula>8.9</formula>
    </cfRule>
    <cfRule type="cellIs" dxfId="439" priority="731" operator="between">
      <formula>9</formula>
      <formula>9.9</formula>
    </cfRule>
    <cfRule type="cellIs" dxfId="438" priority="732" stopIfTrue="1" operator="between">
      <formula>10</formula>
      <formula>10</formula>
    </cfRule>
    <cfRule type="containsBlanks" dxfId="437" priority="733" stopIfTrue="1">
      <formula>LEN(TRIM(K277))=0</formula>
    </cfRule>
  </conditionalFormatting>
  <conditionalFormatting sqref="K286">
    <cfRule type="colorScale" priority="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36" priority="679" operator="between">
      <formula>6</formula>
      <formula>6.9</formula>
    </cfRule>
    <cfRule type="cellIs" dxfId="435" priority="680" operator="between">
      <formula>10.1</formula>
      <formula>10.6</formula>
    </cfRule>
    <cfRule type="cellIs" dxfId="434" priority="681" operator="between">
      <formula>7</formula>
      <formula>7.9</formula>
    </cfRule>
    <cfRule type="cellIs" dxfId="433" priority="682" stopIfTrue="1" operator="between">
      <formula>8</formula>
      <formula>8.9</formula>
    </cfRule>
    <cfRule type="cellIs" dxfId="432" priority="683" operator="between">
      <formula>9</formula>
      <formula>9.9</formula>
    </cfRule>
    <cfRule type="cellIs" dxfId="431" priority="684" stopIfTrue="1" operator="between">
      <formula>10</formula>
      <formula>10</formula>
    </cfRule>
    <cfRule type="containsBlanks" dxfId="430" priority="685" stopIfTrue="1">
      <formula>LEN(TRIM(K287))=0</formula>
    </cfRule>
  </conditionalFormatting>
  <conditionalFormatting sqref="K296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29" priority="639" stopIfTrue="1">
      <formula>LEN(TRIM(K297))=0</formula>
    </cfRule>
    <cfRule type="cellIs" dxfId="428" priority="640" operator="lessThan">
      <formula>2</formula>
    </cfRule>
    <cfRule type="cellIs" dxfId="427" priority="641" operator="between">
      <formula>2</formula>
      <formula>4.9</formula>
    </cfRule>
    <cfRule type="cellIs" dxfId="426" priority="642" operator="between">
      <formula>5</formula>
      <formula>6.9</formula>
    </cfRule>
    <cfRule type="cellIs" dxfId="425" priority="643" operator="between">
      <formula>10.1</formula>
      <formula>10.6</formula>
    </cfRule>
    <cfRule type="cellIs" dxfId="424" priority="644" operator="between">
      <formula>7</formula>
      <formula>7.9</formula>
    </cfRule>
    <cfRule type="cellIs" dxfId="423" priority="645" stopIfTrue="1" operator="between">
      <formula>8</formula>
      <formula>8.9</formula>
    </cfRule>
    <cfRule type="cellIs" dxfId="422" priority="646" operator="between">
      <formula>9</formula>
      <formula>9.9</formula>
    </cfRule>
    <cfRule type="cellIs" dxfId="421" priority="647" stopIfTrue="1" operator="between">
      <formula>10</formula>
      <formula>10</formula>
    </cfRule>
  </conditionalFormatting>
  <conditionalFormatting sqref="K304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20" priority="608" stopIfTrue="1">
      <formula>LEN(TRIM(K305))=0</formula>
    </cfRule>
    <cfRule type="cellIs" dxfId="419" priority="609" operator="lessThan">
      <formula>2</formula>
    </cfRule>
    <cfRule type="cellIs" dxfId="418" priority="610" operator="between">
      <formula>2</formula>
      <formula>4.9</formula>
    </cfRule>
    <cfRule type="cellIs" dxfId="417" priority="611" operator="between">
      <formula>5</formula>
      <formula>6.9</formula>
    </cfRule>
    <cfRule type="cellIs" dxfId="416" priority="612" operator="between">
      <formula>10.1</formula>
      <formula>10.6</formula>
    </cfRule>
    <cfRule type="cellIs" dxfId="415" priority="613" operator="between">
      <formula>7</formula>
      <formula>7.9</formula>
    </cfRule>
    <cfRule type="cellIs" dxfId="414" priority="614" stopIfTrue="1" operator="between">
      <formula>8</formula>
      <formula>8.9</formula>
    </cfRule>
    <cfRule type="cellIs" dxfId="413" priority="615" operator="between">
      <formula>9</formula>
      <formula>9.9</formula>
    </cfRule>
    <cfRule type="cellIs" dxfId="412" priority="616" stopIfTrue="1" operator="between">
      <formula>10</formula>
      <formula>10</formula>
    </cfRule>
  </conditionalFormatting>
  <conditionalFormatting sqref="K318"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11" priority="546" stopIfTrue="1">
      <formula>LEN(TRIM(K319))=0</formula>
    </cfRule>
    <cfRule type="cellIs" dxfId="410" priority="547" operator="lessThan">
      <formula>2</formula>
    </cfRule>
    <cfRule type="cellIs" dxfId="409" priority="548" operator="between">
      <formula>2</formula>
      <formula>4.9</formula>
    </cfRule>
    <cfRule type="cellIs" dxfId="408" priority="549" operator="between">
      <formula>5</formula>
      <formula>6.9</formula>
    </cfRule>
    <cfRule type="cellIs" dxfId="407" priority="550" operator="between">
      <formula>10.1</formula>
      <formula>10.6</formula>
    </cfRule>
    <cfRule type="cellIs" dxfId="406" priority="551" operator="between">
      <formula>7</formula>
      <formula>7.9</formula>
    </cfRule>
    <cfRule type="cellIs" dxfId="405" priority="552" stopIfTrue="1" operator="between">
      <formula>8</formula>
      <formula>8.9</formula>
    </cfRule>
    <cfRule type="cellIs" dxfId="404" priority="553" operator="between">
      <formula>9</formula>
      <formula>9.9</formula>
    </cfRule>
    <cfRule type="cellIs" dxfId="403" priority="554" stopIfTrue="1" operator="between">
      <formula>10</formula>
      <formula>10</formula>
    </cfRule>
  </conditionalFormatting>
  <conditionalFormatting sqref="K328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02" priority="502" stopIfTrue="1">
      <formula>LEN(TRIM(K329))=0</formula>
    </cfRule>
    <cfRule type="cellIs" dxfId="401" priority="503" operator="lessThan">
      <formula>2</formula>
    </cfRule>
    <cfRule type="cellIs" dxfId="400" priority="504" operator="between">
      <formula>2</formula>
      <formula>4.9</formula>
    </cfRule>
    <cfRule type="cellIs" dxfId="399" priority="505" operator="between">
      <formula>5</formula>
      <formula>6.9</formula>
    </cfRule>
    <cfRule type="cellIs" dxfId="398" priority="506" operator="between">
      <formula>10.1</formula>
      <formula>10.6</formula>
    </cfRule>
    <cfRule type="cellIs" dxfId="397" priority="507" operator="between">
      <formula>7</formula>
      <formula>7.9</formula>
    </cfRule>
    <cfRule type="cellIs" dxfId="396" priority="508" stopIfTrue="1" operator="between">
      <formula>8</formula>
      <formula>8.9</formula>
    </cfRule>
    <cfRule type="cellIs" dxfId="395" priority="509" operator="between">
      <formula>9</formula>
      <formula>9.9</formula>
    </cfRule>
    <cfRule type="cellIs" dxfId="394" priority="510" stopIfTrue="1" operator="between">
      <formula>10</formula>
      <formula>10</formula>
    </cfRule>
  </conditionalFormatting>
  <conditionalFormatting sqref="K340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393" priority="447" stopIfTrue="1">
      <formula>LEN(TRIM(K341))=0</formula>
    </cfRule>
    <cfRule type="cellIs" dxfId="392" priority="448" operator="lessThan">
      <formula>2</formula>
    </cfRule>
    <cfRule type="cellIs" dxfId="391" priority="449" operator="between">
      <formula>2</formula>
      <formula>4.9</formula>
    </cfRule>
    <cfRule type="cellIs" dxfId="390" priority="450" operator="between">
      <formula>5</formula>
      <formula>6.9</formula>
    </cfRule>
    <cfRule type="cellIs" dxfId="389" priority="451" operator="between">
      <formula>10.1</formula>
      <formula>10.6</formula>
    </cfRule>
    <cfRule type="cellIs" dxfId="388" priority="452" operator="between">
      <formula>7</formula>
      <formula>7.9</formula>
    </cfRule>
    <cfRule type="cellIs" dxfId="387" priority="453" stopIfTrue="1" operator="between">
      <formula>8</formula>
      <formula>8.9</formula>
    </cfRule>
    <cfRule type="cellIs" dxfId="386" priority="454" operator="between">
      <formula>9</formula>
      <formula>9.9</formula>
    </cfRule>
    <cfRule type="cellIs" dxfId="385" priority="455" stopIfTrue="1" operator="between">
      <formula>10</formula>
      <formula>10</formula>
    </cfRule>
  </conditionalFormatting>
  <conditionalFormatting sqref="K356"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2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384" priority="403" stopIfTrue="1">
      <formula>LEN(TRIM(K357))=0</formula>
    </cfRule>
    <cfRule type="cellIs" dxfId="383" priority="404" operator="lessThan">
      <formula>2</formula>
    </cfRule>
    <cfRule type="cellIs" dxfId="382" priority="405" operator="between">
      <formula>2</formula>
      <formula>4.9</formula>
    </cfRule>
    <cfRule type="cellIs" dxfId="381" priority="406" operator="between">
      <formula>5</formula>
      <formula>6.9</formula>
    </cfRule>
    <cfRule type="cellIs" dxfId="380" priority="407" operator="between">
      <formula>10.1</formula>
      <formula>10.6</formula>
    </cfRule>
    <cfRule type="cellIs" dxfId="379" priority="408" operator="between">
      <formula>7</formula>
      <formula>7.9</formula>
    </cfRule>
    <cfRule type="cellIs" dxfId="378" priority="409" stopIfTrue="1" operator="between">
      <formula>8</formula>
      <formula>8.9</formula>
    </cfRule>
    <cfRule type="cellIs" dxfId="377" priority="410" operator="between">
      <formula>9</formula>
      <formula>9.9</formula>
    </cfRule>
    <cfRule type="cellIs" dxfId="376" priority="411" stopIfTrue="1" operator="between">
      <formula>10</formula>
      <formula>10</formula>
    </cfRule>
  </conditionalFormatting>
  <conditionalFormatting sqref="K365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375" priority="366" stopIfTrue="1">
      <formula>LEN(TRIM(K366))=0</formula>
    </cfRule>
    <cfRule type="cellIs" dxfId="374" priority="367" operator="lessThan">
      <formula>2</formula>
    </cfRule>
    <cfRule type="cellIs" dxfId="373" priority="368" operator="between">
      <formula>2</formula>
      <formula>4.9</formula>
    </cfRule>
    <cfRule type="cellIs" dxfId="372" priority="369" operator="between">
      <formula>5</formula>
      <formula>6.9</formula>
    </cfRule>
    <cfRule type="cellIs" dxfId="371" priority="370" operator="between">
      <formula>10.1</formula>
      <formula>10.6</formula>
    </cfRule>
    <cfRule type="cellIs" dxfId="370" priority="371" operator="between">
      <formula>7</formula>
      <formula>7.9</formula>
    </cfRule>
    <cfRule type="cellIs" dxfId="369" priority="372" stopIfTrue="1" operator="between">
      <formula>8</formula>
      <formula>8.9</formula>
    </cfRule>
    <cfRule type="cellIs" dxfId="368" priority="373" operator="between">
      <formula>9</formula>
      <formula>9.9</formula>
    </cfRule>
    <cfRule type="cellIs" dxfId="367" priority="374" stopIfTrue="1" operator="between">
      <formula>10</formula>
      <formula>10</formula>
    </cfRule>
  </conditionalFormatting>
  <conditionalFormatting sqref="K380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366" priority="288" stopIfTrue="1">
      <formula>LEN(TRIM(K381))=0</formula>
    </cfRule>
    <cfRule type="cellIs" dxfId="365" priority="289" operator="lessThan">
      <formula>2</formula>
    </cfRule>
    <cfRule type="cellIs" dxfId="364" priority="290" operator="between">
      <formula>2</formula>
      <formula>4.9</formula>
    </cfRule>
    <cfRule type="cellIs" dxfId="363" priority="291" operator="between">
      <formula>5</formula>
      <formula>6.9</formula>
    </cfRule>
    <cfRule type="cellIs" dxfId="362" priority="292" operator="between">
      <formula>10.1</formula>
      <formula>10.6</formula>
    </cfRule>
    <cfRule type="cellIs" dxfId="361" priority="293" operator="between">
      <formula>7</formula>
      <formula>7.9</formula>
    </cfRule>
    <cfRule type="cellIs" dxfId="360" priority="294" stopIfTrue="1" operator="between">
      <formula>8</formula>
      <formula>8.9</formula>
    </cfRule>
    <cfRule type="cellIs" dxfId="359" priority="295" operator="between">
      <formula>9</formula>
      <formula>9.9</formula>
    </cfRule>
    <cfRule type="cellIs" dxfId="358" priority="296" stopIfTrue="1" operator="between">
      <formula>10</formula>
      <formula>10</formula>
    </cfRule>
  </conditionalFormatting>
  <conditionalFormatting sqref="K391"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57" priority="222" stopIfTrue="1">
      <formula>LEN(TRIM(K392))=0</formula>
    </cfRule>
    <cfRule type="cellIs" dxfId="356" priority="223" operator="lessThan">
      <formula>2</formula>
    </cfRule>
    <cfRule type="cellIs" dxfId="355" priority="224" operator="between">
      <formula>2</formula>
      <formula>4.9</formula>
    </cfRule>
    <cfRule type="cellIs" dxfId="354" priority="225" operator="between">
      <formula>5</formula>
      <formula>6.9</formula>
    </cfRule>
    <cfRule type="cellIs" dxfId="353" priority="226" operator="between">
      <formula>10.1</formula>
      <formula>10.6</formula>
    </cfRule>
    <cfRule type="cellIs" dxfId="352" priority="227" operator="between">
      <formula>7</formula>
      <formula>7.9</formula>
    </cfRule>
    <cfRule type="cellIs" dxfId="351" priority="228" stopIfTrue="1" operator="between">
      <formula>8</formula>
      <formula>8.9</formula>
    </cfRule>
    <cfRule type="cellIs" dxfId="350" priority="229" operator="between">
      <formula>9</formula>
      <formula>9.9</formula>
    </cfRule>
    <cfRule type="cellIs" dxfId="349" priority="230" stopIfTrue="1" operator="between">
      <formula>10</formula>
      <formula>10</formula>
    </cfRule>
  </conditionalFormatting>
  <conditionalFormatting sqref="K399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48" priority="200" stopIfTrue="1">
      <formula>LEN(TRIM(K400))=0</formula>
    </cfRule>
    <cfRule type="cellIs" dxfId="347" priority="201" operator="lessThan">
      <formula>2</formula>
    </cfRule>
    <cfRule type="cellIs" dxfId="346" priority="202" operator="between">
      <formula>2</formula>
      <formula>4.9</formula>
    </cfRule>
    <cfRule type="cellIs" dxfId="345" priority="203" operator="between">
      <formula>5</formula>
      <formula>6.9</formula>
    </cfRule>
    <cfRule type="cellIs" dxfId="344" priority="204" operator="between">
      <formula>10.1</formula>
      <formula>10.6</formula>
    </cfRule>
    <cfRule type="cellIs" dxfId="343" priority="205" operator="between">
      <formula>7</formula>
      <formula>7.9</formula>
    </cfRule>
    <cfRule type="cellIs" dxfId="342" priority="206" stopIfTrue="1" operator="between">
      <formula>8</formula>
      <formula>8.9</formula>
    </cfRule>
    <cfRule type="cellIs" dxfId="341" priority="207" operator="between">
      <formula>9</formula>
      <formula>9.9</formula>
    </cfRule>
    <cfRule type="cellIs" dxfId="340" priority="208" stopIfTrue="1" operator="between">
      <formula>10</formula>
      <formula>10</formula>
    </cfRule>
  </conditionalFormatting>
  <conditionalFormatting sqref="K412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39" priority="147" stopIfTrue="1">
      <formula>LEN(TRIM(K413))=0</formula>
    </cfRule>
    <cfRule type="cellIs" dxfId="338" priority="148" operator="lessThan">
      <formula>2</formula>
    </cfRule>
    <cfRule type="cellIs" dxfId="337" priority="149" operator="between">
      <formula>2</formula>
      <formula>4.9</formula>
    </cfRule>
    <cfRule type="cellIs" dxfId="336" priority="150" operator="between">
      <formula>5</formula>
      <formula>6.9</formula>
    </cfRule>
    <cfRule type="cellIs" dxfId="335" priority="151" operator="between">
      <formula>10.1</formula>
      <formula>10.6</formula>
    </cfRule>
    <cfRule type="cellIs" dxfId="334" priority="152" operator="between">
      <formula>7</formula>
      <formula>7.9</formula>
    </cfRule>
    <cfRule type="cellIs" dxfId="333" priority="153" stopIfTrue="1" operator="between">
      <formula>8</formula>
      <formula>8.9</formula>
    </cfRule>
    <cfRule type="cellIs" dxfId="332" priority="154" operator="between">
      <formula>9</formula>
      <formula>9.9</formula>
    </cfRule>
    <cfRule type="cellIs" dxfId="331" priority="155" stopIfTrue="1" operator="between">
      <formula>10</formula>
      <formula>10</formula>
    </cfRule>
  </conditionalFormatting>
  <conditionalFormatting sqref="K421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30" priority="71" stopIfTrue="1">
      <formula>LEN(TRIM(K422))=0</formula>
    </cfRule>
    <cfRule type="cellIs" dxfId="329" priority="72" operator="lessThan">
      <formula>2</formula>
    </cfRule>
    <cfRule type="cellIs" dxfId="328" priority="73" operator="between">
      <formula>2</formula>
      <formula>4.9</formula>
    </cfRule>
    <cfRule type="cellIs" dxfId="327" priority="74" operator="between">
      <formula>5</formula>
      <formula>6.9</formula>
    </cfRule>
    <cfRule type="cellIs" dxfId="326" priority="75" operator="between">
      <formula>10.1</formula>
      <formula>10.6</formula>
    </cfRule>
    <cfRule type="cellIs" dxfId="325" priority="76" operator="between">
      <formula>7</formula>
      <formula>7.9</formula>
    </cfRule>
    <cfRule type="cellIs" dxfId="324" priority="77" stopIfTrue="1" operator="between">
      <formula>8</formula>
      <formula>8.9</formula>
    </cfRule>
    <cfRule type="cellIs" dxfId="323" priority="78" operator="between">
      <formula>9</formula>
      <formula>9.9</formula>
    </cfRule>
    <cfRule type="cellIs" dxfId="322" priority="79" stopIfTrue="1" operator="between">
      <formula>10</formula>
      <formula>10</formula>
    </cfRule>
  </conditionalFormatting>
  <conditionalFormatting sqref="M28">
    <cfRule type="colorScale" priority="2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21" priority="1641" operator="between">
      <formula>10.1</formula>
      <formula>10.6</formula>
    </cfRule>
    <cfRule type="cellIs" dxfId="320" priority="1642" operator="between">
      <formula>7</formula>
      <formula>7.9</formula>
    </cfRule>
    <cfRule type="cellIs" dxfId="319" priority="1643" stopIfTrue="1" operator="between">
      <formula>8</formula>
      <formula>8.9</formula>
    </cfRule>
    <cfRule type="cellIs" dxfId="318" priority="1644" operator="between">
      <formula>9</formula>
      <formula>9.9</formula>
    </cfRule>
    <cfRule type="cellIs" dxfId="317" priority="1645" stopIfTrue="1" operator="between">
      <formula>10</formula>
      <formula>10</formula>
    </cfRule>
    <cfRule type="containsBlanks" dxfId="316" priority="1646" stopIfTrue="1">
      <formula>LEN(TRIM(N3))=0</formula>
    </cfRule>
  </conditionalFormatting>
  <conditionalFormatting sqref="N15:N26">
    <cfRule type="cellIs" dxfId="315" priority="1773" operator="between">
      <formula>7</formula>
      <formula>7.9</formula>
    </cfRule>
    <cfRule type="cellIs" dxfId="314" priority="1774" stopIfTrue="1" operator="between">
      <formula>8</formula>
      <formula>8.9</formula>
    </cfRule>
    <cfRule type="cellIs" dxfId="313" priority="1775" operator="between">
      <formula>9</formula>
      <formula>9.9</formula>
    </cfRule>
    <cfRule type="cellIs" dxfId="312" priority="1776" stopIfTrue="1" operator="between">
      <formula>10</formula>
      <formula>10</formula>
    </cfRule>
  </conditionalFormatting>
  <conditionalFormatting sqref="N28">
    <cfRule type="colorScale" priority="1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11" priority="1777" operator="between">
      <formula>7</formula>
      <formula>7.9</formula>
    </cfRule>
    <cfRule type="cellIs" dxfId="310" priority="1778" stopIfTrue="1" operator="between">
      <formula>8</formula>
      <formula>8.9</formula>
    </cfRule>
    <cfRule type="cellIs" dxfId="309" priority="1779" operator="between">
      <formula>9</formula>
      <formula>9.9</formula>
    </cfRule>
    <cfRule type="cellIs" dxfId="308" priority="1780" stopIfTrue="1" operator="between">
      <formula>10</formula>
      <formula>10</formula>
    </cfRule>
  </conditionalFormatting>
  <conditionalFormatting sqref="N39">
    <cfRule type="colorScale" priority="2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07" priority="1581" operator="between">
      <formula>10.1</formula>
      <formula>10.6</formula>
    </cfRule>
    <cfRule type="cellIs" dxfId="306" priority="1582" operator="between">
      <formula>7</formula>
      <formula>7.9</formula>
    </cfRule>
    <cfRule type="cellIs" dxfId="305" priority="1583" stopIfTrue="1" operator="between">
      <formula>8</formula>
      <formula>8.9</formula>
    </cfRule>
    <cfRule type="cellIs" dxfId="304" priority="1584" operator="between">
      <formula>9</formula>
      <formula>9.9</formula>
    </cfRule>
    <cfRule type="cellIs" dxfId="303" priority="1585" stopIfTrue="1" operator="between">
      <formula>10</formula>
      <formula>10</formula>
    </cfRule>
    <cfRule type="containsBlanks" dxfId="302" priority="1586" stopIfTrue="1">
      <formula>LEN(TRIM(N40))=0</formula>
    </cfRule>
  </conditionalFormatting>
  <conditionalFormatting sqref="N54">
    <cfRule type="colorScale" priority="1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0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01" priority="1563" operator="between">
      <formula>10.1</formula>
      <formula>10.6</formula>
    </cfRule>
    <cfRule type="cellIs" dxfId="300" priority="1564" operator="between">
      <formula>7</formula>
      <formula>7.9</formula>
    </cfRule>
    <cfRule type="cellIs" dxfId="299" priority="1565" stopIfTrue="1" operator="between">
      <formula>8</formula>
      <formula>8.9</formula>
    </cfRule>
    <cfRule type="cellIs" dxfId="298" priority="1566" operator="between">
      <formula>9</formula>
      <formula>9.9</formula>
    </cfRule>
    <cfRule type="cellIs" dxfId="297" priority="1567" stopIfTrue="1" operator="between">
      <formula>10</formula>
      <formula>10</formula>
    </cfRule>
    <cfRule type="containsBlanks" dxfId="296" priority="1568" stopIfTrue="1">
      <formula>LEN(TRIM(N55))=0</formula>
    </cfRule>
  </conditionalFormatting>
  <conditionalFormatting sqref="N67"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95" priority="1514" operator="between">
      <formula>10.1</formula>
      <formula>10.6</formula>
    </cfRule>
    <cfRule type="cellIs" dxfId="294" priority="1515" operator="between">
      <formula>7</formula>
      <formula>7.9</formula>
    </cfRule>
    <cfRule type="cellIs" dxfId="293" priority="1516" stopIfTrue="1" operator="between">
      <formula>8</formula>
      <formula>8.9</formula>
    </cfRule>
    <cfRule type="cellIs" dxfId="292" priority="1517" operator="between">
      <formula>9</formula>
      <formula>9.9</formula>
    </cfRule>
    <cfRule type="cellIs" dxfId="291" priority="1518" stopIfTrue="1" operator="between">
      <formula>10</formula>
      <formula>10</formula>
    </cfRule>
    <cfRule type="containsBlanks" dxfId="290" priority="1519" stopIfTrue="1">
      <formula>LEN(TRIM(N68))=0</formula>
    </cfRule>
  </conditionalFormatting>
  <conditionalFormatting sqref="N79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9" priority="1445" operator="between">
      <formula>10.1</formula>
      <formula>10.6</formula>
    </cfRule>
    <cfRule type="cellIs" dxfId="288" priority="1446" operator="between">
      <formula>7</formula>
      <formula>7.9</formula>
    </cfRule>
    <cfRule type="cellIs" dxfId="287" priority="1447" stopIfTrue="1" operator="between">
      <formula>8</formula>
      <formula>8.9</formula>
    </cfRule>
    <cfRule type="cellIs" dxfId="286" priority="1448" operator="between">
      <formula>9</formula>
      <formula>9.9</formula>
    </cfRule>
    <cfRule type="cellIs" dxfId="285" priority="1449" stopIfTrue="1" operator="between">
      <formula>10</formula>
      <formula>10</formula>
    </cfRule>
    <cfRule type="containsBlanks" dxfId="284" priority="1450" stopIfTrue="1">
      <formula>LEN(TRIM(N80))=0</formula>
    </cfRule>
  </conditionalFormatting>
  <conditionalFormatting sqref="N93"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83" priority="1408" operator="between">
      <formula>10.1</formula>
      <formula>10.6</formula>
    </cfRule>
    <cfRule type="cellIs" dxfId="282" priority="1409" operator="between">
      <formula>7</formula>
      <formula>7.9</formula>
    </cfRule>
    <cfRule type="cellIs" dxfId="281" priority="1410" stopIfTrue="1" operator="between">
      <formula>8</formula>
      <formula>8.9</formula>
    </cfRule>
    <cfRule type="cellIs" dxfId="280" priority="1411" operator="between">
      <formula>9</formula>
      <formula>9.9</formula>
    </cfRule>
    <cfRule type="cellIs" dxfId="279" priority="1412" stopIfTrue="1" operator="between">
      <formula>10</formula>
      <formula>10</formula>
    </cfRule>
    <cfRule type="containsBlanks" dxfId="278" priority="1413" stopIfTrue="1">
      <formula>LEN(TRIM(N94))=0</formula>
    </cfRule>
  </conditionalFormatting>
  <conditionalFormatting sqref="N112"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77" priority="1334" operator="between">
      <formula>10.1</formula>
      <formula>10.6</formula>
    </cfRule>
    <cfRule type="cellIs" dxfId="276" priority="1335" operator="between">
      <formula>7</formula>
      <formula>7.9</formula>
    </cfRule>
    <cfRule type="cellIs" dxfId="275" priority="1336" stopIfTrue="1" operator="between">
      <formula>8</formula>
      <formula>8.9</formula>
    </cfRule>
    <cfRule type="cellIs" dxfId="274" priority="1337" operator="between">
      <formula>9</formula>
      <formula>9.9</formula>
    </cfRule>
    <cfRule type="cellIs" dxfId="273" priority="1338" stopIfTrue="1" operator="between">
      <formula>10</formula>
      <formula>10</formula>
    </cfRule>
    <cfRule type="containsBlanks" dxfId="272" priority="1339" stopIfTrue="1">
      <formula>LEN(TRIM(N113))=0</formula>
    </cfRule>
  </conditionalFormatting>
  <conditionalFormatting sqref="N127"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71" priority="1260" operator="between">
      <formula>6</formula>
      <formula>6.9</formula>
    </cfRule>
    <cfRule type="cellIs" dxfId="270" priority="1261" operator="between">
      <formula>10.1</formula>
      <formula>10.6</formula>
    </cfRule>
    <cfRule type="cellIs" dxfId="269" priority="1262" operator="between">
      <formula>7</formula>
      <formula>7.9</formula>
    </cfRule>
    <cfRule type="cellIs" dxfId="268" priority="1263" stopIfTrue="1" operator="between">
      <formula>8</formula>
      <formula>8.9</formula>
    </cfRule>
    <cfRule type="cellIs" dxfId="267" priority="1264" operator="between">
      <formula>9</formula>
      <formula>9.9</formula>
    </cfRule>
    <cfRule type="cellIs" dxfId="266" priority="1265" stopIfTrue="1" operator="between">
      <formula>10</formula>
      <formula>10</formula>
    </cfRule>
    <cfRule type="containsBlanks" dxfId="265" priority="1266" stopIfTrue="1">
      <formula>LEN(TRIM(N128))=0</formula>
    </cfRule>
    <cfRule type="cellIs" dxfId="264" priority="1267" operator="between">
      <formula>10.1</formula>
      <formula>10.6</formula>
    </cfRule>
    <cfRule type="cellIs" dxfId="263" priority="1268" operator="between">
      <formula>7</formula>
      <formula>7.9</formula>
    </cfRule>
    <cfRule type="cellIs" dxfId="262" priority="1269" stopIfTrue="1" operator="between">
      <formula>8</formula>
      <formula>8.9</formula>
    </cfRule>
    <cfRule type="cellIs" dxfId="261" priority="1270" operator="between">
      <formula>9</formula>
      <formula>9.9</formula>
    </cfRule>
    <cfRule type="cellIs" dxfId="260" priority="1271" stopIfTrue="1" operator="between">
      <formula>10</formula>
      <formula>10</formula>
    </cfRule>
    <cfRule type="containsBlanks" dxfId="259" priority="1272" stopIfTrue="1">
      <formula>LEN(TRIM(N128))=0</formula>
    </cfRule>
  </conditionalFormatting>
  <conditionalFormatting sqref="N137"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2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8" priority="1224" operator="between">
      <formula>6</formula>
      <formula>6.9</formula>
    </cfRule>
    <cfRule type="cellIs" dxfId="257" priority="1225" operator="between">
      <formula>10.1</formula>
      <formula>10.6</formula>
    </cfRule>
    <cfRule type="cellIs" dxfId="256" priority="1226" operator="between">
      <formula>7</formula>
      <formula>7.9</formula>
    </cfRule>
    <cfRule type="cellIs" dxfId="255" priority="1227" stopIfTrue="1" operator="between">
      <formula>8</formula>
      <formula>8.9</formula>
    </cfRule>
    <cfRule type="cellIs" dxfId="254" priority="1228" operator="between">
      <formula>9</formula>
      <formula>9.9</formula>
    </cfRule>
    <cfRule type="cellIs" dxfId="253" priority="1229" stopIfTrue="1" operator="between">
      <formula>10</formula>
      <formula>10</formula>
    </cfRule>
    <cfRule type="containsBlanks" dxfId="252" priority="1230" stopIfTrue="1">
      <formula>LEN(TRIM(N138))=0</formula>
    </cfRule>
  </conditionalFormatting>
  <conditionalFormatting sqref="N144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51" priority="1215" operator="between">
      <formula>6</formula>
      <formula>6.9</formula>
    </cfRule>
    <cfRule type="cellIs" dxfId="250" priority="1216" operator="between">
      <formula>10.1</formula>
      <formula>10.6</formula>
    </cfRule>
    <cfRule type="cellIs" dxfId="249" priority="1217" operator="between">
      <formula>7</formula>
      <formula>7.9</formula>
    </cfRule>
    <cfRule type="cellIs" dxfId="248" priority="1218" stopIfTrue="1" operator="between">
      <formula>8</formula>
      <formula>8.9</formula>
    </cfRule>
    <cfRule type="cellIs" dxfId="247" priority="1219" operator="between">
      <formula>9</formula>
      <formula>9.9</formula>
    </cfRule>
    <cfRule type="cellIs" dxfId="246" priority="1220" stopIfTrue="1" operator="between">
      <formula>10</formula>
      <formula>10</formula>
    </cfRule>
    <cfRule type="containsBlanks" dxfId="245" priority="1221" stopIfTrue="1">
      <formula>LEN(TRIM(N145))=0</formula>
    </cfRule>
  </conditionalFormatting>
  <conditionalFormatting sqref="N152">
    <cfRule type="colorScale" priority="11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44" priority="1161" operator="between">
      <formula>6</formula>
      <formula>6.9</formula>
    </cfRule>
    <cfRule type="cellIs" dxfId="243" priority="1162" operator="between">
      <formula>10.1</formula>
      <formula>10.6</formula>
    </cfRule>
    <cfRule type="cellIs" dxfId="242" priority="1163" operator="between">
      <formula>7</formula>
      <formula>7.9</formula>
    </cfRule>
    <cfRule type="cellIs" dxfId="241" priority="1164" stopIfTrue="1" operator="between">
      <formula>8</formula>
      <formula>8.9</formula>
    </cfRule>
    <cfRule type="cellIs" dxfId="240" priority="1165" operator="between">
      <formula>9</formula>
      <formula>9.9</formula>
    </cfRule>
    <cfRule type="cellIs" dxfId="239" priority="1166" stopIfTrue="1" operator="between">
      <formula>10</formula>
      <formula>10</formula>
    </cfRule>
    <cfRule type="containsBlanks" dxfId="238" priority="1167" stopIfTrue="1">
      <formula>LEN(TRIM(N153))=0</formula>
    </cfRule>
  </conditionalFormatting>
  <conditionalFormatting sqref="N161"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7" priority="1145" operator="between">
      <formula>6</formula>
      <formula>6.9</formula>
    </cfRule>
    <cfRule type="cellIs" dxfId="236" priority="1146" operator="between">
      <formula>10.1</formula>
      <formula>10.6</formula>
    </cfRule>
    <cfRule type="cellIs" dxfId="235" priority="1147" operator="between">
      <formula>7</formula>
      <formula>7.9</formula>
    </cfRule>
    <cfRule type="cellIs" dxfId="234" priority="1148" stopIfTrue="1" operator="between">
      <formula>8</formula>
      <formula>8.9</formula>
    </cfRule>
    <cfRule type="cellIs" dxfId="233" priority="1149" operator="between">
      <formula>9</formula>
      <formula>9.9</formula>
    </cfRule>
    <cfRule type="cellIs" dxfId="232" priority="1150" stopIfTrue="1" operator="between">
      <formula>10</formula>
      <formula>10</formula>
    </cfRule>
    <cfRule type="containsBlanks" dxfId="231" priority="1151" stopIfTrue="1">
      <formula>LEN(TRIM(N162))=0</formula>
    </cfRule>
  </conditionalFormatting>
  <conditionalFormatting sqref="N182">
    <cfRule type="colorScale" priority="10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30" priority="1036" operator="between">
      <formula>6</formula>
      <formula>6.9</formula>
    </cfRule>
    <cfRule type="cellIs" dxfId="229" priority="1037" operator="between">
      <formula>10.1</formula>
      <formula>10.6</formula>
    </cfRule>
    <cfRule type="cellIs" dxfId="228" priority="1038" operator="between">
      <formula>7</formula>
      <formula>7.9</formula>
    </cfRule>
    <cfRule type="cellIs" dxfId="227" priority="1039" stopIfTrue="1" operator="between">
      <formula>8</formula>
      <formula>8.9</formula>
    </cfRule>
    <cfRule type="cellIs" dxfId="226" priority="1040" operator="between">
      <formula>9</formula>
      <formula>9.9</formula>
    </cfRule>
    <cfRule type="cellIs" dxfId="225" priority="1041" stopIfTrue="1" operator="between">
      <formula>10</formula>
      <formula>10</formula>
    </cfRule>
    <cfRule type="containsBlanks" dxfId="224" priority="1042" stopIfTrue="1">
      <formula>LEN(TRIM(N186))=0</formula>
    </cfRule>
  </conditionalFormatting>
  <conditionalFormatting sqref="N211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23" priority="953" operator="between">
      <formula>6</formula>
      <formula>6.9</formula>
    </cfRule>
    <cfRule type="cellIs" dxfId="222" priority="954" operator="between">
      <formula>10.1</formula>
      <formula>11</formula>
    </cfRule>
    <cfRule type="cellIs" dxfId="221" priority="955" operator="between">
      <formula>7</formula>
      <formula>7.9</formula>
    </cfRule>
    <cfRule type="cellIs" dxfId="220" priority="956" stopIfTrue="1" operator="between">
      <formula>8</formula>
      <formula>8.9</formula>
    </cfRule>
    <cfRule type="cellIs" dxfId="219" priority="957" operator="between">
      <formula>9</formula>
      <formula>9.9</formula>
    </cfRule>
    <cfRule type="cellIs" dxfId="218" priority="958" stopIfTrue="1" operator="between">
      <formula>10</formula>
      <formula>10</formula>
    </cfRule>
    <cfRule type="containsBlanks" dxfId="217" priority="959" stopIfTrue="1">
      <formula>LEN(TRIM(N212))=0</formula>
    </cfRule>
  </conditionalFormatting>
  <conditionalFormatting sqref="N228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16" priority="899" operator="between">
      <formula>6</formula>
      <formula>6.9</formula>
    </cfRule>
    <cfRule type="cellIs" dxfId="215" priority="900" operator="between">
      <formula>10.1</formula>
      <formula>11</formula>
    </cfRule>
    <cfRule type="cellIs" dxfId="214" priority="901" operator="between">
      <formula>7</formula>
      <formula>7.9</formula>
    </cfRule>
    <cfRule type="cellIs" dxfId="213" priority="902" stopIfTrue="1" operator="between">
      <formula>8</formula>
      <formula>8.9</formula>
    </cfRule>
    <cfRule type="cellIs" dxfId="212" priority="903" operator="between">
      <formula>9</formula>
      <formula>9.9</formula>
    </cfRule>
    <cfRule type="cellIs" dxfId="211" priority="904" stopIfTrue="1" operator="between">
      <formula>10</formula>
      <formula>10</formula>
    </cfRule>
    <cfRule type="containsBlanks" dxfId="210" priority="905" stopIfTrue="1">
      <formula>LEN(TRIM(N229))=0</formula>
    </cfRule>
  </conditionalFormatting>
  <conditionalFormatting sqref="N240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9" priority="845" operator="between">
      <formula>6</formula>
      <formula>6.9</formula>
    </cfRule>
    <cfRule type="cellIs" dxfId="208" priority="846" operator="between">
      <formula>10.1</formula>
      <formula>10.6</formula>
    </cfRule>
    <cfRule type="cellIs" dxfId="207" priority="847" operator="between">
      <formula>7</formula>
      <formula>7.9</formula>
    </cfRule>
    <cfRule type="cellIs" dxfId="206" priority="848" stopIfTrue="1" operator="between">
      <formula>8</formula>
      <formula>8.9</formula>
    </cfRule>
    <cfRule type="cellIs" dxfId="205" priority="849" operator="between">
      <formula>9</formula>
      <formula>9.9</formula>
    </cfRule>
    <cfRule type="cellIs" dxfId="204" priority="850" stopIfTrue="1" operator="between">
      <formula>10</formula>
      <formula>10</formula>
    </cfRule>
    <cfRule type="containsBlanks" dxfId="203" priority="851" stopIfTrue="1">
      <formula>LEN(TRIM(N241))=0</formula>
    </cfRule>
  </conditionalFormatting>
  <conditionalFormatting sqref="N249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02" priority="818" operator="between">
      <formula>6</formula>
      <formula>6.9</formula>
    </cfRule>
    <cfRule type="cellIs" dxfId="201" priority="819" operator="between">
      <formula>10.1</formula>
      <formula>10.6</formula>
    </cfRule>
    <cfRule type="cellIs" dxfId="200" priority="820" operator="between">
      <formula>7</formula>
      <formula>7.9</formula>
    </cfRule>
    <cfRule type="cellIs" dxfId="199" priority="821" stopIfTrue="1" operator="between">
      <formula>8</formula>
      <formula>8.9</formula>
    </cfRule>
    <cfRule type="cellIs" dxfId="198" priority="822" operator="between">
      <formula>9</formula>
      <formula>9.9</formula>
    </cfRule>
    <cfRule type="cellIs" dxfId="197" priority="823" stopIfTrue="1" operator="between">
      <formula>10</formula>
      <formula>10</formula>
    </cfRule>
    <cfRule type="containsBlanks" dxfId="196" priority="824" stopIfTrue="1">
      <formula>LEN(TRIM(N250))=0</formula>
    </cfRule>
  </conditionalFormatting>
  <conditionalFormatting sqref="N277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95" priority="708" operator="between">
      <formula>6</formula>
      <formula>6.9</formula>
    </cfRule>
    <cfRule type="cellIs" dxfId="194" priority="709" operator="between">
      <formula>10.1</formula>
      <formula>10.6</formula>
    </cfRule>
    <cfRule type="cellIs" dxfId="193" priority="710" operator="between">
      <formula>7</formula>
      <formula>7.9</formula>
    </cfRule>
    <cfRule type="cellIs" dxfId="192" priority="711" stopIfTrue="1" operator="between">
      <formula>8</formula>
      <formula>8.9</formula>
    </cfRule>
    <cfRule type="cellIs" dxfId="191" priority="712" operator="between">
      <formula>9</formula>
      <formula>9.9</formula>
    </cfRule>
    <cfRule type="cellIs" dxfId="190" priority="713" stopIfTrue="1" operator="between">
      <formula>10</formula>
      <formula>10</formula>
    </cfRule>
    <cfRule type="containsBlanks" dxfId="189" priority="714" stopIfTrue="1">
      <formula>LEN(TRIM(N278))=0</formula>
    </cfRule>
  </conditionalFormatting>
  <conditionalFormatting sqref="N284"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88" priority="690" operator="between">
      <formula>6</formula>
      <formula>6.9</formula>
    </cfRule>
    <cfRule type="cellIs" dxfId="187" priority="691" operator="between">
      <formula>10.1</formula>
      <formula>10.6</formula>
    </cfRule>
    <cfRule type="cellIs" dxfId="186" priority="692" operator="between">
      <formula>7</formula>
      <formula>7.9</formula>
    </cfRule>
    <cfRule type="cellIs" dxfId="185" priority="693" stopIfTrue="1" operator="between">
      <formula>8</formula>
      <formula>8.9</formula>
    </cfRule>
    <cfRule type="cellIs" dxfId="184" priority="694" operator="between">
      <formula>9</formula>
      <formula>9.9</formula>
    </cfRule>
    <cfRule type="cellIs" dxfId="183" priority="695" stopIfTrue="1" operator="between">
      <formula>10</formula>
      <formula>10</formula>
    </cfRule>
    <cfRule type="containsBlanks" dxfId="182" priority="696" stopIfTrue="1">
      <formula>LEN(TRIM(N285))=0</formula>
    </cfRule>
  </conditionalFormatting>
  <conditionalFormatting sqref="N297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81" priority="628" stopIfTrue="1">
      <formula>LEN(TRIM(N298))=0</formula>
    </cfRule>
    <cfRule type="cellIs" dxfId="180" priority="629" operator="lessThan">
      <formula>2</formula>
    </cfRule>
    <cfRule type="cellIs" dxfId="179" priority="630" operator="between">
      <formula>2</formula>
      <formula>4.9</formula>
    </cfRule>
    <cfRule type="cellIs" dxfId="178" priority="631" operator="between">
      <formula>5</formula>
      <formula>6.9</formula>
    </cfRule>
    <cfRule type="cellIs" dxfId="177" priority="632" operator="between">
      <formula>10.1</formula>
      <formula>10.6</formula>
    </cfRule>
    <cfRule type="cellIs" dxfId="176" priority="633" operator="between">
      <formula>7</formula>
      <formula>7.9</formula>
    </cfRule>
    <cfRule type="cellIs" dxfId="175" priority="634" stopIfTrue="1" operator="between">
      <formula>8</formula>
      <formula>8.9</formula>
    </cfRule>
    <cfRule type="cellIs" dxfId="174" priority="635" operator="between">
      <formula>9</formula>
      <formula>9.9</formula>
    </cfRule>
    <cfRule type="cellIs" dxfId="173" priority="636" stopIfTrue="1" operator="between">
      <formula>10</formula>
      <formula>10</formula>
    </cfRule>
  </conditionalFormatting>
  <conditionalFormatting sqref="N306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72" priority="597" stopIfTrue="1">
      <formula>LEN(TRIM(N307))=0</formula>
    </cfRule>
    <cfRule type="cellIs" dxfId="171" priority="598" operator="lessThan">
      <formula>2</formula>
    </cfRule>
    <cfRule type="cellIs" dxfId="170" priority="599" operator="between">
      <formula>2</formula>
      <formula>4.9</formula>
    </cfRule>
    <cfRule type="cellIs" dxfId="169" priority="600" operator="between">
      <formula>5</formula>
      <formula>6.9</formula>
    </cfRule>
    <cfRule type="cellIs" dxfId="168" priority="601" operator="between">
      <formula>10.1</formula>
      <formula>10.6</formula>
    </cfRule>
    <cfRule type="cellIs" dxfId="167" priority="602" operator="between">
      <formula>7</formula>
      <formula>7.9</formula>
    </cfRule>
    <cfRule type="cellIs" dxfId="166" priority="603" stopIfTrue="1" operator="between">
      <formula>8</formula>
      <formula>8.9</formula>
    </cfRule>
    <cfRule type="cellIs" dxfId="165" priority="604" operator="between">
      <formula>9</formula>
      <formula>9.9</formula>
    </cfRule>
    <cfRule type="cellIs" dxfId="164" priority="605" stopIfTrue="1" operator="between">
      <formula>10</formula>
      <formula>10</formula>
    </cfRule>
  </conditionalFormatting>
  <conditionalFormatting sqref="N318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63" priority="533" stopIfTrue="1">
      <formula>LEN(TRIM(N319))=0</formula>
    </cfRule>
    <cfRule type="cellIs" dxfId="162" priority="534" operator="lessThan">
      <formula>2</formula>
    </cfRule>
    <cfRule type="cellIs" dxfId="161" priority="535" operator="between">
      <formula>2</formula>
      <formula>4.9</formula>
    </cfRule>
    <cfRule type="cellIs" dxfId="160" priority="536" operator="between">
      <formula>5</formula>
      <formula>6.9</formula>
    </cfRule>
    <cfRule type="cellIs" dxfId="159" priority="537" operator="between">
      <formula>10.1</formula>
      <formula>10.6</formula>
    </cfRule>
    <cfRule type="cellIs" dxfId="158" priority="538" operator="between">
      <formula>7</formula>
      <formula>7.9</formula>
    </cfRule>
    <cfRule type="cellIs" dxfId="157" priority="539" stopIfTrue="1" operator="between">
      <formula>8</formula>
      <formula>8.9</formula>
    </cfRule>
    <cfRule type="cellIs" dxfId="156" priority="540" operator="between">
      <formula>9</formula>
      <formula>9.9</formula>
    </cfRule>
    <cfRule type="cellIs" dxfId="155" priority="541" stopIfTrue="1" operator="between">
      <formula>10</formula>
      <formula>10</formula>
    </cfRule>
  </conditionalFormatting>
  <conditionalFormatting sqref="N328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54" priority="489" stopIfTrue="1">
      <formula>LEN(TRIM(N329))=0</formula>
    </cfRule>
    <cfRule type="cellIs" dxfId="153" priority="490" operator="lessThan">
      <formula>2</formula>
    </cfRule>
    <cfRule type="cellIs" dxfId="152" priority="491" operator="between">
      <formula>2</formula>
      <formula>4.9</formula>
    </cfRule>
    <cfRule type="cellIs" dxfId="151" priority="492" operator="between">
      <formula>5</formula>
      <formula>6.9</formula>
    </cfRule>
    <cfRule type="cellIs" dxfId="150" priority="493" operator="between">
      <formula>10.1</formula>
      <formula>10.6</formula>
    </cfRule>
    <cfRule type="cellIs" dxfId="149" priority="494" operator="between">
      <formula>7</formula>
      <formula>7.9</formula>
    </cfRule>
    <cfRule type="cellIs" dxfId="148" priority="495" stopIfTrue="1" operator="between">
      <formula>8</formula>
      <formula>8.9</formula>
    </cfRule>
    <cfRule type="cellIs" dxfId="147" priority="496" operator="between">
      <formula>9</formula>
      <formula>9.9</formula>
    </cfRule>
    <cfRule type="cellIs" dxfId="146" priority="497" stopIfTrue="1" operator="between">
      <formula>10</formula>
      <formula>10</formula>
    </cfRule>
  </conditionalFormatting>
  <conditionalFormatting sqref="N338"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7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45" priority="467" stopIfTrue="1">
      <formula>LEN(TRIM(N339))=0</formula>
    </cfRule>
    <cfRule type="cellIs" dxfId="144" priority="468" operator="lessThan">
      <formula>2</formula>
    </cfRule>
    <cfRule type="cellIs" dxfId="143" priority="469" operator="between">
      <formula>2</formula>
      <formula>4.9</formula>
    </cfRule>
    <cfRule type="cellIs" dxfId="142" priority="470" operator="between">
      <formula>5</formula>
      <formula>6.9</formula>
    </cfRule>
    <cfRule type="cellIs" dxfId="141" priority="471" operator="between">
      <formula>10.1</formula>
      <formula>10.6</formula>
    </cfRule>
    <cfRule type="cellIs" dxfId="140" priority="472" operator="between">
      <formula>7</formula>
      <formula>7.9</formula>
    </cfRule>
    <cfRule type="cellIs" dxfId="139" priority="473" stopIfTrue="1" operator="between">
      <formula>8</formula>
      <formula>8.9</formula>
    </cfRule>
    <cfRule type="cellIs" dxfId="138" priority="474" operator="between">
      <formula>9</formula>
      <formula>9.9</formula>
    </cfRule>
    <cfRule type="cellIs" dxfId="137" priority="475" stopIfTrue="1" operator="between">
      <formula>10</formula>
      <formula>10</formula>
    </cfRule>
  </conditionalFormatting>
  <conditionalFormatting sqref="N355"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36" priority="414" stopIfTrue="1">
      <formula>LEN(TRIM(N356))=0</formula>
    </cfRule>
    <cfRule type="cellIs" dxfId="135" priority="415" operator="lessThan">
      <formula>2</formula>
    </cfRule>
    <cfRule type="cellIs" dxfId="134" priority="416" operator="between">
      <formula>2</formula>
      <formula>4.9</formula>
    </cfRule>
    <cfRule type="cellIs" dxfId="133" priority="417" operator="between">
      <formula>5</formula>
      <formula>6.9</formula>
    </cfRule>
    <cfRule type="cellIs" dxfId="132" priority="418" operator="between">
      <formula>10.1</formula>
      <formula>10.6</formula>
    </cfRule>
    <cfRule type="cellIs" dxfId="131" priority="419" operator="between">
      <formula>7</formula>
      <formula>7.9</formula>
    </cfRule>
    <cfRule type="cellIs" dxfId="130" priority="420" stopIfTrue="1" operator="between">
      <formula>8</formula>
      <formula>8.9</formula>
    </cfRule>
    <cfRule type="cellIs" dxfId="129" priority="421" operator="between">
      <formula>9</formula>
      <formula>9.9</formula>
    </cfRule>
    <cfRule type="cellIs" dxfId="128" priority="422" stopIfTrue="1" operator="between">
      <formula>10</formula>
      <formula>10</formula>
    </cfRule>
  </conditionalFormatting>
  <conditionalFormatting sqref="N367"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27" priority="357" stopIfTrue="1">
      <formula>LEN(TRIM(N368))=0</formula>
    </cfRule>
    <cfRule type="cellIs" dxfId="126" priority="358" operator="lessThan">
      <formula>2</formula>
    </cfRule>
    <cfRule type="cellIs" dxfId="125" priority="359" operator="between">
      <formula>2</formula>
      <formula>4.9</formula>
    </cfRule>
    <cfRule type="cellIs" dxfId="124" priority="360" operator="between">
      <formula>5</formula>
      <formula>6.9</formula>
    </cfRule>
    <cfRule type="cellIs" dxfId="123" priority="361" operator="between">
      <formula>10.1</formula>
      <formula>10.6</formula>
    </cfRule>
    <cfRule type="cellIs" dxfId="122" priority="362" operator="between">
      <formula>7</formula>
      <formula>7.9</formula>
    </cfRule>
    <cfRule type="cellIs" dxfId="121" priority="363" stopIfTrue="1" operator="between">
      <formula>8</formula>
      <formula>8.9</formula>
    </cfRule>
    <cfRule type="cellIs" dxfId="120" priority="364" operator="between">
      <formula>9</formula>
      <formula>9.9</formula>
    </cfRule>
    <cfRule type="cellIs" dxfId="119" priority="365" stopIfTrue="1" operator="between">
      <formula>10</formula>
      <formula>10</formula>
    </cfRule>
  </conditionalFormatting>
  <conditionalFormatting sqref="N374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18" priority="320" stopIfTrue="1">
      <formula>LEN(TRIM(N375))=0</formula>
    </cfRule>
    <cfRule type="cellIs" dxfId="117" priority="321" operator="lessThan">
      <formula>2</formula>
    </cfRule>
    <cfRule type="cellIs" dxfId="116" priority="322" operator="between">
      <formula>2</formula>
      <formula>4.9</formula>
    </cfRule>
    <cfRule type="cellIs" dxfId="115" priority="323" operator="between">
      <formula>5</formula>
      <formula>6.9</formula>
    </cfRule>
    <cfRule type="cellIs" dxfId="114" priority="324" operator="between">
      <formula>10.1</formula>
      <formula>10.6</formula>
    </cfRule>
    <cfRule type="cellIs" dxfId="113" priority="325" operator="between">
      <formula>7</formula>
      <formula>7.9</formula>
    </cfRule>
    <cfRule type="cellIs" dxfId="112" priority="326" stopIfTrue="1" operator="between">
      <formula>8</formula>
      <formula>8.9</formula>
    </cfRule>
    <cfRule type="cellIs" dxfId="111" priority="327" operator="between">
      <formula>9</formula>
      <formula>9.9</formula>
    </cfRule>
    <cfRule type="cellIs" dxfId="110" priority="328" stopIfTrue="1" operator="between">
      <formula>10</formula>
      <formula>10</formula>
    </cfRule>
  </conditionalFormatting>
  <conditionalFormatting sqref="N384"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09" priority="266" stopIfTrue="1">
      <formula>LEN(TRIM(N385))=0</formula>
    </cfRule>
    <cfRule type="cellIs" dxfId="108" priority="267" operator="lessThan">
      <formula>2</formula>
    </cfRule>
    <cfRule type="cellIs" dxfId="107" priority="268" operator="between">
      <formula>2</formula>
      <formula>4.9</formula>
    </cfRule>
    <cfRule type="cellIs" dxfId="106" priority="269" operator="between">
      <formula>5</formula>
      <formula>6.9</formula>
    </cfRule>
    <cfRule type="cellIs" dxfId="105" priority="270" operator="between">
      <formula>10.1</formula>
      <formula>10.6</formula>
    </cfRule>
    <cfRule type="cellIs" dxfId="104" priority="271" operator="between">
      <formula>7</formula>
      <formula>7.9</formula>
    </cfRule>
    <cfRule type="cellIs" dxfId="103" priority="272" stopIfTrue="1" operator="between">
      <formula>8</formula>
      <formula>8.9</formula>
    </cfRule>
    <cfRule type="cellIs" dxfId="102" priority="273" operator="between">
      <formula>9</formula>
      <formula>9.9</formula>
    </cfRule>
    <cfRule type="cellIs" dxfId="101" priority="274" stopIfTrue="1" operator="between">
      <formula>10</formula>
      <formula>10</formula>
    </cfRule>
  </conditionalFormatting>
  <conditionalFormatting sqref="N397"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00" priority="211" stopIfTrue="1">
      <formula>LEN(TRIM(N398))=0</formula>
    </cfRule>
    <cfRule type="cellIs" dxfId="99" priority="212" operator="lessThan">
      <formula>2</formula>
    </cfRule>
    <cfRule type="cellIs" dxfId="98" priority="213" operator="between">
      <formula>2</formula>
      <formula>4.9</formula>
    </cfRule>
    <cfRule type="cellIs" dxfId="97" priority="214" operator="between">
      <formula>5</formula>
      <formula>6.9</formula>
    </cfRule>
    <cfRule type="cellIs" dxfId="96" priority="215" operator="between">
      <formula>10.1</formula>
      <formula>10.6</formula>
    </cfRule>
    <cfRule type="cellIs" dxfId="95" priority="216" operator="between">
      <formula>7</formula>
      <formula>7.9</formula>
    </cfRule>
    <cfRule type="cellIs" dxfId="94" priority="217" stopIfTrue="1" operator="between">
      <formula>8</formula>
      <formula>8.9</formula>
    </cfRule>
    <cfRule type="cellIs" dxfId="93" priority="218" operator="between">
      <formula>9</formula>
      <formula>9.9</formula>
    </cfRule>
    <cfRule type="cellIs" dxfId="92" priority="219" stopIfTrue="1" operator="between">
      <formula>10</formula>
      <formula>10</formula>
    </cfRule>
  </conditionalFormatting>
  <conditionalFormatting sqref="N412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91" priority="135" stopIfTrue="1">
      <formula>LEN(TRIM(N413))=0</formula>
    </cfRule>
    <cfRule type="cellIs" dxfId="90" priority="136" operator="lessThan">
      <formula>2</formula>
    </cfRule>
    <cfRule type="cellIs" dxfId="89" priority="137" operator="between">
      <formula>2</formula>
      <formula>4.9</formula>
    </cfRule>
    <cfRule type="cellIs" dxfId="88" priority="138" operator="between">
      <formula>5</formula>
      <formula>6.9</formula>
    </cfRule>
    <cfRule type="cellIs" dxfId="87" priority="139" operator="between">
      <formula>10.1</formula>
      <formula>10.6</formula>
    </cfRule>
    <cfRule type="cellIs" dxfId="86" priority="140" operator="between">
      <formula>7</formula>
      <formula>7.9</formula>
    </cfRule>
    <cfRule type="cellIs" dxfId="85" priority="141" stopIfTrue="1" operator="between">
      <formula>8</formula>
      <formula>8.9</formula>
    </cfRule>
    <cfRule type="cellIs" dxfId="84" priority="142" operator="between">
      <formula>9</formula>
      <formula>9.9</formula>
    </cfRule>
    <cfRule type="cellIs" dxfId="83" priority="143" stopIfTrue="1" operator="between">
      <formula>10</formula>
      <formula>10</formula>
    </cfRule>
  </conditionalFormatting>
  <conditionalFormatting sqref="N417"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82" priority="93" stopIfTrue="1">
      <formula>LEN(TRIM(N418))=0</formula>
    </cfRule>
    <cfRule type="cellIs" dxfId="81" priority="94" operator="lessThan">
      <formula>2</formula>
    </cfRule>
    <cfRule type="cellIs" dxfId="80" priority="95" operator="between">
      <formula>2</formula>
      <formula>4.9</formula>
    </cfRule>
    <cfRule type="cellIs" dxfId="79" priority="96" operator="between">
      <formula>5</formula>
      <formula>6.9</formula>
    </cfRule>
    <cfRule type="cellIs" dxfId="78" priority="97" operator="between">
      <formula>10.1</formula>
      <formula>10.6</formula>
    </cfRule>
    <cfRule type="cellIs" dxfId="77" priority="98" operator="between">
      <formula>7</formula>
      <formula>7.9</formula>
    </cfRule>
    <cfRule type="cellIs" dxfId="76" priority="99" stopIfTrue="1" operator="between">
      <formula>8</formula>
      <formula>8.9</formula>
    </cfRule>
    <cfRule type="cellIs" dxfId="75" priority="100" operator="between">
      <formula>9</formula>
      <formula>9.9</formula>
    </cfRule>
    <cfRule type="cellIs" dxfId="74" priority="101" stopIfTrue="1" operator="between">
      <formula>10</formula>
      <formula>10</formula>
    </cfRule>
  </conditionalFormatting>
  <conditionalFormatting sqref="N430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73" priority="34" stopIfTrue="1">
      <formula>LEN(TRIM(N431))=0</formula>
    </cfRule>
    <cfRule type="cellIs" dxfId="72" priority="35" operator="lessThan">
      <formula>2</formula>
    </cfRule>
    <cfRule type="cellIs" dxfId="71" priority="36" operator="between">
      <formula>2</formula>
      <formula>4.9</formula>
    </cfRule>
    <cfRule type="cellIs" dxfId="70" priority="37" operator="between">
      <formula>5</formula>
      <formula>6.9</formula>
    </cfRule>
    <cfRule type="cellIs" dxfId="69" priority="38" operator="between">
      <formula>10.1</formula>
      <formula>10.6</formula>
    </cfRule>
    <cfRule type="cellIs" dxfId="68" priority="39" operator="between">
      <formula>7</formula>
      <formula>7.9</formula>
    </cfRule>
    <cfRule type="cellIs" dxfId="67" priority="40" stopIfTrue="1" operator="between">
      <formula>8</formula>
      <formula>8.9</formula>
    </cfRule>
    <cfRule type="cellIs" dxfId="66" priority="41" operator="between">
      <formula>9</formula>
      <formula>9.9</formula>
    </cfRule>
    <cfRule type="cellIs" dxfId="65" priority="42" stopIfTrue="1" operator="between">
      <formula>10</formula>
      <formula>10</formula>
    </cfRule>
  </conditionalFormatting>
  <conditionalFormatting sqref="AM3:AM11">
    <cfRule type="cellIs" dxfId="64" priority="1709" operator="between">
      <formula>7</formula>
      <formula>7.9</formula>
    </cfRule>
    <cfRule type="cellIs" dxfId="63" priority="1710" operator="between">
      <formula>8</formula>
      <formula>8.9</formula>
    </cfRule>
    <cfRule type="cellIs" dxfId="62" priority="1711" operator="between">
      <formula>9</formula>
      <formula>9.9</formula>
    </cfRule>
    <cfRule type="cellIs" dxfId="61" priority="1712" operator="between">
      <formula>10</formula>
      <formula>10</formula>
    </cfRule>
  </conditionalFormatting>
  <conditionalFormatting sqref="K431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60" priority="23" stopIfTrue="1">
      <formula>LEN(TRIM(K432))=0</formula>
    </cfRule>
    <cfRule type="cellIs" dxfId="59" priority="24" operator="lessThan">
      <formula>2</formula>
    </cfRule>
    <cfRule type="cellIs" dxfId="58" priority="25" operator="between">
      <formula>2</formula>
      <formula>4.9</formula>
    </cfRule>
    <cfRule type="cellIs" dxfId="57" priority="26" operator="between">
      <formula>5</formula>
      <formula>6.9</formula>
    </cfRule>
    <cfRule type="cellIs" dxfId="56" priority="27" operator="between">
      <formula>10.1</formula>
      <formula>10.6</formula>
    </cfRule>
    <cfRule type="cellIs" dxfId="55" priority="28" operator="between">
      <formula>7</formula>
      <formula>7.9</formula>
    </cfRule>
    <cfRule type="cellIs" dxfId="54" priority="29" stopIfTrue="1" operator="between">
      <formula>8</formula>
      <formula>8.9</formula>
    </cfRule>
    <cfRule type="cellIs" dxfId="53" priority="30" operator="between">
      <formula>9</formula>
      <formula>9.9</formula>
    </cfRule>
    <cfRule type="cellIs" dxfId="52" priority="31" stopIfTrue="1" operator="between">
      <formula>10</formula>
      <formula>10</formula>
    </cfRule>
  </conditionalFormatting>
  <conditionalFormatting sqref="H435:H449">
    <cfRule type="containsBlanks" dxfId="51" priority="14" stopIfTrue="1">
      <formula>LEN(TRIM(H435))=0</formula>
    </cfRule>
    <cfRule type="cellIs" dxfId="50" priority="15" operator="lessThan">
      <formula>2</formula>
    </cfRule>
    <cfRule type="cellIs" dxfId="49" priority="16" operator="between">
      <formula>2</formula>
      <formula>4.9</formula>
    </cfRule>
    <cfRule type="cellIs" dxfId="48" priority="17" operator="between">
      <formula>5</formula>
      <formula>6.9</formula>
    </cfRule>
    <cfRule type="cellIs" dxfId="47" priority="18" operator="between">
      <formula>10.1</formula>
      <formula>10.6</formula>
    </cfRule>
    <cfRule type="cellIs" dxfId="46" priority="19" operator="between">
      <formula>7</formula>
      <formula>7.9</formula>
    </cfRule>
    <cfRule type="cellIs" dxfId="45" priority="20" stopIfTrue="1" operator="between">
      <formula>8</formula>
      <formula>8.9</formula>
    </cfRule>
    <cfRule type="cellIs" dxfId="44" priority="21" operator="between">
      <formula>9</formula>
      <formula>9.9</formula>
    </cfRule>
    <cfRule type="cellIs" dxfId="43" priority="22" stopIfTrue="1" operator="between">
      <formula>10</formula>
      <formula>10</formula>
    </cfRule>
  </conditionalFormatting>
  <conditionalFormatting sqref="H434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8" priority="3" stopIfTrue="1">
      <formula>LEN(TRIM(E437))=0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43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ellIs" dxfId="33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2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5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4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3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2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ellIs" dxfId="18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17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1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2026-05-18T11:03:19Z</dcterms:modified>
</cp:coreProperties>
</file>