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7BA781F0-D8AC-4CE1-B585-CA3CEE96897D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9" i="4" l="1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<sst xmlns="http://schemas.openxmlformats.org/spreadsheetml/2006/main" count="2059" uniqueCount="1644">
  <si>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</si>
  <si>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</si>
  <si>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</si>
  <si>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</si>
  <si>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</si>
  <si>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</si>
  <si>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</si>
  <si>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</si>
  <si>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</si>
  <si>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</si>
  <si>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</si>
  <si>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</si>
  <si>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</si>
  <si>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</si>
  <si>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</si>
  <si>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</si>
  <si>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</si>
  <si>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</si>
  <si>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</si>
  <si>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</si>
  <si>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</si>
  <si>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</si>
  <si>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</si>
  <si>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</si>
  <si>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</si>
  <si>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</si>
  <si>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</si>
  <si>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</si>
  <si>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</si>
  <si>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</si>
  <si>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</si>
  <si>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</si>
  <si>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</si>
  <si>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</si>
  <si>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</si>
  <si>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</si>
  <si>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</si>
  <si>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</si>
  <si>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</si>
  <si>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</si>
  <si>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</si>
  <si>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</si>
  <si>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</si>
  <si>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</si>
  <si>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</si>
  <si>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</si>
  <si>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</si>
  <si>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</si>
  <si>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</si>
  <si>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</si>
  <si>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</si>
  <si>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</si>
  <si>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</si>
  <si>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</si>
  <si>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</si>
  <si>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</si>
  <si>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</si>
  <si>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</si>
  <si>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</si>
  <si>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</si>
  <si>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</si>
  <si>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</si>
  <si>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</si>
  <si>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</si>
  <si>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</si>
  <si>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</si>
  <si>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</si>
  <si>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</si>
  <si>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</si>
  <si>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</si>
  <si>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</si>
  <si>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</si>
  <si>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</si>
  <si>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</si>
  <si>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</si>
  <si>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</si>
  <si>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</si>
  <si>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</si>
  <si>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</si>
  <si>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</si>
  <si>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</si>
  <si>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</si>
  <si>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</si>
  <si>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</si>
  <si>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</si>
  <si>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</si>
  <si>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</si>
  <si>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</si>
  <si>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</si>
  <si>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</si>
  <si>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</si>
  <si>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</si>
  <si>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</si>
  <si>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</si>
  <si>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</si>
  <si>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</si>
  <si>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</si>
  <si>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</si>
  <si>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</si>
  <si>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</si>
  <si>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</si>
  <si>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</si>
  <si>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</si>
  <si>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</si>
  <si>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</si>
  <si>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</si>
  <si>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</si>
  <si>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</si>
  <si>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</si>
  <si>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</si>
  <si>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</si>
  <si>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</si>
  <si>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</si>
  <si>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</si>
  <si>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</si>
  <si>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</si>
  <si>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</si>
  <si>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</si>
  <si>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</si>
  <si>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</si>
  <si>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</si>
  <si>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</si>
  <si>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</si>
  <si>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</si>
  <si>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</si>
  <si>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</si>
  <si>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</si>
  <si>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</si>
  <si>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</si>
  <si>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</si>
  <si>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</si>
  <si>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</si>
  <si>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</si>
  <si>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</si>
  <si>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</si>
  <si>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</si>
  <si>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</si>
  <si>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</si>
  <si>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</si>
  <si>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</si>
  <si>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</si>
  <si>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</si>
  <si>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</si>
  <si>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</si>
  <si>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</si>
  <si>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</si>
  <si>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</si>
  <si>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</si>
  <si>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</si>
  <si>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</si>
  <si>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</si>
  <si>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</si>
  <si>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</si>
  <si>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</si>
  <si>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</si>
  <si>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</si>
  <si>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</si>
  <si>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</si>
  <si>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</si>
  <si>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</si>
  <si>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</si>
  <si>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</si>
  <si>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</si>
  <si>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</si>
  <si>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</si>
  <si>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</si>
  <si>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</si>
  <si>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</si>
  <si>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</si>
  <si>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</si>
  <si>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</si>
  <si>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</si>
  <si>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</si>
  <si>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</si>
  <si>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</si>
  <si>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</si>
  <si>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</si>
  <si>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</si>
  <si>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</si>
  <si>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</si>
  <si>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</si>
  <si>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</si>
  <si>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</si>
  <si>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</si>
  <si>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</si>
  <si>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</si>
  <si>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</si>
  <si>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</si>
  <si>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</si>
  <si>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</si>
  <si>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</si>
  <si>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</si>
  <si>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</si>
  <si>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</si>
  <si>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</si>
  <si>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</si>
  <si>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</si>
  <si>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</si>
  <si>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</si>
  <si>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</si>
  <si>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</si>
  <si>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</si>
  <si>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</si>
  <si>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</si>
  <si>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</si>
  <si>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</si>
  <si>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</si>
  <si>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</si>
  <si>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</si>
  <si>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</si>
  <si>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</si>
  <si>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</si>
  <si>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</si>
  <si>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</si>
  <si>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</si>
  <si>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</si>
  <si>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</si>
  <si>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</si>
  <si>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</si>
  <si>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</si>
  <si>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</si>
  <si>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</si>
  <si>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</si>
  <si>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</si>
  <si>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</si>
  <si>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</si>
  <si>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</si>
  <si>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</si>
  <si>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</si>
  <si>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</si>
  <si>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</si>
  <si>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</si>
  <si>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</si>
  <si>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</si>
  <si>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</si>
  <si>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</si>
  <si>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</si>
  <si>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</si>
  <si>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</si>
  <si>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</si>
  <si>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</si>
  <si>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</si>
  <si>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</si>
  <si>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</si>
  <si>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</si>
  <si>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</si>
  <si>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</si>
  <si>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</si>
  <si>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</si>
  <si>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</si>
  <si>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</si>
  <si>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</si>
  <si>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</si>
  <si>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</si>
  <si>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</si>
  <si>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</si>
  <si>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</si>
  <si>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</si>
  <si>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</si>
  <si>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</si>
  <si>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</si>
  <si>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</si>
  <si>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</si>
  <si>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</si>
  <si>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</si>
  <si>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</si>
  <si>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</si>
  <si>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</si>
  <si>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</si>
  <si>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</si>
  <si>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</si>
  <si>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</si>
  <si>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</si>
  <si>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</si>
  <si>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</si>
  <si>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</si>
  <si>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</si>
  <si>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</si>
  <si>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</si>
  <si>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</si>
  <si>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</si>
  <si>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</si>
  <si>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</si>
  <si>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</si>
  <si>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</si>
  <si>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</si>
  <si>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</si>
  <si>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</si>
  <si>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</si>
  <si>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</si>
  <si>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</si>
  <si>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</si>
  <si>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</si>
  <si>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</si>
  <si>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</si>
  <si>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</si>
  <si>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</si>
  <si>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</si>
  <si>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</si>
  <si>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</si>
  <si>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</si>
  <si>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</si>
  <si>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</si>
  <si>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</si>
  <si>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</si>
  <si>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</si>
  <si>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</si>
  <si>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</si>
  <si>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</si>
  <si>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</si>
  <si>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</si>
  <si>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</si>
  <si>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</si>
  <si>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</si>
  <si>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</si>
  <si>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</si>
  <si>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</si>
  <si>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</si>
  <si>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</si>
  <si>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</si>
  <si>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</si>
  <si>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</si>
  <si>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</si>
  <si>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</si>
  <si>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</si>
  <si>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</si>
  <si>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</si>
  <si>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</si>
  <si>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</si>
  <si>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</si>
  <si>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</si>
  <si>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</si>
  <si>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</si>
  <si>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</si>
  <si>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</si>
  <si>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</si>
  <si>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</si>
  <si>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</si>
  <si>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</si>
  <si>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</si>
  <si>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</si>
  <si>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</si>
  <si>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</si>
  <si>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</si>
  <si>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</si>
  <si>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</si>
  <si>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</si>
  <si>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</si>
  <si>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</si>
  <si>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</si>
  <si>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</si>
  <si>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</si>
  <si>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</si>
  <si>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</si>
  <si>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</si>
  <si>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</si>
  <si>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</si>
  <si>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</si>
  <si>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</si>
  <si>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</si>
  <si>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</si>
  <si>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</si>
  <si>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</si>
  <si>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</si>
  <si>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</si>
  <si>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</si>
  <si>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</si>
  <si>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</si>
  <si>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</si>
  <si>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</si>
  <si>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</si>
  <si>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</si>
  <si>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</si>
  <si>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</si>
  <si>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</si>
  <si>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</si>
  <si>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</si>
  <si>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</si>
  <si>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</si>
  <si>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</si>
  <si>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</si>
  <si>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</si>
  <si>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</si>
  <si>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</si>
  <si>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</si>
  <si>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</si>
  <si>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</si>
  <si>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</si>
  <si>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</si>
  <si>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</si>
  <si>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</si>
  <si>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</si>
  <si>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</si>
  <si>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</si>
  <si>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</si>
  <si>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</si>
  <si>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</si>
  <si>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</si>
  <si>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</si>
  <si>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</si>
  <si>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</si>
  <si>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</si>
  <si>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</si>
  <si>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</si>
  <si>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</si>
  <si>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</si>
  <si>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</si>
  <si>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</si>
  <si>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</si>
  <si>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</si>
  <si>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</si>
  <si>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</si>
  <si>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</si>
  <si>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</si>
  <si>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</si>
  <si>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</si>
  <si>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</si>
  <si>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</si>
  <si>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</si>
  <si>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</si>
  <si>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</si>
  <si>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</si>
  <si>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</si>
  <si>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</si>
  <si>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</si>
  <si>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</si>
  <si>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</si>
  <si>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</si>
  <si>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</si>
  <si>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</si>
  <si>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</si>
  <si>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</si>
  <si>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</si>
  <si>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</si>
  <si>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</si>
  <si>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</si>
  <si>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</si>
  <si>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</si>
  <si>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</si>
  <si>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</si>
  <si>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</si>
  <si>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</si>
  <si>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</si>
  <si>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</si>
  <si>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</si>
  <si>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</si>
  <si>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</si>
  <si>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</si>
  <si>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</si>
  <si>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</si>
  <si>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</si>
  <si>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</si>
  <si>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</si>
  <si>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</si>
  <si>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</si>
  <si>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</si>
  <si>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</si>
  <si>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</si>
  <si>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</si>
  <si>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</si>
  <si>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</si>
  <si>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</si>
  <si>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</si>
  <si>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</si>
  <si>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</si>
  <si>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</si>
  <si>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</si>
  <si>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</si>
  <si>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</si>
  <si>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</si>
  <si>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</si>
  <si>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</si>
  <si>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</si>
  <si>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</si>
  <si>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</si>
  <si>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</si>
  <si>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</si>
  <si>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</si>
  <si>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</si>
  <si>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</si>
  <si>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</si>
  <si>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</si>
  <si>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</si>
  <si>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</si>
  <si>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</si>
  <si>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</si>
  <si>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</si>
  <si>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</si>
  <si>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</si>
  <si>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</si>
  <si>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</si>
  <si>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</si>
  <si>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</si>
  <si>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</si>
  <si>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</si>
  <si>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</si>
  <si>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</si>
  <si>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</si>
  <si>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</si>
  <si>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</si>
  <si>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</si>
  <si>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</si>
  <si>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</si>
  <si>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</si>
  <si>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</si>
  <si>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</si>
  <si>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</si>
  <si>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</si>
  <si>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</si>
  <si>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</si>
  <si>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</si>
  <si>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</si>
  <si>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</si>
  <si>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</si>
  <si>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</si>
  <si>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</si>
  <si>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</si>
  <si>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</si>
  <si>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</si>
  <si>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</si>
  <si>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</si>
  <si>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</si>
  <si>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</si>
  <si>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</si>
  <si>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</si>
  <si>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</si>
  <si>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</si>
  <si>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</si>
  <si>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</si>
  <si>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</si>
  <si>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</si>
  <si>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</si>
  <si>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</si>
  <si>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</si>
  <si>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</si>
  <si>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</si>
  <si>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</si>
  <si>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</si>
  <si>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</si>
  <si>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</si>
  <si>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</si>
  <si>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</si>
  <si>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</si>
  <si>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</si>
  <si>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</si>
  <si>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</si>
  <si>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</si>
  <si>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</si>
  <si>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</si>
  <si>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</si>
  <si>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</si>
  <si>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</si>
  <si>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</si>
  <si>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</si>
  <si>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</si>
  <si>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</si>
  <si>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</si>
  <si>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</si>
  <si>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</si>
  <si>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</si>
  <si>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</si>
  <si>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</si>
  <si>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</si>
  <si>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</si>
  <si>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</si>
  <si>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</si>
  <si>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</si>
  <si>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</si>
  <si>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</si>
  <si>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</si>
  <si>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</si>
  <si>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</si>
  <si>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</si>
  <si>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</si>
  <si>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</si>
  <si>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</si>
  <si>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</si>
  <si>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</si>
  <si>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</si>
  <si>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</si>
  <si>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</si>
  <si>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</si>
  <si>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</si>
  <si>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</si>
  <si>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</si>
  <si>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</si>
  <si>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</si>
  <si>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</si>
  <si>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</si>
  <si>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</si>
  <si>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</si>
  <si>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</si>
  <si>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</si>
  <si>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</si>
  <si>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</si>
  <si>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</si>
  <si>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</si>
  <si>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</si>
  <si>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</si>
  <si>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</si>
  <si>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</si>
  <si>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</si>
  <si>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</si>
  <si>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</si>
  <si>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</si>
  <si>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</si>
  <si>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</si>
  <si>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</si>
  <si>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</si>
  <si>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</si>
  <si>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</si>
  <si>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</si>
  <si>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</si>
  <si>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</si>
  <si>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</si>
  <si>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</si>
  <si>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</si>
  <si>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</si>
  <si>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</si>
  <si>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</si>
  <si>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</si>
  <si>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</si>
  <si>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</si>
  <si>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</si>
  <si>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</si>
  <si>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</si>
  <si>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</si>
  <si>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</si>
  <si>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</si>
  <si>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</si>
  <si>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</si>
  <si>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</si>
  <si>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</si>
  <si>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</si>
  <si>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</si>
  <si>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</si>
  <si>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</si>
  <si>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</si>
  <si>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</si>
  <si>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</si>
  <si>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</si>
  <si>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</si>
  <si>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</si>
  <si>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</si>
  <si>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</si>
  <si>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</si>
  <si>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</si>
  <si>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</si>
  <si>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</si>
  <si>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</si>
  <si>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</si>
  <si>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</si>
  <si>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</si>
  <si>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</si>
  <si>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</si>
  <si>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</si>
  <si>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</si>
  <si>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</si>
  <si>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</si>
  <si>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</si>
  <si>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</si>
  <si>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</si>
  <si>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</si>
  <si>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</si>
  <si>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</si>
  <si>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</si>
  <si>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</si>
  <si>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</si>
  <si>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</si>
  <si>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</si>
  <si>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</si>
  <si>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</si>
  <si>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</si>
  <si>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</si>
  <si>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</si>
  <si>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</si>
  <si>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</si>
  <si>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</si>
  <si>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</si>
  <si>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</si>
  <si>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</si>
  <si>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</si>
  <si>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</si>
  <si>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</si>
  <si>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</si>
  <si>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</si>
  <si>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</si>
  <si>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</si>
  <si>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</si>
  <si>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</si>
  <si>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</si>
  <si>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</si>
  <si>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</si>
  <si>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</si>
  <si>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</si>
  <si>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</si>
  <si>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</si>
  <si>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</si>
  <si>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</si>
  <si>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</si>
  <si>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</si>
  <si>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</si>
  <si>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</si>
  <si>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</si>
  <si>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</si>
  <si>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</si>
  <si>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</si>
  <si>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</si>
  <si>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</si>
  <si>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</si>
  <si>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</si>
  <si>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</si>
  <si>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</si>
  <si>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</si>
  <si>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</si>
  <si>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</si>
  <si>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</si>
  <si>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</si>
  <si>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</si>
  <si>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</si>
  <si>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</si>
  <si>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</si>
  <si>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</si>
  <si>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</si>
  <si>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</si>
  <si>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</si>
  <si>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</si>
  <si>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</si>
  <si>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</si>
  <si>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</si>
  <si>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</si>
  <si>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</si>
  <si>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</si>
  <si>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</si>
  <si>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</si>
  <si>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</si>
  <si>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</si>
  <si>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</si>
  <si>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</si>
  <si>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</si>
  <si>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</si>
  <si>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</si>
  <si>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</si>
  <si>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</si>
  <si>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</si>
  <si>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</si>
  <si>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</si>
  <si>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</si>
  <si>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</si>
  <si>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</si>
  <si>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</si>
  <si>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</si>
  <si>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</si>
  <si>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</si>
  <si>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</si>
  <si>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</si>
  <si>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</si>
  <si>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</si>
  <si>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</si>
  <si>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</si>
  <si>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</si>
  <si>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</si>
  <si>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</si>
  <si>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</si>
  <si>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</si>
  <si>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</si>
  <si>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</si>
  <si>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</si>
  <si>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</si>
  <si>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</si>
  <si>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</si>
  <si>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</si>
  <si>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</si>
  <si>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</si>
  <si>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</si>
  <si>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</si>
  <si>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</si>
  <si>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</si>
  <si>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</si>
  <si>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</si>
  <si>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</si>
  <si>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</si>
  <si>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</si>
  <si>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</si>
  <si>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</si>
  <si>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</si>
  <si>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</si>
  <si>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</si>
  <si>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</si>
  <si>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</si>
  <si>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</si>
  <si>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</si>
  <si>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</si>
  <si>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</si>
  <si>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</si>
  <si>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</si>
  <si>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</si>
  <si>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</si>
  <si>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</si>
  <si>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</si>
  <si>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</si>
  <si>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</si>
  <si>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</si>
  <si>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</si>
  <si>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</si>
  <si>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</si>
  <si>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</si>
  <si>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</si>
  <si>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</si>
  <si>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</si>
  <si>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</si>
  <si>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</si>
  <si>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</si>
  <si>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</si>
  <si>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</si>
  <si>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</si>
  <si>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</si>
  <si>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</si>
  <si>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</si>
  <si>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</si>
  <si>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</si>
  <si>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</si>
  <si>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</si>
  <si>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</si>
  <si>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</si>
  <si>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</si>
  <si>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</si>
  <si>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</si>
  <si>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</si>
  <si>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</si>
  <si>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</si>
  <si>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</si>
  <si>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</si>
  <si>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</si>
  <si>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</si>
  <si>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</si>
  <si>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</si>
  <si>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</si>
  <si>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</si>
  <si>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</si>
  <si>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</si>
  <si>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</si>
  <si>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</si>
  <si>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</si>
  <si>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</si>
  <si>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</si>
  <si>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</si>
  <si>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</si>
  <si>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</si>
  <si>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</si>
  <si>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</si>
  <si>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</si>
  <si>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</si>
  <si>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</si>
  <si>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</si>
  <si>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</si>
  <si>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</si>
  <si>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</si>
  <si>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</si>
  <si>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</si>
  <si>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</si>
  <si>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</si>
  <si>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</si>
  <si>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</si>
  <si>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</si>
  <si>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</si>
  <si>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</si>
  <si>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</si>
  <si>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</si>
  <si>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</si>
  <si>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</si>
  <si>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</si>
  <si>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</si>
  <si>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</si>
  <si>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</si>
  <si>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</si>
  <si>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</si>
  <si>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</si>
  <si>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</si>
  <si>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</si>
  <si>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</si>
  <si>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</si>
  <si>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</si>
  <si>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</si>
  <si>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</si>
  <si>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</si>
  <si>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</si>
  <si>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</si>
  <si>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</si>
  <si>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</si>
  <si>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</si>
  <si>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</si>
  <si>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</si>
  <si>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</si>
  <si>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</si>
  <si>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</si>
  <si>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</si>
  <si>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</si>
  <si>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</si>
  <si>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</si>
  <si>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</si>
  <si>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</si>
  <si>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</si>
  <si>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</si>
  <si>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</si>
  <si>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</si>
  <si>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</si>
  <si>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</si>
  <si>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</si>
  <si>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</si>
  <si>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</si>
  <si>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</si>
  <si>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</si>
  <si>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</si>
  <si>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</si>
  <si>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</si>
  <si>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</si>
  <si>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</si>
  <si>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</si>
  <si>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</si>
  <si>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</si>
  <si>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</si>
  <si>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</si>
  <si>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</si>
  <si>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</si>
  <si>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</si>
  <si>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</si>
  <si>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</si>
  <si>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</si>
  <si>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</si>
  <si>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</si>
  <si>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</si>
  <si>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</si>
  <si>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</si>
  <si>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</si>
  <si>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</si>
  <si>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</si>
  <si>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</si>
  <si>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</si>
  <si>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</si>
  <si>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</si>
  <si>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</si>
  <si>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</si>
  <si>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</si>
  <si>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</si>
  <si>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</si>
  <si>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</si>
  <si>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</si>
  <si>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</si>
  <si>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</si>
  <si>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</si>
  <si>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</si>
  <si>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</si>
  <si>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</si>
  <si>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</si>
  <si>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</si>
  <si>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</si>
  <si>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</si>
  <si>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</si>
  <si>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</si>
  <si>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</si>
  <si>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</si>
  <si>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</si>
  <si>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</si>
  <si>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</si>
  <si>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</si>
  <si>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</si>
  <si>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</si>
  <si>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</si>
  <si>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</si>
  <si>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</si>
  <si>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</si>
  <si>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</si>
  <si>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</si>
  <si>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</si>
  <si>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</si>
  <si>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</si>
  <si>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</si>
  <si>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</si>
  <si>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</si>
  <si>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</si>
  <si>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</si>
  <si>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</si>
  <si>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</si>
  <si>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</si>
  <si>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</si>
  <si>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</si>
  <si>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</si>
  <si>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</si>
  <si>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</si>
  <si>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</si>
  <si>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</si>
  <si>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</si>
  <si>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</si>
  <si>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</si>
  <si>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</si>
  <si>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</si>
  <si>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</si>
  <si>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</si>
  <si>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</si>
  <si>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</si>
  <si>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</si>
  <si>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</si>
  <si>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</si>
  <si>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</si>
  <si>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</si>
  <si>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</si>
  <si>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</si>
  <si>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</si>
  <si>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</si>
  <si>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</si>
  <si>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</si>
  <si>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</si>
  <si>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</si>
  <si>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</si>
  <si>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</si>
  <si>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</si>
  <si>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</si>
  <si>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</si>
  <si>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</si>
  <si>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</si>
  <si>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</si>
  <si>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</si>
  <si>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</si>
  <si>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</si>
  <si>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</si>
  <si>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</si>
  <si>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</si>
  <si>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</si>
  <si>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</si>
  <si>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</si>
  <si>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</si>
  <si>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</si>
  <si>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</si>
  <si>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</si>
  <si>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</si>
  <si>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</si>
  <si>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</si>
  <si>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</si>
  <si>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</si>
  <si>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</si>
  <si>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</si>
  <si>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</si>
  <si>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</si>
  <si>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</si>
  <si>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</si>
  <si>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</si>
  <si>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</si>
  <si>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</si>
  <si>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</si>
  <si>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</si>
  <si>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</si>
  <si>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</si>
  <si>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</si>
  <si>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</si>
  <si>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</si>
  <si>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</si>
  <si>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</si>
  <si>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</si>
  <si>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</si>
  <si>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</si>
  <si>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</si>
  <si>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</si>
  <si>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</si>
  <si>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</si>
  <si>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</si>
  <si>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</si>
  <si>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</si>
  <si>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</si>
  <si>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</si>
  <si>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</si>
  <si>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</si>
  <si>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</si>
  <si>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</si>
  <si>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</si>
  <si>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</si>
  <si>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</si>
  <si>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</si>
  <si>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</si>
  <si>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</si>
  <si>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</si>
  <si>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</si>
  <si>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</si>
  <si>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</si>
  <si>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</si>
  <si>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</si>
  <si>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</si>
  <si>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</si>
  <si>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</si>
  <si>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</si>
  <si>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</si>
  <si>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</si>
  <si>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</si>
  <si>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</si>
  <si>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</si>
  <si>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</si>
  <si>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</si>
  <si>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</si>
  <si>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</si>
  <si>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</si>
  <si>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</si>
  <si>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</si>
  <si>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</si>
  <si>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</si>
  <si>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</si>
  <si>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</si>
  <si>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</si>
  <si>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</si>
  <si>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</si>
  <si>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</si>
  <si>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</si>
  <si>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</si>
  <si>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</si>
  <si>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</si>
  <si>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</si>
  <si>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</si>
  <si>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</si>
  <si>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</si>
  <si>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</si>
  <si>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</si>
  <si>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</si>
  <si>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</si>
  <si>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</si>
  <si>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</si>
  <si>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</si>
  <si>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</si>
  <si>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</si>
  <si>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</si>
  <si>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</si>
  <si>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</si>
  <si>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</si>
  <si>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</si>
  <si>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</si>
  <si>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</si>
  <si>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</si>
  <si>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</si>
  <si>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</si>
  <si>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</si>
  <si>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</si>
  <si>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</si>
  <si>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</si>
  <si>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</si>
  <si>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</si>
  <si>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</si>
  <si>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</si>
  <si>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</si>
  <si>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</si>
  <si>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</si>
  <si>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</si>
  <si>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</si>
  <si>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</si>
  <si>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</si>
  <si>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</si>
  <si>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</si>
  <si>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</si>
  <si>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</si>
  <si>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</si>
  <si>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</si>
  <si>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</si>
  <si>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</si>
  <si>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</si>
  <si>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</si>
  <si>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</si>
  <si>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</si>
  <si>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</si>
  <si>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</si>
  <si>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</si>
  <si>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</si>
  <si>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</si>
  <si>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</si>
  <si>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</si>
  <si>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</si>
  <si>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</si>
  <si>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</si>
  <si>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</si>
  <si>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</si>
  <si>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</si>
  <si>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</si>
  <si>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</si>
  <si>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</si>
  <si>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</si>
  <si>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</si>
  <si>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</si>
  <si>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</si>
  <si>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</si>
  <si>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</si>
  <si>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</si>
  <si>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</si>
  <si>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</si>
  <si>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</si>
  <si>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</si>
  <si>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</si>
  <si>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</si>
  <si>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</si>
  <si>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</si>
  <si>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</si>
  <si>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</si>
  <si>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</si>
  <si>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</si>
  <si>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</si>
  <si>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</si>
  <si>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</si>
  <si>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</si>
  <si>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</si>
  <si>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</si>
  <si>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</si>
  <si>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</si>
  <si>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</si>
  <si>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</si>
  <si>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</si>
  <si>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</si>
  <si>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</si>
  <si>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</si>
  <si>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</si>
  <si>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</si>
  <si>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</si>
  <si>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</si>
  <si>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</si>
  <si>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</si>
  <si>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</si>
  <si>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</si>
  <si>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</si>
  <si>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</si>
  <si>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</si>
  <si>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</si>
  <si>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</si>
  <si>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</si>
  <si>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</si>
  <si>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</si>
  <si>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</si>
  <si>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</si>
  <si>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</si>
  <si>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</si>
  <si>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</si>
  <si>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</si>
  <si>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</si>
  <si>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</si>
  <si>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</si>
  <si>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</si>
  <si>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</si>
  <si>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</si>
  <si>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</si>
  <si>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</si>
  <si>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</si>
  <si>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</si>
  <si>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</si>
  <si>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</si>
  <si>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</si>
  <si>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</si>
  <si>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</si>
  <si>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</si>
  <si>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</si>
  <si>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</si>
  <si>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</si>
  <si>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</si>
  <si>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</si>
  <si>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</si>
  <si>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</si>
  <si>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</si>
  <si>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</si>
  <si>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</si>
  <si>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</si>
  <si>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</si>
  <si>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</si>
  <si>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</si>
  <si>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</si>
  <si>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</si>
  <si>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</si>
  <si>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</si>
  <si>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</si>
  <si>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</si>
  <si>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</si>
  <si>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</si>
  <si>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</si>
  <si>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</si>
  <si>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</si>
  <si>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</si>
  <si>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</si>
  <si>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</si>
  <si>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</si>
  <si>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</si>
  <si>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</si>
  <si>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</si>
  <si>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</si>
  <si>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</si>
  <si>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</si>
  <si>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</si>
  <si>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</si>
  <si>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</si>
  <si>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</si>
  <si>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</si>
  <si>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</si>
  <si>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</si>
  <si>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</si>
  <si>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</si>
  <si>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</si>
  <si>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</si>
  <si>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</si>
  <si>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</si>
  <si>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</si>
  <si>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</si>
  <si>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</si>
  <si>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</si>
  <si>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</si>
  <si>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</si>
  <si>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</si>
  <si>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</si>
  <si>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</si>
  <si>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</si>
  <si>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</si>
  <si>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</si>
  <si>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</si>
  <si>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</si>
  <si>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</si>
  <si>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</si>
  <si>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</si>
  <si>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</si>
  <si>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</si>
  <si>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</si>
  <si>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</si>
  <si>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</si>
  <si>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</si>
  <si>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</si>
  <si>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</si>
  <si>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</si>
  <si>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</si>
  <si>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</si>
  <si>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</si>
  <si>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</si>
  <si>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</si>
  <si>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</si>
  <si>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</si>
  <si>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</si>
  <si>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</si>
  <si>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</si>
  <si>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</si>
  <si>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</si>
  <si>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</si>
  <si>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</si>
  <si>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</si>
  <si>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</si>
  <si>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</si>
  <si>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</si>
  <si>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</si>
  <si>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</si>
  <si>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</si>
  <si>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</si>
  <si>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</si>
  <si>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</si>
  <si>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</si>
  <si>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</si>
  <si>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</si>
  <si>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</si>
  <si>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</si>
  <si>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</si>
  <si>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</si>
  <si>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</si>
  <si>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</si>
  <si>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</si>
  <si>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</si>
  <si>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</si>
  <si>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</si>
  <si>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</si>
  <si>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</si>
  <si>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</si>
  <si>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</si>
  <si>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</si>
  <si>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</si>
  <si>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</si>
  <si>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</si>
  <si>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</si>
  <si>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</si>
  <si>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</si>
  <si>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</si>
  <si>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</si>
  <si>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</si>
  <si>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</si>
  <si>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</si>
  <si>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</si>
  <si>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</si>
  <si>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</si>
  <si>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</si>
  <si>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</si>
  <si>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</si>
  <si>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</si>
  <si>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</si>
  <si>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</si>
  <si>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</si>
  <si>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</si>
  <si>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</si>
  <si>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</si>
  <si>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</si>
  <si>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</si>
  <si>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</si>
  <si>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</si>
  <si>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</si>
  <si>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</si>
  <si>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</si>
  <si>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</si>
  <si>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</si>
  <si>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</si>
  <si>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</si>
  <si>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</si>
  <si>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</si>
  <si>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</si>
  <si>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</si>
  <si>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</si>
  <si>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</si>
  <si>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</si>
  <si>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</si>
  <si>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</si>
  <si>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</si>
  <si>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</si>
  <si>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</si>
  <si>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</si>
  <si>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</si>
  <si>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</si>
  <si>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</si>
  <si>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</si>
  <si>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</si>
  <si>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</si>
  <si>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</si>
  <si>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</si>
  <si>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</si>
  <si>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</si>
  <si>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</si>
  <si>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</si>
  <si>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</si>
  <si>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</si>
  <si>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</si>
  <si>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</si>
  <si>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</si>
  <si>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</si>
  <si>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</si>
  <si>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</si>
  <si>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</si>
  <si>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</si>
  <si>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</si>
  <si>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</si>
  <si>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</si>
  <si>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</si>
  <si>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</si>
  <si>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</si>
  <si>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</si>
  <si>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</si>
  <si>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</si>
  <si>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</si>
  <si>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</si>
  <si>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</si>
  <si>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</si>
  <si>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</si>
  <si>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</si>
  <si>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</si>
  <si>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</si>
  <si>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</si>
  <si>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</si>
  <si>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</si>
  <si>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</si>
  <si>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</si>
  <si>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</si>
  <si>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</si>
  <si>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</si>
  <si>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11 (9.12)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</si>
  <si>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</si>
  <si>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</si>
  <si>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</si>
  <si>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</si>
  <si>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</si>
  <si>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</si>
  <si>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</si>
  <si>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</si>
  <si>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</si>
  <si>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</si>
  <si>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</si>
  <si>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</si>
  <si>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</si>
  <si>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</si>
  <si>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</si>
  <si>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</si>
  <si>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</si>
  <si>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</si>
  <si>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</si>
  <si>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</si>
  <si>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</si>
  <si>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</si>
  <si>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</si>
  <si>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</si>
  <si>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</si>
  <si>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</si>
  <si>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</si>
  <si>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</si>
  <si>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</si>
  <si>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</si>
  <si>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</si>
  <si>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</si>
  <si>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</si>
  <si>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</si>
  <si>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</si>
  <si>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</si>
  <si>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</si>
  <si>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</si>
  <si>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</si>
  <si>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</si>
  <si>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</si>
  <si>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</si>
  <si>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</si>
  <si>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</si>
  <si>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</si>
  <si>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</si>
  <si>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</si>
  <si>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</si>
  <si>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</si>
  <si>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</si>
  <si>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</si>
  <si>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</si>
  <si>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</si>
  <si>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</si>
  <si>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</si>
  <si>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</si>
  <si>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</si>
  <si>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</si>
  <si>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</si>
  <si>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</si>
  <si>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</si>
  <si>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</si>
  <si>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</si>
  <si>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</si>
  <si>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</si>
  <si>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</si>
  <si>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</si>
  <si>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</si>
  <si>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</si>
  <si>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</si>
  <si>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</si>
  <si>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</si>
  <si>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</si>
  <si>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</si>
  <si>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</si>
  <si>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</si>
  <si>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</si>
  <si>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</si>
  <si>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</si>
  <si>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</si>
  <si>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</si>
  <si>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</si>
  <si>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</si>
  <si>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</si>
  <si>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</si>
  <si>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</si>
  <si>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</si>
  <si>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</si>
  <si>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</si>
  <si>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</si>
  <si>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</si>
  <si>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</si>
  <si>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</si>
  <si>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</si>
  <si>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</si>
  <si>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</si>
  <si>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</si>
  <si>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</si>
  <si>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</si>
  <si>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</si>
  <si>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</si>
  <si>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</si>
  <si>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</si>
  <si>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</si>
  <si>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</si>
  <si>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</si>
  <si>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</si>
  <si>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</si>
  <si>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</si>
  <si>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</si>
  <si>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</si>
  <si>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</si>
  <si>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</si>
  <si>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</si>
  <si>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5 (9.09)</t>
  </si>
  <si>
    <t>4 (8.85)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</si>
  <si>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</si>
  <si>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</si>
  <si>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</si>
  <si>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</si>
  <si>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</si>
  <si>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</si>
  <si>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</si>
  <si>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</si>
  <si>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</si>
  <si>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</si>
  <si>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</si>
  <si>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</si>
  <si>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</si>
  <si>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</si>
  <si>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</si>
  <si>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</si>
  <si>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</si>
  <si>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</si>
  <si>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</si>
  <si>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</si>
  <si>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</si>
  <si>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</si>
  <si>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</si>
  <si>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</si>
  <si>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</si>
  <si>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</si>
  <si>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</si>
  <si>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</si>
  <si>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</si>
  <si>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</si>
  <si>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</si>
  <si>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</si>
  <si>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</si>
  <si>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</si>
  <si>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</si>
  <si>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</si>
  <si>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</si>
  <si>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</si>
  <si>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</si>
  <si>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</si>
  <si>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</si>
  <si>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</si>
  <si>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</si>
  <si>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</si>
  <si>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</si>
  <si>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</si>
  <si>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</si>
  <si>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</si>
  <si>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8 (×224)</t>
  </si>
  <si>
    <t>0.11 ← simétrica</t>
  </si>
  <si>
    <t>-0.63 ← muy agrupadas</t>
  </si>
  <si>
    <t>16 (1.54%)</t>
  </si>
  <si>
    <t>155 (14.89%)</t>
  </si>
  <si>
    <t>416 (39.96%)</t>
  </si>
  <si>
    <t>252 (24.21%)</t>
  </si>
  <si>
    <t>202 (19.4%)</t>
  </si>
  <si>
    <t>progressive metal (18)</t>
  </si>
  <si>
    <t>18 (8.8)</t>
  </si>
  <si>
    <t>6 (8.8)</t>
  </si>
  <si>
    <t>ambient, video game music</t>
  </si>
  <si>
    <t>3rd EYE SCORE *</t>
  </si>
  <si>
    <t>roots rock, blues rock, classic rock</t>
  </si>
  <si>
    <t>99 de 99</t>
  </si>
  <si>
    <t>2 (8.7)</t>
  </si>
  <si>
    <t>video game music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</si>
</sst>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70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</fonts>
  <fills count="16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9E272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63CBAD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2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135" fillId="126" borderId="0" xfId="0" applyFont="1" applyFill="1" applyAlignment="1">
      <alignment vertical="center"/>
    </xf>
    <xf numFmtId="0" fontId="29" fillId="128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29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1" borderId="0" xfId="0" applyFont="1" applyFill="1" applyAlignment="1">
      <alignment vertical="center"/>
    </xf>
    <xf numFmtId="0" fontId="104" fillId="134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5" borderId="0" xfId="0" applyFont="1" applyFill="1" applyAlignment="1">
      <alignment horizontal="center"/>
    </xf>
    <xf numFmtId="0" fontId="145" fillId="136" borderId="0" xfId="0" applyFont="1" applyFill="1" applyAlignment="1">
      <alignment vertical="center"/>
    </xf>
    <xf numFmtId="0" fontId="147" fillId="48" borderId="0" xfId="0" applyFont="1" applyFill="1"/>
    <xf numFmtId="0" fontId="58" fillId="137" borderId="0" xfId="0" applyFont="1" applyFill="1" applyAlignment="1">
      <alignment vertic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149" fillId="146" borderId="0" xfId="0" applyFont="1" applyFill="1" applyAlignment="1">
      <alignment vertical="center"/>
    </xf>
    <xf numFmtId="0" fontId="29" fillId="147" borderId="0" xfId="0" applyFont="1" applyFill="1" applyAlignment="1">
      <alignment horizontal="center"/>
    </xf>
    <xf numFmtId="0" fontId="151" fillId="14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49" borderId="0" xfId="0" applyFont="1" applyFill="1" applyAlignment="1">
      <alignment horizontal="center"/>
    </xf>
    <xf numFmtId="0" fontId="155" fillId="140" borderId="0" xfId="0" applyFont="1" applyFill="1" applyAlignment="1">
      <alignment vertic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159" fillId="52" borderId="0" xfId="0" applyFont="1" applyFill="1" applyAlignment="1">
      <alignment vertical="center"/>
    </xf>
    <xf numFmtId="0" fontId="163" fillId="154" borderId="0" xfId="0" applyFont="1" applyFill="1" applyAlignment="1">
      <alignment vertic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67" fillId="159" borderId="0" xfId="0" applyFont="1" applyFill="1" applyAlignment="1">
      <alignment vertical="center"/>
    </xf>
    <xf numFmtId="0" fontId="45" fillId="157" borderId="0" xfId="0" applyFont="1" applyFill="1" applyAlignment="1">
      <alignment vertical="center"/>
    </xf>
    <xf numFmtId="0" fontId="157" fillId="150" borderId="0" xfId="0" applyFont="1" applyFill="1" applyAlignment="1">
      <alignment vertical="center"/>
    </xf>
    <xf numFmtId="0" fontId="161" fillId="153" borderId="2" xfId="0" applyFont="1" applyFill="1" applyBorder="1" applyAlignment="1">
      <alignment vertical="center"/>
    </xf>
    <xf numFmtId="10" fontId="0" fillId="50" borderId="0" xfId="0" applyNumberFormat="1" applyFill="1" applyAlignment="1">
      <alignment horizontal="right"/>
    </xf>
    <xf numFmtId="0" fontId="165" fillId="160" borderId="4" xfId="0" applyFont="1" applyFill="1" applyBorder="1" applyAlignment="1">
      <alignment vertical="center"/>
    </xf>
    <xf numFmtId="0" fontId="106" fillId="161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116" borderId="1" xfId="0" applyFont="1" applyFill="1" applyBorder="1" applyAlignment="1">
      <alignment vertical="center"/>
    </xf>
    <xf numFmtId="0" fontId="167" fillId="162" borderId="1" xfId="0" applyFont="1" applyFill="1" applyBorder="1" applyAlignment="1">
      <alignment vertical="center"/>
    </xf>
    <xf numFmtId="0" fontId="131" fillId="117" borderId="0" xfId="0" applyFont="1" applyFill="1" applyAlignment="1">
      <alignment horizontal="center"/>
    </xf>
    <xf numFmtId="0" fontId="168" fillId="127" borderId="0" xfId="0" applyFont="1" applyFill="1" applyAlignment="1">
      <alignment vertical="center"/>
    </xf>
    <xf numFmtId="0" fontId="0" fillId="0" borderId="8" xfId="0" applyFill="1" applyBorder="1"/>
    <xf numFmtId="0" fontId="0" fillId="0" borderId="2" xfId="0" applyFill="1" applyBorder="1"/>
    <xf numFmtId="0" fontId="0" fillId="0" borderId="3" xfId="0" applyFill="1" applyBorder="1"/>
    <xf numFmtId="0" fontId="35" fillId="163" borderId="1" xfId="0" applyFont="1" applyFill="1" applyBorder="1"/>
    <xf numFmtId="0" fontId="29" fillId="164" borderId="0" xfId="0" applyFont="1" applyFill="1" applyAlignment="1">
      <alignment horizontal="center"/>
    </xf>
  </cellXfs>
  <cellStyles count="1">
    <cellStyle name="Normal" xfId="0" builtinId="0"/>
  </cellStyles>
  <dxfs count="685"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00003E"/>
      <color rgb="FFE8ECE3"/>
      <color rgb="FFF6D5C0"/>
      <color rgb="FFCD9B69"/>
      <color rgb="FFFF8989"/>
      <color rgb="FFEFEF8D"/>
      <color rgb="FFF7CB9B"/>
      <color rgb="FF969696"/>
      <color rgb="FF40298B"/>
      <color rgb="FF522F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60" zoomScaleNormal="60" workbookViewId="0">
      <pane ySplit="1" topLeftCell="A240" activePane="bottomLeft" state="frozen"/>
      <selection pane="bottomLeft" activeCell="M263" sqref="M263:N275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09765625" bestFit="1" customWidth="1"/>
    <col min="19" max="19" width="25.8984375" bestFit="1" customWidth="1"/>
    <col min="20" max="20" width="37.296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3984375" style="16" bestFit="1" customWidth="1"/>
    <col min="26" max="26" width="14.3984375" style="16" bestFit="1" customWidth="1"/>
    <col min="27" max="27" width="9.8984375" bestFit="1" customWidth="1"/>
    <col min="28" max="28" width="46.796875" bestFit="1" customWidth="1"/>
    <col min="29" max="29" width="3.5" customWidth="1"/>
    <col min="30" max="30" width="27.19921875" hidden="1" customWidth="1"/>
    <col min="31" max="31" width="37.796875" bestFit="1" customWidth="1"/>
    <col min="32" max="32" width="34.5976562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55" t="s">
        <v>1388</v>
      </c>
      <c r="S1" s="255"/>
      <c r="T1" s="255"/>
      <c r="U1" s="255"/>
      <c r="V1" s="255"/>
      <c r="W1" s="255"/>
      <c r="X1" s="255"/>
      <c r="Y1" s="255"/>
      <c r="Z1" s="255"/>
      <c r="AA1" s="255"/>
      <c r="AB1" s="255"/>
      <c r="AE1" s="255" t="s">
        <v>1059</v>
      </c>
      <c r="AF1" s="255"/>
    </row>
    <row r="2" spans="1:47" ht="16.05" customHeight="1" thickBot="1">
      <c r="A2" s="131" t="s">
        <v>917</v>
      </c>
      <c r="B2" s="3">
        <f>ROUND(SUM(B3:B14)/COUNT(B3:B14), 2)</f>
        <v>9.89</v>
      </c>
      <c r="C2" s="4"/>
      <c r="D2" s="132" t="s">
        <v>918</v>
      </c>
      <c r="E2" s="14">
        <f>ROUND(SUM(E3:E12)/COUNT(E3:E12), 2)</f>
        <v>9.6999999999999993</v>
      </c>
      <c r="F2" s="4"/>
      <c r="G2" s="207" t="s">
        <v>1226</v>
      </c>
      <c r="H2" s="3">
        <f>ROUND(SUM(H3:H15)/COUNT(H3:H15), 2)</f>
        <v>8.65</v>
      </c>
      <c r="I2" s="4"/>
      <c r="J2" s="73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1639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94" t="s">
        <v>1060</v>
      </c>
      <c r="AF2" s="194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70">
        <v>1</v>
      </c>
      <c r="S3" s="57" t="s">
        <v>1022</v>
      </c>
      <c r="T3" s="57" t="s">
        <v>1020</v>
      </c>
      <c r="U3" s="80">
        <v>10.5</v>
      </c>
      <c r="V3" s="148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8" t="s">
        <v>1061</v>
      </c>
      <c r="AF3" s="195">
        <v>99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71">
        <v>2</v>
      </c>
      <c r="S4" s="78" t="s">
        <v>342</v>
      </c>
      <c r="T4" s="78" t="s">
        <v>7</v>
      </c>
      <c r="U4" s="81">
        <v>9.89</v>
      </c>
      <c r="V4" s="148">
        <v>10.41</v>
      </c>
      <c r="W4" s="78">
        <v>10</v>
      </c>
      <c r="X4" s="78">
        <v>0.61</v>
      </c>
      <c r="Y4" s="78">
        <v>5</v>
      </c>
      <c r="Z4" s="78">
        <v>12</v>
      </c>
      <c r="AA4" s="78">
        <v>3</v>
      </c>
      <c r="AB4" s="78" t="s">
        <v>775</v>
      </c>
      <c r="AE4" s="57" t="s">
        <v>1062</v>
      </c>
      <c r="AF4" s="196">
        <v>68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72">
        <v>3</v>
      </c>
      <c r="S5" s="57" t="s">
        <v>348</v>
      </c>
      <c r="T5" s="57" t="s">
        <v>1054</v>
      </c>
      <c r="U5" s="80">
        <v>10</v>
      </c>
      <c r="V5" s="148">
        <v>10.3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8" t="s">
        <v>1063</v>
      </c>
      <c r="AF5" s="195">
        <v>1092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9">
        <v>4</v>
      </c>
      <c r="S6" s="78" t="s">
        <v>343</v>
      </c>
      <c r="T6" s="78" t="s">
        <v>344</v>
      </c>
      <c r="U6" s="81">
        <v>9.6999999999999993</v>
      </c>
      <c r="V6" s="148">
        <v>10.220000000000001</v>
      </c>
      <c r="W6" s="78">
        <v>10</v>
      </c>
      <c r="X6" s="78">
        <v>0.87</v>
      </c>
      <c r="Y6" s="78">
        <v>6</v>
      </c>
      <c r="Z6" s="78">
        <v>10</v>
      </c>
      <c r="AA6" s="78">
        <v>0</v>
      </c>
      <c r="AB6" s="78" t="s">
        <v>776</v>
      </c>
      <c r="AE6" s="57" t="s">
        <v>1064</v>
      </c>
      <c r="AF6" s="196">
        <v>1041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9">
        <v>5</v>
      </c>
      <c r="S7" s="57" t="s">
        <v>695</v>
      </c>
      <c r="T7" s="57" t="s">
        <v>696</v>
      </c>
      <c r="U7" s="80">
        <v>9.8800000000000008</v>
      </c>
      <c r="V7" s="148">
        <v>10.11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8" t="s">
        <v>341</v>
      </c>
      <c r="AF7" s="195">
        <v>51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9">
        <v>6</v>
      </c>
      <c r="S8" s="78" t="s">
        <v>342</v>
      </c>
      <c r="T8" s="78" t="s">
        <v>578</v>
      </c>
      <c r="U8" s="81">
        <v>9.61</v>
      </c>
      <c r="V8" s="153">
        <v>9.86</v>
      </c>
      <c r="W8" s="78">
        <v>10</v>
      </c>
      <c r="X8" s="78">
        <v>0.74</v>
      </c>
      <c r="Y8" s="78">
        <v>5</v>
      </c>
      <c r="Z8" s="78">
        <v>11</v>
      </c>
      <c r="AA8" s="78">
        <v>2</v>
      </c>
      <c r="AB8" s="78" t="s">
        <v>775</v>
      </c>
      <c r="AE8" s="57" t="s">
        <v>1065</v>
      </c>
      <c r="AF8" s="196">
        <v>11.03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9">
        <v>7</v>
      </c>
      <c r="S9" s="57" t="s">
        <v>342</v>
      </c>
      <c r="T9" s="57" t="s">
        <v>158</v>
      </c>
      <c r="U9" s="80">
        <v>9.61</v>
      </c>
      <c r="V9" s="152">
        <v>9.83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8" t="s">
        <v>1066</v>
      </c>
      <c r="AF9" s="248">
        <v>4.6699999999999998E-2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9">
        <v>8</v>
      </c>
      <c r="S10" s="78" t="s">
        <v>343</v>
      </c>
      <c r="T10" s="78" t="s">
        <v>345</v>
      </c>
      <c r="U10" s="81">
        <v>9.5500000000000007</v>
      </c>
      <c r="V10" s="154">
        <v>9.7100000000000009</v>
      </c>
      <c r="W10" s="78">
        <v>9.5</v>
      </c>
      <c r="X10" s="78">
        <v>0.57999999999999996</v>
      </c>
      <c r="Y10" s="78">
        <v>3</v>
      </c>
      <c r="Z10" s="78">
        <v>12</v>
      </c>
      <c r="AA10" s="78">
        <v>1</v>
      </c>
      <c r="AB10" s="78" t="s">
        <v>776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9">
        <v>9</v>
      </c>
      <c r="S11" s="57" t="s">
        <v>348</v>
      </c>
      <c r="T11" s="57" t="s">
        <v>349</v>
      </c>
      <c r="U11" s="80">
        <v>9.44</v>
      </c>
      <c r="V11" s="227">
        <v>9.56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94" t="s">
        <v>1067</v>
      </c>
      <c r="AF11" s="194"/>
      <c r="AI11" s="90"/>
      <c r="AQ11" s="17" t="s">
        <v>163</v>
      </c>
      <c r="AR11" s="17"/>
      <c r="AU11" s="18" cm="1">
        <f t="array" ref="AU11">ROUND(CORREL(V3:V75,Z3:Z75-AA3:AA75),3)</f>
        <v>-0.439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7.5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9">
        <v>10</v>
      </c>
      <c r="S12" s="78" t="s">
        <v>342</v>
      </c>
      <c r="T12" s="78" t="s">
        <v>1294</v>
      </c>
      <c r="U12" s="81">
        <v>9.36</v>
      </c>
      <c r="V12" s="223">
        <v>9.5299999999999994</v>
      </c>
      <c r="W12" s="78">
        <v>10</v>
      </c>
      <c r="X12" s="78">
        <v>1.1200000000000001</v>
      </c>
      <c r="Y12" s="78">
        <v>4</v>
      </c>
      <c r="Z12" s="78">
        <v>10</v>
      </c>
      <c r="AA12" s="78">
        <v>3</v>
      </c>
      <c r="AB12" s="78" t="s">
        <v>1307</v>
      </c>
      <c r="AE12" s="57" t="s">
        <v>1068</v>
      </c>
      <c r="AF12" s="196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9">
        <v>11</v>
      </c>
      <c r="S13" s="57" t="s">
        <v>348</v>
      </c>
      <c r="T13" s="57" t="s">
        <v>792</v>
      </c>
      <c r="U13" s="80">
        <v>9.4</v>
      </c>
      <c r="V13" s="155">
        <v>9.41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8" t="s">
        <v>1069</v>
      </c>
      <c r="AF13" s="195">
        <v>8.5</v>
      </c>
      <c r="AQ13" t="s">
        <v>1058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27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9" t="s">
        <v>915</v>
      </c>
      <c r="K14" s="3">
        <f>ROUND(SUM(K15:K23)/COUNT(K15:K23), 2)</f>
        <v>8.83</v>
      </c>
      <c r="L14" s="4"/>
      <c r="M14" s="130" t="s">
        <v>916</v>
      </c>
      <c r="N14" s="3">
        <f>ROUND(SUM(N15:N26)/COUNT(N15:N26), 2)</f>
        <v>8.67</v>
      </c>
      <c r="O14" s="22"/>
      <c r="R14" s="69">
        <v>12</v>
      </c>
      <c r="S14" s="78" t="s">
        <v>346</v>
      </c>
      <c r="T14" s="78" t="s">
        <v>280</v>
      </c>
      <c r="U14" s="81">
        <v>9.3800000000000008</v>
      </c>
      <c r="V14" s="199">
        <v>9.39</v>
      </c>
      <c r="W14" s="78">
        <v>9.5</v>
      </c>
      <c r="X14" s="78">
        <v>0.78</v>
      </c>
      <c r="Y14" s="78">
        <v>3</v>
      </c>
      <c r="Z14" s="78">
        <v>8</v>
      </c>
      <c r="AA14" s="78">
        <v>0</v>
      </c>
      <c r="AB14" s="78" t="s">
        <v>777</v>
      </c>
      <c r="AE14" s="57" t="s">
        <v>1070</v>
      </c>
      <c r="AF14" s="196" t="s">
        <v>1627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9">
        <v>13</v>
      </c>
      <c r="S15" s="57" t="s">
        <v>347</v>
      </c>
      <c r="T15" s="57" t="s">
        <v>1229</v>
      </c>
      <c r="U15" s="80">
        <v>9.4</v>
      </c>
      <c r="V15" s="156">
        <v>9.33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.05" customHeight="1" thickBot="1">
      <c r="A16" s="128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9">
        <v>14</v>
      </c>
      <c r="S16" s="78" t="s">
        <v>351</v>
      </c>
      <c r="T16" s="78" t="s">
        <v>56</v>
      </c>
      <c r="U16" s="81">
        <v>9.25</v>
      </c>
      <c r="V16" s="157">
        <v>9.23</v>
      </c>
      <c r="W16" s="78">
        <v>9.25</v>
      </c>
      <c r="X16" s="78">
        <v>0.83</v>
      </c>
      <c r="Y16" s="78">
        <v>3</v>
      </c>
      <c r="Z16" s="78">
        <v>8</v>
      </c>
      <c r="AA16" s="78">
        <v>0</v>
      </c>
      <c r="AB16" s="78" t="s">
        <v>801</v>
      </c>
      <c r="AE16" s="194" t="s">
        <v>1071</v>
      </c>
      <c r="AF16" s="194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208" t="s">
        <v>1227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9">
        <v>15</v>
      </c>
      <c r="S17" s="57" t="s">
        <v>347</v>
      </c>
      <c r="T17" s="57" t="s">
        <v>1032</v>
      </c>
      <c r="U17" s="80">
        <v>9.3000000000000007</v>
      </c>
      <c r="V17" s="191">
        <v>9.2100000000000009</v>
      </c>
      <c r="W17" s="57">
        <v>9</v>
      </c>
      <c r="X17" s="57">
        <v>0.87</v>
      </c>
      <c r="Y17" s="57">
        <v>2</v>
      </c>
      <c r="Z17" s="57">
        <v>5</v>
      </c>
      <c r="AA17" s="57">
        <v>0</v>
      </c>
      <c r="AB17" s="57" t="s">
        <v>778</v>
      </c>
      <c r="AE17" s="78" t="s">
        <v>1072</v>
      </c>
      <c r="AF17" s="195">
        <v>0.99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9">
        <v>16</v>
      </c>
      <c r="S18" s="78" t="s">
        <v>352</v>
      </c>
      <c r="T18" s="78" t="s">
        <v>190</v>
      </c>
      <c r="U18" s="81">
        <v>9.2100000000000009</v>
      </c>
      <c r="V18" s="200">
        <v>9.19</v>
      </c>
      <c r="W18" s="78">
        <v>9.25</v>
      </c>
      <c r="X18" s="78">
        <v>0.85</v>
      </c>
      <c r="Y18" s="78">
        <v>5</v>
      </c>
      <c r="Z18" s="78">
        <v>13</v>
      </c>
      <c r="AA18" s="78">
        <v>1</v>
      </c>
      <c r="AB18" s="78" t="s">
        <v>781</v>
      </c>
      <c r="AE18" s="57" t="s">
        <v>1073</v>
      </c>
      <c r="AF18" s="197">
        <v>0.11409999999999999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9">
        <v>17</v>
      </c>
      <c r="S19" s="57" t="s">
        <v>350</v>
      </c>
      <c r="T19" s="57" t="s">
        <v>132</v>
      </c>
      <c r="U19" s="80">
        <v>9.2100000000000009</v>
      </c>
      <c r="V19" s="201">
        <v>9.14</v>
      </c>
      <c r="W19" s="57">
        <v>9</v>
      </c>
      <c r="X19" s="57">
        <v>0.8</v>
      </c>
      <c r="Y19" s="57">
        <v>2</v>
      </c>
      <c r="Z19" s="57">
        <v>7</v>
      </c>
      <c r="AA19" s="57">
        <v>0</v>
      </c>
      <c r="AB19" s="57" t="s">
        <v>802</v>
      </c>
      <c r="AE19" s="78" t="s">
        <v>1074</v>
      </c>
      <c r="AF19" s="195" t="s">
        <v>1075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9">
        <v>18</v>
      </c>
      <c r="S20" s="78" t="s">
        <v>499</v>
      </c>
      <c r="T20" s="78" t="s">
        <v>517</v>
      </c>
      <c r="U20" s="81">
        <v>9.17</v>
      </c>
      <c r="V20" s="158">
        <v>9.11</v>
      </c>
      <c r="W20" s="78">
        <v>9</v>
      </c>
      <c r="X20" s="78">
        <v>0.69</v>
      </c>
      <c r="Y20" s="78">
        <v>1</v>
      </c>
      <c r="Z20" s="78">
        <v>6</v>
      </c>
      <c r="AA20" s="78">
        <v>0</v>
      </c>
      <c r="AB20" s="78" t="s">
        <v>780</v>
      </c>
      <c r="AE20" s="57" t="s">
        <v>1076</v>
      </c>
      <c r="AF20" s="196" t="s">
        <v>1077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9">
        <v>19</v>
      </c>
      <c r="S21" s="57" t="s">
        <v>463</v>
      </c>
      <c r="T21" s="57" t="s">
        <v>36</v>
      </c>
      <c r="U21" s="80">
        <v>9.15</v>
      </c>
      <c r="V21" s="202">
        <v>9.1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9">
        <v>20</v>
      </c>
      <c r="S22" s="78" t="s">
        <v>351</v>
      </c>
      <c r="T22" s="78" t="s">
        <v>715</v>
      </c>
      <c r="U22" s="81">
        <v>9.1300000000000008</v>
      </c>
      <c r="V22" s="58">
        <v>9.0500000000000007</v>
      </c>
      <c r="W22" s="78">
        <v>9</v>
      </c>
      <c r="X22" s="78">
        <v>0.93</v>
      </c>
      <c r="Y22" s="78">
        <v>3</v>
      </c>
      <c r="Z22" s="78">
        <v>8</v>
      </c>
      <c r="AA22" s="78">
        <v>0</v>
      </c>
      <c r="AB22" s="78" t="s">
        <v>801</v>
      </c>
      <c r="AE22" s="194" t="s">
        <v>1078</v>
      </c>
      <c r="AF22" s="194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9">
        <v>21</v>
      </c>
      <c r="S23" s="57" t="s">
        <v>353</v>
      </c>
      <c r="T23" s="57" t="s">
        <v>159</v>
      </c>
      <c r="U23" s="80">
        <v>9.08</v>
      </c>
      <c r="V23" s="228">
        <v>9.01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8" t="s">
        <v>1079</v>
      </c>
      <c r="AF23" s="195" t="s">
        <v>1628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9">
        <v>22</v>
      </c>
      <c r="S24" s="78" t="s">
        <v>354</v>
      </c>
      <c r="T24" s="78" t="s">
        <v>270</v>
      </c>
      <c r="U24" s="81">
        <v>9</v>
      </c>
      <c r="V24" s="159">
        <v>8.9499999999999993</v>
      </c>
      <c r="W24" s="78">
        <v>9</v>
      </c>
      <c r="X24" s="78">
        <v>0.82</v>
      </c>
      <c r="Y24" s="78">
        <v>2</v>
      </c>
      <c r="Z24" s="78">
        <v>9</v>
      </c>
      <c r="AA24" s="78">
        <v>0</v>
      </c>
      <c r="AB24" s="78" t="s">
        <v>801</v>
      </c>
      <c r="AE24" s="57" t="s">
        <v>1080</v>
      </c>
      <c r="AF24" s="196" t="s">
        <v>1629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6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9">
        <v>23</v>
      </c>
      <c r="S25" s="57" t="s">
        <v>343</v>
      </c>
      <c r="T25" s="57" t="s">
        <v>297</v>
      </c>
      <c r="U25" s="80">
        <v>9.0500000000000007</v>
      </c>
      <c r="V25" s="159">
        <v>8.9499999999999993</v>
      </c>
      <c r="W25" s="57">
        <v>9</v>
      </c>
      <c r="X25" s="57">
        <v>1.04</v>
      </c>
      <c r="Y25" s="57">
        <v>4</v>
      </c>
      <c r="Z25" s="57">
        <v>11</v>
      </c>
      <c r="AA25" s="57">
        <v>1</v>
      </c>
      <c r="AB25" s="57" t="s">
        <v>882</v>
      </c>
    </row>
    <row r="26" spans="1:43" ht="16.05" customHeight="1" thickBot="1">
      <c r="A26" s="209" t="s">
        <v>1228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9">
        <v>24</v>
      </c>
      <c r="S26" s="78" t="s">
        <v>934</v>
      </c>
      <c r="T26" s="78" t="s">
        <v>925</v>
      </c>
      <c r="U26" s="81">
        <v>9.06</v>
      </c>
      <c r="V26" s="91">
        <v>8.94</v>
      </c>
      <c r="W26" s="78">
        <v>8.75</v>
      </c>
      <c r="X26" s="78">
        <v>0.92</v>
      </c>
      <c r="Y26" s="78">
        <v>3</v>
      </c>
      <c r="Z26" s="78">
        <v>9</v>
      </c>
      <c r="AA26" s="78">
        <v>1</v>
      </c>
      <c r="AB26" s="78" t="s">
        <v>935</v>
      </c>
      <c r="AE26" s="194" t="s">
        <v>1081</v>
      </c>
      <c r="AF26" s="194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9">
        <v>25</v>
      </c>
      <c r="S27" s="57" t="s">
        <v>351</v>
      </c>
      <c r="T27" s="57" t="s">
        <v>1171</v>
      </c>
      <c r="U27" s="80">
        <v>9</v>
      </c>
      <c r="V27" s="204">
        <v>8.93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8" t="s">
        <v>1082</v>
      </c>
      <c r="AF27" s="195" t="s">
        <v>1083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9">
        <v>26</v>
      </c>
      <c r="S28" s="78" t="s">
        <v>499</v>
      </c>
      <c r="T28" s="78" t="s">
        <v>670</v>
      </c>
      <c r="U28" s="81">
        <v>8.94</v>
      </c>
      <c r="V28" s="61">
        <v>8.89</v>
      </c>
      <c r="W28" s="78">
        <v>9</v>
      </c>
      <c r="X28" s="78">
        <v>0.86</v>
      </c>
      <c r="Y28" s="78">
        <v>2</v>
      </c>
      <c r="Z28" s="78">
        <v>9</v>
      </c>
      <c r="AA28" s="78">
        <v>0</v>
      </c>
      <c r="AB28" s="78" t="s">
        <v>780</v>
      </c>
      <c r="AE28" s="57" t="s">
        <v>1084</v>
      </c>
      <c r="AF28" s="196" t="s">
        <v>1630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23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9">
        <v>27</v>
      </c>
      <c r="S29" s="57" t="s">
        <v>343</v>
      </c>
      <c r="T29" s="57" t="s">
        <v>451</v>
      </c>
      <c r="U29" s="80">
        <v>8.9600000000000009</v>
      </c>
      <c r="V29" s="160">
        <v>8.8699999999999992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8" t="s">
        <v>1085</v>
      </c>
      <c r="AF29" s="195" t="s">
        <v>1631</v>
      </c>
      <c r="AQ29" s="77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21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9">
        <v>28</v>
      </c>
      <c r="S30" s="78" t="s">
        <v>1625</v>
      </c>
      <c r="T30" s="78" t="s">
        <v>1626</v>
      </c>
      <c r="U30" s="81">
        <v>8.67</v>
      </c>
      <c r="V30" s="261">
        <v>8.83</v>
      </c>
      <c r="W30" s="78">
        <v>8.5</v>
      </c>
      <c r="X30" s="78">
        <v>0.98</v>
      </c>
      <c r="Y30" s="78">
        <v>5</v>
      </c>
      <c r="Z30" s="78">
        <v>26</v>
      </c>
      <c r="AA30" s="78">
        <v>0</v>
      </c>
      <c r="AB30" s="78" t="s">
        <v>1638</v>
      </c>
      <c r="AE30" s="57" t="s">
        <v>1086</v>
      </c>
      <c r="AF30" s="196" t="s">
        <v>1632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9">
        <v>29</v>
      </c>
      <c r="S31" s="57" t="s">
        <v>350</v>
      </c>
      <c r="T31" s="57" t="s">
        <v>993</v>
      </c>
      <c r="U31" s="80">
        <v>8.8800000000000008</v>
      </c>
      <c r="V31" s="162">
        <v>8.76</v>
      </c>
      <c r="W31" s="57">
        <v>8.75</v>
      </c>
      <c r="X31" s="57">
        <v>0.89</v>
      </c>
      <c r="Y31" s="57">
        <v>1</v>
      </c>
      <c r="Z31" s="57">
        <v>8</v>
      </c>
      <c r="AA31" s="57">
        <v>0</v>
      </c>
      <c r="AB31" s="57" t="s">
        <v>802</v>
      </c>
      <c r="AE31" s="78" t="s">
        <v>1087</v>
      </c>
      <c r="AF31" s="195" t="s">
        <v>1633</v>
      </c>
      <c r="AQ31" s="62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9">
        <v>30</v>
      </c>
      <c r="S32" s="78" t="s">
        <v>739</v>
      </c>
      <c r="T32" s="78" t="s">
        <v>1492</v>
      </c>
      <c r="U32" s="81">
        <v>8.8800000000000008</v>
      </c>
      <c r="V32" s="162">
        <v>8.76</v>
      </c>
      <c r="W32" s="78">
        <v>8.5</v>
      </c>
      <c r="X32" s="78">
        <v>0.74</v>
      </c>
      <c r="Y32" s="78">
        <v>2</v>
      </c>
      <c r="Z32" s="78">
        <v>15</v>
      </c>
      <c r="AA32" s="78">
        <v>2</v>
      </c>
      <c r="AB32" s="78" t="s">
        <v>1494</v>
      </c>
      <c r="AE32" s="57" t="s">
        <v>1088</v>
      </c>
      <c r="AF32" s="196" t="s">
        <v>1634</v>
      </c>
      <c r="AQ32" t="s">
        <v>372</v>
      </c>
    </row>
    <row r="33" spans="1:43" ht="16.05" customHeight="1" thickBot="1">
      <c r="A33" s="122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9">
        <v>31</v>
      </c>
      <c r="S33" s="57" t="s">
        <v>355</v>
      </c>
      <c r="T33" s="57" t="s">
        <v>356</v>
      </c>
      <c r="U33" s="80">
        <v>8.89</v>
      </c>
      <c r="V33" s="161">
        <v>8.75</v>
      </c>
      <c r="W33" s="57">
        <v>9</v>
      </c>
      <c r="X33" s="57">
        <v>0.7</v>
      </c>
      <c r="Y33" s="57">
        <v>2</v>
      </c>
      <c r="Z33" s="57">
        <v>9</v>
      </c>
      <c r="AA33" s="57">
        <v>0</v>
      </c>
      <c r="AB33" s="57" t="s">
        <v>783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9">
        <v>32</v>
      </c>
      <c r="S34" s="78" t="s">
        <v>1389</v>
      </c>
      <c r="T34" s="78" t="s">
        <v>1380</v>
      </c>
      <c r="U34" s="81">
        <v>8.86</v>
      </c>
      <c r="V34" s="161">
        <v>8.75</v>
      </c>
      <c r="W34" s="78">
        <v>9</v>
      </c>
      <c r="X34" s="78">
        <v>0.53</v>
      </c>
      <c r="Y34" s="78">
        <v>1</v>
      </c>
      <c r="Z34" s="78">
        <v>11</v>
      </c>
      <c r="AA34" s="78">
        <v>0</v>
      </c>
      <c r="AB34" s="78" t="s">
        <v>1394</v>
      </c>
      <c r="AE34" s="194" t="s">
        <v>1089</v>
      </c>
      <c r="AF34" s="194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9">
        <v>33</v>
      </c>
      <c r="S35" s="57" t="s">
        <v>1560</v>
      </c>
      <c r="T35" s="57" t="s">
        <v>1561</v>
      </c>
      <c r="U35" s="80">
        <v>8.93</v>
      </c>
      <c r="V35" s="161">
        <v>8.75</v>
      </c>
      <c r="W35" s="57">
        <v>9</v>
      </c>
      <c r="X35" s="57">
        <v>0.73</v>
      </c>
      <c r="Y35" s="57">
        <v>1</v>
      </c>
      <c r="Z35" s="57">
        <v>7</v>
      </c>
      <c r="AA35" s="57">
        <v>0</v>
      </c>
      <c r="AB35" s="57" t="s">
        <v>1564</v>
      </c>
      <c r="AE35" s="78" t="s">
        <v>1090</v>
      </c>
      <c r="AF35" s="195" t="s">
        <v>1091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9">
        <v>34</v>
      </c>
      <c r="S36" s="78" t="s">
        <v>357</v>
      </c>
      <c r="T36" s="78" t="s">
        <v>357</v>
      </c>
      <c r="U36" s="81">
        <v>8.83</v>
      </c>
      <c r="V36" s="212">
        <v>8.7200000000000006</v>
      </c>
      <c r="W36" s="78">
        <v>8.5</v>
      </c>
      <c r="X36" s="78">
        <v>0.82</v>
      </c>
      <c r="Y36" s="78">
        <v>2</v>
      </c>
      <c r="Z36" s="78">
        <v>9</v>
      </c>
      <c r="AA36" s="78">
        <v>0</v>
      </c>
      <c r="AB36" s="78" t="s">
        <v>1257</v>
      </c>
      <c r="AE36" s="57" t="s">
        <v>1092</v>
      </c>
      <c r="AF36" s="196" t="s">
        <v>1093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9">
        <v>35</v>
      </c>
      <c r="S37" s="57" t="s">
        <v>1432</v>
      </c>
      <c r="T37" s="57" t="s">
        <v>1433</v>
      </c>
      <c r="U37" s="80">
        <v>8.82</v>
      </c>
      <c r="V37" s="212">
        <v>8.7200000000000006</v>
      </c>
      <c r="W37" s="57">
        <v>8.75</v>
      </c>
      <c r="X37" s="57">
        <v>0.92</v>
      </c>
      <c r="Y37" s="57">
        <v>3</v>
      </c>
      <c r="Z37" s="57">
        <v>16</v>
      </c>
      <c r="AA37" s="57">
        <v>2</v>
      </c>
      <c r="AB37" s="57" t="s">
        <v>1436</v>
      </c>
      <c r="AE37" s="78" t="s">
        <v>1094</v>
      </c>
      <c r="AF37" s="195" t="s">
        <v>1461</v>
      </c>
      <c r="AQ37" t="s">
        <v>1306</v>
      </c>
    </row>
    <row r="38" spans="1:43" ht="16.05" customHeight="1" thickBot="1">
      <c r="A38" s="6" t="s">
        <v>150</v>
      </c>
      <c r="B38" s="51">
        <v>10.5</v>
      </c>
      <c r="C38" s="4"/>
      <c r="D38" s="120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9">
        <v>36</v>
      </c>
      <c r="S38" s="78" t="s">
        <v>1225</v>
      </c>
      <c r="T38" s="78" t="s">
        <v>1624</v>
      </c>
      <c r="U38" s="81">
        <v>8.7200000000000006</v>
      </c>
      <c r="V38" s="206">
        <v>8.7100000000000009</v>
      </c>
      <c r="W38" s="78">
        <v>8.5</v>
      </c>
      <c r="X38" s="78">
        <v>1.03</v>
      </c>
      <c r="Y38" s="78">
        <v>5</v>
      </c>
      <c r="Z38" s="78">
        <v>24</v>
      </c>
      <c r="AA38" s="78">
        <v>1</v>
      </c>
      <c r="AB38" s="78" t="s">
        <v>1638</v>
      </c>
      <c r="AE38" s="57" t="s">
        <v>1095</v>
      </c>
      <c r="AF38" s="196" t="s">
        <v>1413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9">
        <v>37</v>
      </c>
      <c r="S39" s="57" t="s">
        <v>1445</v>
      </c>
      <c r="T39" s="57" t="s">
        <v>1438</v>
      </c>
      <c r="U39" s="80">
        <v>8.86</v>
      </c>
      <c r="V39" s="206">
        <v>8.7100000000000009</v>
      </c>
      <c r="W39" s="57">
        <v>9</v>
      </c>
      <c r="X39" s="57">
        <v>0.69</v>
      </c>
      <c r="Y39" s="57">
        <v>1</v>
      </c>
      <c r="Z39" s="57">
        <v>7</v>
      </c>
      <c r="AA39" s="57">
        <v>0</v>
      </c>
      <c r="AB39" s="57" t="s">
        <v>1447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24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9">
        <v>38</v>
      </c>
      <c r="S40" s="78" t="s">
        <v>1595</v>
      </c>
      <c r="T40" s="78" t="s">
        <v>1596</v>
      </c>
      <c r="U40" s="81">
        <v>8.82</v>
      </c>
      <c r="V40" s="213">
        <v>8.6999999999999993</v>
      </c>
      <c r="W40" s="78">
        <v>8.5</v>
      </c>
      <c r="X40" s="78">
        <v>0.81</v>
      </c>
      <c r="Y40" s="78">
        <v>2</v>
      </c>
      <c r="Z40" s="78">
        <v>12</v>
      </c>
      <c r="AA40" s="78">
        <v>1</v>
      </c>
      <c r="AB40" s="78" t="s">
        <v>802</v>
      </c>
      <c r="AE40" s="194" t="s">
        <v>1096</v>
      </c>
      <c r="AF40" s="194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9">
        <v>39</v>
      </c>
      <c r="S41" s="57" t="s">
        <v>357</v>
      </c>
      <c r="T41" s="57" t="s">
        <v>95</v>
      </c>
      <c r="U41" s="80">
        <v>8.83</v>
      </c>
      <c r="V41" s="60">
        <v>8.68</v>
      </c>
      <c r="W41" s="57">
        <v>8.5</v>
      </c>
      <c r="X41" s="57">
        <v>0.94</v>
      </c>
      <c r="Y41" s="57">
        <v>2</v>
      </c>
      <c r="Z41" s="57">
        <v>9</v>
      </c>
      <c r="AA41" s="57">
        <v>0</v>
      </c>
      <c r="AB41" s="57" t="s">
        <v>784</v>
      </c>
      <c r="AE41" s="78" t="s">
        <v>1097</v>
      </c>
      <c r="AF41" s="195" t="s">
        <v>1641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9">
        <v>40</v>
      </c>
      <c r="S42" s="78" t="s">
        <v>361</v>
      </c>
      <c r="T42" s="78" t="s">
        <v>1018</v>
      </c>
      <c r="U42" s="81">
        <v>8.73</v>
      </c>
      <c r="V42" s="60">
        <v>8.68</v>
      </c>
      <c r="W42" s="78">
        <v>9</v>
      </c>
      <c r="X42" s="78">
        <v>0.96</v>
      </c>
      <c r="Y42" s="78">
        <v>2</v>
      </c>
      <c r="Z42" s="78">
        <v>11</v>
      </c>
      <c r="AA42" s="78">
        <v>0</v>
      </c>
      <c r="AB42" s="78" t="s">
        <v>1024</v>
      </c>
      <c r="AE42" s="57" t="s">
        <v>1098</v>
      </c>
      <c r="AF42" s="196">
        <v>74</v>
      </c>
      <c r="AQ42" t="s">
        <v>1030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9">
        <v>41</v>
      </c>
      <c r="S43" s="57" t="s">
        <v>347</v>
      </c>
      <c r="T43" s="57" t="s">
        <v>1455</v>
      </c>
      <c r="U43" s="80">
        <v>8.83</v>
      </c>
      <c r="V43" s="241">
        <v>8.66</v>
      </c>
      <c r="W43" s="57">
        <v>8.75</v>
      </c>
      <c r="X43" s="57">
        <v>0.62</v>
      </c>
      <c r="Y43" s="57">
        <v>1</v>
      </c>
      <c r="Z43" s="57">
        <v>6</v>
      </c>
      <c r="AA43" s="57">
        <v>0</v>
      </c>
      <c r="AB43" s="57" t="s">
        <v>1459</v>
      </c>
      <c r="AE43" s="78" t="s">
        <v>1099</v>
      </c>
      <c r="AF43" s="195" t="s">
        <v>1635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9">
        <v>42</v>
      </c>
      <c r="S44" s="78" t="s">
        <v>842</v>
      </c>
      <c r="T44" s="78" t="s">
        <v>843</v>
      </c>
      <c r="U44" s="81">
        <v>8.82</v>
      </c>
      <c r="V44" s="163">
        <v>8.64</v>
      </c>
      <c r="W44" s="78">
        <v>9</v>
      </c>
      <c r="X44" s="78">
        <v>0.86</v>
      </c>
      <c r="Y44" s="78">
        <v>3</v>
      </c>
      <c r="Z44" s="78">
        <v>13</v>
      </c>
      <c r="AA44" s="78">
        <v>2</v>
      </c>
      <c r="AB44" s="78" t="s">
        <v>844</v>
      </c>
      <c r="AE44" s="57" t="s">
        <v>1100</v>
      </c>
      <c r="AF44" s="196" t="s">
        <v>1101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9">
        <v>43</v>
      </c>
      <c r="S45" s="57" t="s">
        <v>358</v>
      </c>
      <c r="T45" s="57" t="s">
        <v>282</v>
      </c>
      <c r="U45" s="80">
        <v>8.7799999999999994</v>
      </c>
      <c r="V45" s="94">
        <v>8.6300000000000008</v>
      </c>
      <c r="W45" s="57">
        <v>9</v>
      </c>
      <c r="X45" s="57">
        <v>0.79</v>
      </c>
      <c r="Y45" s="57">
        <v>2</v>
      </c>
      <c r="Z45" s="57">
        <v>10</v>
      </c>
      <c r="AA45" s="57">
        <v>1</v>
      </c>
      <c r="AB45" s="57" t="s">
        <v>785</v>
      </c>
      <c r="AE45" s="78" t="s">
        <v>1102</v>
      </c>
      <c r="AF45" s="195" t="s">
        <v>1103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9">
        <v>44</v>
      </c>
      <c r="S46" s="78" t="s">
        <v>863</v>
      </c>
      <c r="T46" s="78" t="s">
        <v>858</v>
      </c>
      <c r="U46" s="81">
        <v>8.7100000000000009</v>
      </c>
      <c r="V46" s="94">
        <v>8.6300000000000008</v>
      </c>
      <c r="W46" s="78">
        <v>8.5</v>
      </c>
      <c r="X46" s="78">
        <v>0.75</v>
      </c>
      <c r="Y46" s="78">
        <v>2</v>
      </c>
      <c r="Z46" s="78">
        <v>14</v>
      </c>
      <c r="AA46" s="78">
        <v>0</v>
      </c>
      <c r="AB46" s="78" t="s">
        <v>864</v>
      </c>
    </row>
    <row r="47" spans="1:43" ht="16.05" customHeight="1" thickBot="1">
      <c r="A47" s="119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25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9">
        <v>45</v>
      </c>
      <c r="S47" s="57" t="s">
        <v>1549</v>
      </c>
      <c r="T47" s="57" t="s">
        <v>1550</v>
      </c>
      <c r="U47" s="80">
        <v>8.73</v>
      </c>
      <c r="V47" s="94">
        <v>8.6300000000000008</v>
      </c>
      <c r="W47" s="57">
        <v>8.5</v>
      </c>
      <c r="X47" s="57">
        <v>0.75</v>
      </c>
      <c r="Y47" s="57">
        <v>1</v>
      </c>
      <c r="Z47" s="57">
        <v>13</v>
      </c>
      <c r="AA47" s="57">
        <v>0</v>
      </c>
      <c r="AB47" s="57" t="s">
        <v>1551</v>
      </c>
      <c r="AE47" s="194" t="s">
        <v>1104</v>
      </c>
      <c r="AF47" s="194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9">
        <v>46</v>
      </c>
      <c r="S48" s="78" t="s">
        <v>606</v>
      </c>
      <c r="T48" s="78" t="s">
        <v>607</v>
      </c>
      <c r="U48" s="81">
        <v>8.7799999999999994</v>
      </c>
      <c r="V48" s="59">
        <v>8.6199999999999992</v>
      </c>
      <c r="W48" s="78">
        <v>8.5</v>
      </c>
      <c r="X48" s="78">
        <v>0.97</v>
      </c>
      <c r="Y48" s="78">
        <v>2</v>
      </c>
      <c r="Z48" s="78">
        <v>9</v>
      </c>
      <c r="AA48" s="78">
        <v>0</v>
      </c>
      <c r="AB48" s="78" t="s">
        <v>845</v>
      </c>
      <c r="AE48" s="57" t="s">
        <v>1105</v>
      </c>
      <c r="AF48" s="196" t="s">
        <v>1106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9">
        <v>47</v>
      </c>
      <c r="S49" s="57" t="s">
        <v>1505</v>
      </c>
      <c r="T49" s="57" t="s">
        <v>1506</v>
      </c>
      <c r="U49" s="80">
        <v>8.83</v>
      </c>
      <c r="V49" s="59">
        <v>8.6199999999999992</v>
      </c>
      <c r="W49" s="57">
        <v>8.5</v>
      </c>
      <c r="X49" s="57">
        <v>0.57999999999999996</v>
      </c>
      <c r="Y49" s="57">
        <v>1</v>
      </c>
      <c r="Z49" s="57">
        <v>9</v>
      </c>
      <c r="AA49" s="57">
        <v>0</v>
      </c>
      <c r="AB49" s="57" t="s">
        <v>1510</v>
      </c>
      <c r="AE49" s="78" t="s">
        <v>1108</v>
      </c>
      <c r="AF49" s="195" t="s">
        <v>1179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9">
        <v>48</v>
      </c>
      <c r="S50" s="78" t="s">
        <v>353</v>
      </c>
      <c r="T50" s="78" t="s">
        <v>649</v>
      </c>
      <c r="U50" s="81">
        <v>8.77</v>
      </c>
      <c r="V50" s="164">
        <v>8.61</v>
      </c>
      <c r="W50" s="78">
        <v>8.5</v>
      </c>
      <c r="X50" s="78">
        <v>0.99</v>
      </c>
      <c r="Y50" s="78">
        <v>3</v>
      </c>
      <c r="Z50" s="78">
        <v>13</v>
      </c>
      <c r="AA50" s="78">
        <v>0</v>
      </c>
      <c r="AB50" s="78" t="s">
        <v>782</v>
      </c>
      <c r="AE50" s="57" t="s">
        <v>1107</v>
      </c>
      <c r="AF50" s="196" t="s">
        <v>1456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9">
        <v>49</v>
      </c>
      <c r="S51" s="57" t="s">
        <v>1332</v>
      </c>
      <c r="T51" s="57" t="s">
        <v>1333</v>
      </c>
      <c r="U51" s="80">
        <v>8.67</v>
      </c>
      <c r="V51" s="226">
        <v>8.6</v>
      </c>
      <c r="W51" s="57">
        <v>9</v>
      </c>
      <c r="X51" s="57">
        <v>1.08</v>
      </c>
      <c r="Y51" s="57">
        <v>2</v>
      </c>
      <c r="Z51" s="57">
        <v>9</v>
      </c>
      <c r="AA51" s="57">
        <v>0</v>
      </c>
      <c r="AB51" s="57" t="s">
        <v>1337</v>
      </c>
      <c r="AE51" s="78" t="s">
        <v>1114</v>
      </c>
      <c r="AF51" s="195" t="s">
        <v>1180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9">
        <v>50</v>
      </c>
      <c r="S52" s="78" t="s">
        <v>739</v>
      </c>
      <c r="T52" s="78" t="s">
        <v>735</v>
      </c>
      <c r="U52" s="81">
        <v>8.67</v>
      </c>
      <c r="V52" s="171">
        <v>8.57</v>
      </c>
      <c r="W52" s="78">
        <v>8</v>
      </c>
      <c r="X52" s="78">
        <v>1.04</v>
      </c>
      <c r="Y52" s="78">
        <v>4</v>
      </c>
      <c r="Z52" s="78">
        <v>16</v>
      </c>
      <c r="AA52" s="78">
        <v>1</v>
      </c>
      <c r="AB52" s="78" t="s">
        <v>803</v>
      </c>
      <c r="AE52" s="57" t="s">
        <v>1110</v>
      </c>
      <c r="AF52" s="196" t="s">
        <v>1111</v>
      </c>
    </row>
    <row r="53" spans="1:32" ht="16.05" customHeight="1" thickBot="1">
      <c r="A53" s="8" t="s">
        <v>265</v>
      </c>
      <c r="B53" s="51">
        <v>8</v>
      </c>
      <c r="C53" s="22"/>
      <c r="D53" s="118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9">
        <v>51</v>
      </c>
      <c r="S53" s="57" t="s">
        <v>1575</v>
      </c>
      <c r="T53" s="57" t="s">
        <v>1576</v>
      </c>
      <c r="U53" s="80">
        <v>8.75</v>
      </c>
      <c r="V53" s="171">
        <v>8.57</v>
      </c>
      <c r="W53" s="57">
        <v>8.75</v>
      </c>
      <c r="X53" s="57">
        <v>0.75</v>
      </c>
      <c r="Y53" s="57">
        <v>2</v>
      </c>
      <c r="Z53" s="57">
        <v>10</v>
      </c>
      <c r="AA53" s="57">
        <v>0</v>
      </c>
      <c r="AB53" s="57" t="s">
        <v>1579</v>
      </c>
      <c r="AE53" s="78" t="s">
        <v>1112</v>
      </c>
      <c r="AF53" s="195" t="s">
        <v>1462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7" t="s">
        <v>414</v>
      </c>
      <c r="K54" s="3">
        <f>ROUND(SUM(K55:K64)/COUNT(K55:K64), 2)</f>
        <v>8.35</v>
      </c>
      <c r="L54" s="4"/>
      <c r="M54" s="117" t="s">
        <v>903</v>
      </c>
      <c r="N54" s="14">
        <f>ROUND(SUM(N55:N65)/COUNT(N55:N65), 2)</f>
        <v>9.0500000000000007</v>
      </c>
      <c r="O54" s="22"/>
      <c r="R54" s="69">
        <v>52</v>
      </c>
      <c r="S54" s="78" t="s">
        <v>426</v>
      </c>
      <c r="T54" s="78" t="s">
        <v>424</v>
      </c>
      <c r="U54" s="81">
        <v>8.67</v>
      </c>
      <c r="V54" s="166">
        <v>8.56</v>
      </c>
      <c r="W54" s="78">
        <v>8.5</v>
      </c>
      <c r="X54" s="78">
        <v>0.85</v>
      </c>
      <c r="Y54" s="78">
        <v>2</v>
      </c>
      <c r="Z54" s="78">
        <v>12</v>
      </c>
      <c r="AA54" s="78">
        <v>0</v>
      </c>
      <c r="AB54" s="78" t="s">
        <v>845</v>
      </c>
      <c r="AE54" s="57" t="s">
        <v>798</v>
      </c>
      <c r="AF54" s="196" t="s">
        <v>1493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9">
        <v>53</v>
      </c>
      <c r="S55" s="57" t="s">
        <v>343</v>
      </c>
      <c r="T55" s="57" t="s">
        <v>579</v>
      </c>
      <c r="U55" s="80">
        <v>8.68</v>
      </c>
      <c r="V55" s="166">
        <v>8.56</v>
      </c>
      <c r="W55" s="57">
        <v>9</v>
      </c>
      <c r="X55" s="57">
        <v>0.61</v>
      </c>
      <c r="Y55" s="57">
        <v>0</v>
      </c>
      <c r="Z55" s="57">
        <v>11</v>
      </c>
      <c r="AA55" s="57">
        <v>0</v>
      </c>
      <c r="AB55" s="57" t="s">
        <v>776</v>
      </c>
      <c r="AE55" s="78" t="s">
        <v>1109</v>
      </c>
      <c r="AF55" s="195" t="s">
        <v>1577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9">
        <v>54</v>
      </c>
      <c r="S56" s="78" t="s">
        <v>350</v>
      </c>
      <c r="T56" s="78" t="s">
        <v>923</v>
      </c>
      <c r="U56" s="81">
        <v>8.7100000000000009</v>
      </c>
      <c r="V56" s="166">
        <v>8.56</v>
      </c>
      <c r="W56" s="78">
        <v>8.5</v>
      </c>
      <c r="X56" s="78">
        <v>0.96</v>
      </c>
      <c r="Y56" s="78">
        <v>1</v>
      </c>
      <c r="Z56" s="78">
        <v>7</v>
      </c>
      <c r="AA56" s="78">
        <v>0</v>
      </c>
      <c r="AB56" s="78" t="s">
        <v>802</v>
      </c>
      <c r="AE56" s="57" t="s">
        <v>1113</v>
      </c>
      <c r="AF56" s="196" t="s">
        <v>1396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9">
        <v>55</v>
      </c>
      <c r="S57" s="57" t="s">
        <v>1526</v>
      </c>
      <c r="T57" s="57" t="s">
        <v>1532</v>
      </c>
      <c r="U57" s="80">
        <v>8.8000000000000007</v>
      </c>
      <c r="V57" s="166">
        <v>8.56</v>
      </c>
      <c r="W57" s="57">
        <v>8.5</v>
      </c>
      <c r="X57" s="57">
        <v>0.7</v>
      </c>
      <c r="Y57" s="57">
        <v>2</v>
      </c>
      <c r="Z57" s="57">
        <v>15</v>
      </c>
      <c r="AA57" s="57">
        <v>0</v>
      </c>
      <c r="AB57" s="57" t="s">
        <v>1529</v>
      </c>
      <c r="AE57" s="78" t="s">
        <v>1115</v>
      </c>
      <c r="AF57" s="195" t="s">
        <v>1116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9">
        <v>56</v>
      </c>
      <c r="S58" s="78" t="s">
        <v>413</v>
      </c>
      <c r="T58" s="78" t="s">
        <v>407</v>
      </c>
      <c r="U58" s="81">
        <v>8.6999999999999993</v>
      </c>
      <c r="V58" s="167">
        <v>8.5299999999999994</v>
      </c>
      <c r="W58" s="78">
        <v>8.5</v>
      </c>
      <c r="X58" s="78">
        <v>1.08</v>
      </c>
      <c r="Y58" s="78">
        <v>2</v>
      </c>
      <c r="Z58" s="78">
        <v>10</v>
      </c>
      <c r="AA58" s="78">
        <v>0</v>
      </c>
      <c r="AB58" s="78" t="s">
        <v>786</v>
      </c>
      <c r="AE58" s="57" t="s">
        <v>1117</v>
      </c>
      <c r="AF58" s="196" t="s">
        <v>1116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9">
        <v>57</v>
      </c>
      <c r="S59" s="57" t="s">
        <v>1390</v>
      </c>
      <c r="T59" s="57" t="s">
        <v>1391</v>
      </c>
      <c r="U59" s="80">
        <v>8.77</v>
      </c>
      <c r="V59" s="235">
        <v>8.52</v>
      </c>
      <c r="W59" s="57">
        <v>8.5</v>
      </c>
      <c r="X59" s="57">
        <v>0.75</v>
      </c>
      <c r="Y59" s="57">
        <v>2</v>
      </c>
      <c r="Z59" s="57">
        <v>14</v>
      </c>
      <c r="AA59" s="57">
        <v>1</v>
      </c>
      <c r="AB59" s="57" t="s">
        <v>1395</v>
      </c>
      <c r="AE59" s="78" t="s">
        <v>1293</v>
      </c>
      <c r="AF59" s="195" t="s">
        <v>1527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9">
        <v>58</v>
      </c>
      <c r="S60" s="78" t="s">
        <v>1287</v>
      </c>
      <c r="T60" s="78" t="s">
        <v>1281</v>
      </c>
      <c r="U60" s="81">
        <v>8.75</v>
      </c>
      <c r="V60" s="219">
        <v>8.49</v>
      </c>
      <c r="W60" s="78">
        <v>8.5</v>
      </c>
      <c r="X60" s="78">
        <v>0.8</v>
      </c>
      <c r="Y60" s="78">
        <v>1</v>
      </c>
      <c r="Z60" s="78">
        <v>7</v>
      </c>
      <c r="AA60" s="78">
        <v>1</v>
      </c>
      <c r="AB60" s="78" t="s">
        <v>1290</v>
      </c>
      <c r="AE60" s="57" t="s">
        <v>784</v>
      </c>
      <c r="AF60" s="196" t="s">
        <v>1181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9">
        <v>59</v>
      </c>
      <c r="S61" s="57" t="s">
        <v>762</v>
      </c>
      <c r="T61" s="57" t="s">
        <v>763</v>
      </c>
      <c r="U61" s="80">
        <v>8.73</v>
      </c>
      <c r="V61" s="165">
        <v>8.48</v>
      </c>
      <c r="W61" s="57">
        <v>8.5</v>
      </c>
      <c r="X61" s="57">
        <v>0.81</v>
      </c>
      <c r="Y61" s="57">
        <v>2</v>
      </c>
      <c r="Z61" s="57">
        <v>11</v>
      </c>
      <c r="AA61" s="57">
        <v>0</v>
      </c>
      <c r="AB61" s="57" t="s">
        <v>865</v>
      </c>
      <c r="AE61" s="78" t="s">
        <v>1119</v>
      </c>
      <c r="AF61" s="195" t="s">
        <v>1120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9">
        <v>60</v>
      </c>
      <c r="S62" s="78" t="s">
        <v>749</v>
      </c>
      <c r="T62" s="78" t="s">
        <v>750</v>
      </c>
      <c r="U62" s="81">
        <v>8.67</v>
      </c>
      <c r="V62" s="172">
        <v>8.4700000000000006</v>
      </c>
      <c r="W62" s="78">
        <v>8.5</v>
      </c>
      <c r="X62" s="78">
        <v>0.62</v>
      </c>
      <c r="Y62" s="78">
        <v>1</v>
      </c>
      <c r="Z62" s="78">
        <v>9</v>
      </c>
      <c r="AA62" s="78">
        <v>0</v>
      </c>
      <c r="AB62" s="78" t="s">
        <v>804</v>
      </c>
      <c r="AE62" s="57" t="s">
        <v>1457</v>
      </c>
      <c r="AF62" s="196" t="s">
        <v>1458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9">
        <v>61</v>
      </c>
      <c r="S63" s="57" t="s">
        <v>621</v>
      </c>
      <c r="T63" s="57" t="s">
        <v>622</v>
      </c>
      <c r="U63" s="80">
        <v>8.73</v>
      </c>
      <c r="V63" s="64">
        <v>8.4600000000000009</v>
      </c>
      <c r="W63" s="57">
        <v>8.5</v>
      </c>
      <c r="X63" s="57">
        <v>0.89</v>
      </c>
      <c r="Y63" s="57">
        <v>3</v>
      </c>
      <c r="Z63" s="57">
        <v>13</v>
      </c>
      <c r="AA63" s="57">
        <v>2</v>
      </c>
      <c r="AB63" s="57" t="s">
        <v>846</v>
      </c>
      <c r="AE63" s="78" t="s">
        <v>1124</v>
      </c>
      <c r="AF63" s="195" t="s">
        <v>1578</v>
      </c>
    </row>
    <row r="64" spans="1:32" ht="16.05" customHeight="1" thickBot="1">
      <c r="A64" s="8" t="s">
        <v>290</v>
      </c>
      <c r="B64" s="51">
        <v>9</v>
      </c>
      <c r="C64" s="22"/>
      <c r="D64" s="116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9">
        <v>62</v>
      </c>
      <c r="S64" s="78" t="s">
        <v>359</v>
      </c>
      <c r="T64" s="78" t="s">
        <v>247</v>
      </c>
      <c r="U64" s="81">
        <v>8.68</v>
      </c>
      <c r="V64" s="168">
        <v>8.44</v>
      </c>
      <c r="W64" s="78">
        <v>8.5</v>
      </c>
      <c r="X64" s="78">
        <v>0.81</v>
      </c>
      <c r="Y64" s="78">
        <v>2</v>
      </c>
      <c r="Z64" s="78">
        <v>11</v>
      </c>
      <c r="AA64" s="78">
        <v>0</v>
      </c>
      <c r="AB64" s="78" t="s">
        <v>787</v>
      </c>
      <c r="AE64" s="57" t="s">
        <v>801</v>
      </c>
      <c r="AF64" s="196" t="s">
        <v>1182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9">
        <v>63</v>
      </c>
      <c r="S65" s="57" t="s">
        <v>361</v>
      </c>
      <c r="T65" s="57" t="s">
        <v>160</v>
      </c>
      <c r="U65" s="80">
        <v>8.65</v>
      </c>
      <c r="V65" s="168">
        <v>8.44</v>
      </c>
      <c r="W65" s="57">
        <v>8.5</v>
      </c>
      <c r="X65" s="57">
        <v>0.72</v>
      </c>
      <c r="Y65" s="57">
        <v>2</v>
      </c>
      <c r="Z65" s="57">
        <v>13</v>
      </c>
      <c r="AA65" s="57">
        <v>0</v>
      </c>
      <c r="AB65" s="57" t="s">
        <v>808</v>
      </c>
      <c r="AE65" s="78" t="s">
        <v>1274</v>
      </c>
      <c r="AF65" s="195" t="s">
        <v>1275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5" t="s">
        <v>401</v>
      </c>
      <c r="K66" s="3">
        <f>ROUND(SUM(K67:K75)/COUNT(K67:K75), 2)</f>
        <v>8</v>
      </c>
      <c r="L66" s="4"/>
      <c r="M66" s="21"/>
      <c r="N66" s="21"/>
      <c r="O66" s="22"/>
      <c r="R66" s="69">
        <v>64</v>
      </c>
      <c r="S66" s="78" t="s">
        <v>793</v>
      </c>
      <c r="T66" s="78" t="s">
        <v>794</v>
      </c>
      <c r="U66" s="81">
        <v>8.67</v>
      </c>
      <c r="V66" s="168">
        <v>8.44</v>
      </c>
      <c r="W66" s="78">
        <v>8.5</v>
      </c>
      <c r="X66" s="78">
        <v>0.75</v>
      </c>
      <c r="Y66" s="78">
        <v>1</v>
      </c>
      <c r="Z66" s="78">
        <v>6</v>
      </c>
      <c r="AA66" s="78">
        <v>0</v>
      </c>
      <c r="AB66" s="78" t="s">
        <v>797</v>
      </c>
      <c r="AE66" s="57" t="s">
        <v>1276</v>
      </c>
      <c r="AF66" s="196" t="s">
        <v>1275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51" t="s">
        <v>1027</v>
      </c>
      <c r="N67" s="3">
        <f>ROUND(SUM(N68:N77)/COUNT(N68:N77), 2)</f>
        <v>8.6999999999999993</v>
      </c>
      <c r="O67" s="22"/>
      <c r="R67" s="69">
        <v>65</v>
      </c>
      <c r="S67" s="57" t="s">
        <v>957</v>
      </c>
      <c r="T67" s="57" t="s">
        <v>938</v>
      </c>
      <c r="U67" s="80">
        <v>8.5500000000000007</v>
      </c>
      <c r="V67" s="168">
        <v>8.44</v>
      </c>
      <c r="W67" s="57">
        <v>8.5</v>
      </c>
      <c r="X67" s="57">
        <v>0.96</v>
      </c>
      <c r="Y67" s="57">
        <v>3</v>
      </c>
      <c r="Z67" s="57">
        <v>19</v>
      </c>
      <c r="AA67" s="57">
        <v>0</v>
      </c>
      <c r="AB67" s="57" t="s">
        <v>958</v>
      </c>
      <c r="AE67" s="78" t="s">
        <v>1463</v>
      </c>
      <c r="AF67" s="195" t="s">
        <v>1275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9">
        <v>66</v>
      </c>
      <c r="S68" s="78" t="s">
        <v>982</v>
      </c>
      <c r="T68" s="78" t="s">
        <v>980</v>
      </c>
      <c r="U68" s="81">
        <v>8.67</v>
      </c>
      <c r="V68" s="168">
        <v>8.44</v>
      </c>
      <c r="W68" s="78">
        <v>8.5</v>
      </c>
      <c r="X68" s="78">
        <v>0.71</v>
      </c>
      <c r="Y68" s="78">
        <v>1</v>
      </c>
      <c r="Z68" s="78">
        <v>10</v>
      </c>
      <c r="AA68" s="78">
        <v>1</v>
      </c>
      <c r="AB68" s="78" t="s">
        <v>983</v>
      </c>
      <c r="AE68" s="57" t="s">
        <v>1528</v>
      </c>
      <c r="AF68" s="196" t="s">
        <v>1275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15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9">
        <v>67</v>
      </c>
      <c r="S69" s="57" t="s">
        <v>1272</v>
      </c>
      <c r="T69" s="57" t="s">
        <v>1273</v>
      </c>
      <c r="U69" s="80">
        <v>8.57</v>
      </c>
      <c r="V69" s="168">
        <v>8.44</v>
      </c>
      <c r="W69" s="57">
        <v>8.5</v>
      </c>
      <c r="X69" s="57">
        <v>1.01</v>
      </c>
      <c r="Y69" s="57">
        <v>3</v>
      </c>
      <c r="Z69" s="57">
        <v>15</v>
      </c>
      <c r="AA69" s="57">
        <v>0</v>
      </c>
      <c r="AB69" s="57" t="s">
        <v>1277</v>
      </c>
      <c r="AE69" s="78" t="s">
        <v>1446</v>
      </c>
      <c r="AF69" s="195" t="s">
        <v>1122</v>
      </c>
    </row>
    <row r="70" spans="1:32" ht="16.05" customHeight="1" thickBot="1">
      <c r="A70" s="74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9">
        <v>68</v>
      </c>
      <c r="S70" s="78" t="s">
        <v>360</v>
      </c>
      <c r="T70" s="78" t="s">
        <v>161</v>
      </c>
      <c r="U70" s="81">
        <v>8.67</v>
      </c>
      <c r="V70" s="169">
        <v>8.43</v>
      </c>
      <c r="W70" s="78">
        <v>8.5</v>
      </c>
      <c r="X70" s="78">
        <v>0.77</v>
      </c>
      <c r="Y70" s="78">
        <v>2</v>
      </c>
      <c r="Z70" s="78">
        <v>12</v>
      </c>
      <c r="AA70" s="78">
        <v>0</v>
      </c>
      <c r="AB70" s="78" t="s">
        <v>788</v>
      </c>
      <c r="AE70" s="57" t="s">
        <v>1121</v>
      </c>
      <c r="AF70" s="196" t="s">
        <v>1122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9">
        <v>69</v>
      </c>
      <c r="S71" s="57" t="s">
        <v>351</v>
      </c>
      <c r="T71" s="57" t="s">
        <v>351</v>
      </c>
      <c r="U71" s="80">
        <v>8.4600000000000009</v>
      </c>
      <c r="V71" s="237">
        <v>8.42</v>
      </c>
      <c r="W71" s="57">
        <v>8.5</v>
      </c>
      <c r="X71" s="57">
        <v>1.33</v>
      </c>
      <c r="Y71" s="57">
        <v>3</v>
      </c>
      <c r="Z71" s="57">
        <v>12</v>
      </c>
      <c r="AA71" s="57">
        <v>0</v>
      </c>
      <c r="AB71" s="57" t="s">
        <v>1414</v>
      </c>
      <c r="AE71" s="78" t="s">
        <v>1123</v>
      </c>
      <c r="AF71" s="195" t="s">
        <v>1122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9">
        <v>70</v>
      </c>
      <c r="S72" s="78" t="s">
        <v>499</v>
      </c>
      <c r="T72" s="78" t="s">
        <v>500</v>
      </c>
      <c r="U72" s="81">
        <v>8.67</v>
      </c>
      <c r="V72" s="170">
        <v>8.41</v>
      </c>
      <c r="W72" s="78">
        <v>8.5</v>
      </c>
      <c r="X72" s="78">
        <v>0.92</v>
      </c>
      <c r="Y72" s="78">
        <v>3</v>
      </c>
      <c r="Z72" s="78">
        <v>12</v>
      </c>
      <c r="AA72" s="78">
        <v>0</v>
      </c>
      <c r="AB72" s="78" t="s">
        <v>780</v>
      </c>
      <c r="AE72" s="57" t="s">
        <v>800</v>
      </c>
      <c r="AF72" s="196" t="s">
        <v>1636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9">
        <v>71</v>
      </c>
      <c r="S73" s="57" t="s">
        <v>362</v>
      </c>
      <c r="T73" s="57" t="s">
        <v>1230</v>
      </c>
      <c r="U73" s="80">
        <v>8.65</v>
      </c>
      <c r="V73" s="203">
        <v>8.4</v>
      </c>
      <c r="W73" s="57">
        <v>8.5</v>
      </c>
      <c r="X73" s="57">
        <v>0.84</v>
      </c>
      <c r="Y73" s="57">
        <v>2</v>
      </c>
      <c r="Z73" s="57">
        <v>13</v>
      </c>
      <c r="AA73" s="57">
        <v>0</v>
      </c>
      <c r="AB73" s="57" t="s">
        <v>1232</v>
      </c>
      <c r="AE73" s="78" t="s">
        <v>1125</v>
      </c>
      <c r="AF73" s="195" t="s">
        <v>1637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9">
        <v>72</v>
      </c>
      <c r="S74" s="78" t="s">
        <v>343</v>
      </c>
      <c r="T74" s="78" t="s">
        <v>881</v>
      </c>
      <c r="U74" s="81">
        <v>8.5</v>
      </c>
      <c r="V74" s="79">
        <v>8.39</v>
      </c>
      <c r="W74" s="78">
        <v>8.5</v>
      </c>
      <c r="X74" s="78">
        <v>0.96</v>
      </c>
      <c r="Y74" s="78">
        <v>2</v>
      </c>
      <c r="Z74" s="78">
        <v>14</v>
      </c>
      <c r="AA74" s="78">
        <v>1</v>
      </c>
      <c r="AB74" s="78" t="s">
        <v>776</v>
      </c>
      <c r="AE74" s="57" t="s">
        <v>1530</v>
      </c>
      <c r="AF74" s="196" t="s">
        <v>1533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9">
        <v>73</v>
      </c>
      <c r="S75" s="57" t="s">
        <v>1049</v>
      </c>
      <c r="T75" s="57" t="s">
        <v>1050</v>
      </c>
      <c r="U75" s="80">
        <v>8.5500000000000007</v>
      </c>
      <c r="V75" s="192">
        <v>8.35</v>
      </c>
      <c r="W75" s="57">
        <v>8.5</v>
      </c>
      <c r="X75" s="57">
        <v>0.69</v>
      </c>
      <c r="Y75" s="57">
        <v>1</v>
      </c>
      <c r="Z75" s="57">
        <v>12</v>
      </c>
      <c r="AA75" s="57">
        <v>1</v>
      </c>
      <c r="AB75" s="57" t="s">
        <v>800</v>
      </c>
      <c r="AE75" s="78" t="s">
        <v>1118</v>
      </c>
      <c r="AF75" s="195" t="s">
        <v>1200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9">
        <v>74</v>
      </c>
      <c r="S76" s="78" t="s">
        <v>553</v>
      </c>
      <c r="T76" s="78" t="s">
        <v>554</v>
      </c>
      <c r="U76" s="81">
        <v>8.5</v>
      </c>
      <c r="V76" s="174">
        <v>8.32</v>
      </c>
      <c r="W76" s="78">
        <v>8.5</v>
      </c>
      <c r="X76" s="78">
        <v>0.59</v>
      </c>
      <c r="Y76" s="78">
        <v>0</v>
      </c>
      <c r="Z76" s="78">
        <v>17</v>
      </c>
      <c r="AA76" s="78">
        <v>4</v>
      </c>
      <c r="AB76" s="78" t="s">
        <v>809</v>
      </c>
      <c r="AE76" s="57" t="s">
        <v>1129</v>
      </c>
      <c r="AF76" s="196" t="s">
        <v>1534</v>
      </c>
    </row>
    <row r="77" spans="1:32" ht="16.05" customHeight="1" thickBot="1">
      <c r="A77" s="9" t="s">
        <v>435</v>
      </c>
      <c r="B77" s="52">
        <v>7</v>
      </c>
      <c r="C77" s="22"/>
      <c r="D77" s="63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33" t="s">
        <v>919</v>
      </c>
      <c r="K77" s="3">
        <f>ROUND(SUM(K78:K88)/COUNT(K78:K88), 2)</f>
        <v>7.77</v>
      </c>
      <c r="L77" s="22"/>
      <c r="M77" s="66" t="s">
        <v>412</v>
      </c>
      <c r="N77" s="52">
        <v>9.5</v>
      </c>
      <c r="O77" s="22"/>
      <c r="R77" s="69">
        <v>75</v>
      </c>
      <c r="S77" s="57" t="s">
        <v>389</v>
      </c>
      <c r="T77" s="57" t="s">
        <v>390</v>
      </c>
      <c r="U77" s="80">
        <v>8.4600000000000009</v>
      </c>
      <c r="V77" s="175">
        <v>8.25</v>
      </c>
      <c r="W77" s="57">
        <v>8.5</v>
      </c>
      <c r="X77" s="57">
        <v>0.84</v>
      </c>
      <c r="Y77" s="57">
        <v>2</v>
      </c>
      <c r="Z77" s="57">
        <v>13</v>
      </c>
      <c r="AA77" s="57">
        <v>0</v>
      </c>
      <c r="AB77" s="57" t="s">
        <v>806</v>
      </c>
      <c r="AE77" s="78" t="s">
        <v>1397</v>
      </c>
      <c r="AF77" s="195" t="s">
        <v>1398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8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9">
        <v>76</v>
      </c>
      <c r="S78" s="78" t="s">
        <v>1321</v>
      </c>
      <c r="T78" s="78" t="s">
        <v>1311</v>
      </c>
      <c r="U78" s="81">
        <v>8.4499999999999993</v>
      </c>
      <c r="V78" s="175">
        <v>8.25</v>
      </c>
      <c r="W78" s="78">
        <v>8.5</v>
      </c>
      <c r="X78" s="78">
        <v>0.78</v>
      </c>
      <c r="Y78" s="78">
        <v>1</v>
      </c>
      <c r="Z78" s="78">
        <v>11</v>
      </c>
      <c r="AA78" s="78">
        <v>0</v>
      </c>
      <c r="AB78" s="78" t="s">
        <v>1322</v>
      </c>
      <c r="AE78" s="57" t="s">
        <v>1580</v>
      </c>
      <c r="AF78" s="196" t="s">
        <v>1292</v>
      </c>
    </row>
    <row r="79" spans="1:32" ht="16.05" customHeight="1" thickBot="1">
      <c r="A79" s="75" t="s">
        <v>498</v>
      </c>
      <c r="B79" s="3">
        <f>ROUND(SUM(B80:B91)/COUNT(B80:B91), 2)</f>
        <v>8.9600000000000009</v>
      </c>
      <c r="C79" s="22"/>
      <c r="D79" s="114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50" t="s">
        <v>1026</v>
      </c>
      <c r="N79" s="3">
        <f>ROUND(SUM(N80:N91)/COUNT(N80:N91), 2)</f>
        <v>8.67</v>
      </c>
      <c r="O79" s="22"/>
      <c r="R79" s="69">
        <v>77</v>
      </c>
      <c r="S79" s="57" t="s">
        <v>350</v>
      </c>
      <c r="T79" s="57" t="s">
        <v>531</v>
      </c>
      <c r="U79" s="80">
        <v>8.5</v>
      </c>
      <c r="V79" s="173">
        <v>8.24</v>
      </c>
      <c r="W79" s="57">
        <v>8.5</v>
      </c>
      <c r="X79" s="57">
        <v>0.94</v>
      </c>
      <c r="Y79" s="57">
        <v>1</v>
      </c>
      <c r="Z79" s="57">
        <v>8</v>
      </c>
      <c r="AA79" s="57">
        <v>0</v>
      </c>
      <c r="AB79" s="57" t="s">
        <v>802</v>
      </c>
      <c r="AE79" s="78" t="s">
        <v>1291</v>
      </c>
      <c r="AF79" s="195" t="s">
        <v>1292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9">
        <v>78</v>
      </c>
      <c r="S80" s="78" t="s">
        <v>365</v>
      </c>
      <c r="T80" s="78" t="s">
        <v>366</v>
      </c>
      <c r="U80" s="81">
        <v>8.42</v>
      </c>
      <c r="V80" s="229">
        <v>8.18</v>
      </c>
      <c r="W80" s="78">
        <v>8.5</v>
      </c>
      <c r="X80" s="78">
        <v>0.91</v>
      </c>
      <c r="Y80" s="78">
        <v>1</v>
      </c>
      <c r="Z80" s="78">
        <v>13</v>
      </c>
      <c r="AA80" s="78">
        <v>1</v>
      </c>
      <c r="AB80" s="78" t="s">
        <v>790</v>
      </c>
      <c r="AE80" s="57" t="s">
        <v>1126</v>
      </c>
      <c r="AF80" s="196" t="s">
        <v>1127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3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9">
        <v>79</v>
      </c>
      <c r="S81" s="57" t="s">
        <v>364</v>
      </c>
      <c r="T81" s="57" t="s">
        <v>317</v>
      </c>
      <c r="U81" s="80">
        <v>8.35</v>
      </c>
      <c r="V81" s="93">
        <v>8.07</v>
      </c>
      <c r="W81" s="57">
        <v>8</v>
      </c>
      <c r="X81" s="57">
        <v>0.78</v>
      </c>
      <c r="Y81" s="57">
        <v>1</v>
      </c>
      <c r="Z81" s="57">
        <v>10</v>
      </c>
      <c r="AA81" s="57">
        <v>0</v>
      </c>
      <c r="AB81" s="57" t="s">
        <v>849</v>
      </c>
      <c r="AE81" s="78" t="s">
        <v>1562</v>
      </c>
      <c r="AF81" s="195" t="s">
        <v>1127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9">
        <v>80</v>
      </c>
      <c r="S82" s="78" t="s">
        <v>1197</v>
      </c>
      <c r="T82" s="78" t="s">
        <v>1198</v>
      </c>
      <c r="U82" s="81">
        <v>8.4600000000000009</v>
      </c>
      <c r="V82" s="93">
        <v>8.07</v>
      </c>
      <c r="W82" s="78">
        <v>8</v>
      </c>
      <c r="X82" s="78">
        <v>1.1299999999999999</v>
      </c>
      <c r="Y82" s="78">
        <v>3</v>
      </c>
      <c r="Z82" s="78">
        <v>13</v>
      </c>
      <c r="AA82" s="78">
        <v>1</v>
      </c>
      <c r="AB82" s="78" t="s">
        <v>1199</v>
      </c>
      <c r="AE82" s="57" t="s">
        <v>1563</v>
      </c>
      <c r="AF82" s="196" t="s">
        <v>1127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6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9">
        <v>81</v>
      </c>
      <c r="S83" s="57" t="s">
        <v>363</v>
      </c>
      <c r="T83" s="57" t="s">
        <v>162</v>
      </c>
      <c r="U83" s="80">
        <v>8.3800000000000008</v>
      </c>
      <c r="V83" s="176">
        <v>8.06</v>
      </c>
      <c r="W83" s="57">
        <v>8.25</v>
      </c>
      <c r="X83" s="57">
        <v>1.06</v>
      </c>
      <c r="Y83" s="57">
        <v>2</v>
      </c>
      <c r="Z83" s="57">
        <v>12</v>
      </c>
      <c r="AA83" s="57">
        <v>0</v>
      </c>
      <c r="AB83" s="57" t="s">
        <v>847</v>
      </c>
      <c r="AE83" s="78" t="s">
        <v>1128</v>
      </c>
      <c r="AF83" s="195" t="s">
        <v>1127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9">
        <v>82</v>
      </c>
      <c r="S84" s="78" t="s">
        <v>369</v>
      </c>
      <c r="T84" s="78" t="s">
        <v>370</v>
      </c>
      <c r="U84" s="81">
        <v>8.33</v>
      </c>
      <c r="V84" s="178">
        <v>8.01</v>
      </c>
      <c r="W84" s="78">
        <v>8</v>
      </c>
      <c r="X84" s="78">
        <v>0.94</v>
      </c>
      <c r="Y84" s="78">
        <v>1</v>
      </c>
      <c r="Z84" s="78">
        <v>9</v>
      </c>
      <c r="AA84" s="78">
        <v>0</v>
      </c>
      <c r="AB84" s="78" t="s">
        <v>785</v>
      </c>
      <c r="AE84" s="57" t="s">
        <v>1134</v>
      </c>
      <c r="AF84" s="196" t="s">
        <v>1581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9">
        <v>83</v>
      </c>
      <c r="S85" s="57" t="s">
        <v>594</v>
      </c>
      <c r="T85" s="57" t="s">
        <v>595</v>
      </c>
      <c r="U85" s="80">
        <v>8.31</v>
      </c>
      <c r="V85" s="178">
        <v>8.01</v>
      </c>
      <c r="W85" s="57">
        <v>8</v>
      </c>
      <c r="X85" s="57">
        <v>0.89</v>
      </c>
      <c r="Y85" s="57">
        <v>2</v>
      </c>
      <c r="Z85" s="57">
        <v>14</v>
      </c>
      <c r="AA85" s="57">
        <v>1</v>
      </c>
      <c r="AB85" s="57" t="s">
        <v>789</v>
      </c>
      <c r="AE85" s="78" t="s">
        <v>799</v>
      </c>
      <c r="AF85" s="195" t="s">
        <v>1508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9">
        <v>84</v>
      </c>
      <c r="S86" s="78" t="s">
        <v>342</v>
      </c>
      <c r="T86" s="78" t="s">
        <v>324</v>
      </c>
      <c r="U86" s="81">
        <v>8.35</v>
      </c>
      <c r="V86" s="177">
        <v>7.99</v>
      </c>
      <c r="W86" s="78">
        <v>8.25</v>
      </c>
      <c r="X86" s="78">
        <v>1.32</v>
      </c>
      <c r="Y86" s="78">
        <v>3</v>
      </c>
      <c r="Z86" s="78">
        <v>10</v>
      </c>
      <c r="AA86" s="78">
        <v>0</v>
      </c>
      <c r="AB86" s="78" t="s">
        <v>798</v>
      </c>
      <c r="AE86" s="57" t="s">
        <v>1131</v>
      </c>
      <c r="AF86" s="196" t="s">
        <v>1130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9">
        <v>85</v>
      </c>
      <c r="S87" s="57" t="s">
        <v>827</v>
      </c>
      <c r="T87" s="57" t="s">
        <v>828</v>
      </c>
      <c r="U87" s="80">
        <v>8.33</v>
      </c>
      <c r="V87" s="179">
        <v>7.96</v>
      </c>
      <c r="W87" s="57">
        <v>8</v>
      </c>
      <c r="X87" s="57">
        <v>1.1599999999999999</v>
      </c>
      <c r="Y87" s="57">
        <v>3</v>
      </c>
      <c r="Z87" s="57">
        <v>15</v>
      </c>
      <c r="AA87" s="57">
        <v>0</v>
      </c>
      <c r="AB87" s="57" t="s">
        <v>848</v>
      </c>
      <c r="AE87" s="78" t="s">
        <v>1231</v>
      </c>
      <c r="AF87" s="195" t="s">
        <v>1642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9">
        <v>86</v>
      </c>
      <c r="S88" s="78" t="s">
        <v>484</v>
      </c>
      <c r="T88" s="78" t="s">
        <v>485</v>
      </c>
      <c r="U88" s="81">
        <v>8.18</v>
      </c>
      <c r="V88" s="180">
        <v>7.9</v>
      </c>
      <c r="W88" s="78">
        <v>8</v>
      </c>
      <c r="X88" s="78">
        <v>0.89</v>
      </c>
      <c r="Y88" s="78">
        <v>2</v>
      </c>
      <c r="Z88" s="78">
        <v>19</v>
      </c>
      <c r="AA88" s="78">
        <v>0</v>
      </c>
      <c r="AB88" s="78" t="s">
        <v>805</v>
      </c>
      <c r="AE88" s="57" t="s">
        <v>1643</v>
      </c>
      <c r="AF88" s="196" t="s">
        <v>1642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9">
        <v>87</v>
      </c>
      <c r="S89" s="57" t="s">
        <v>343</v>
      </c>
      <c r="T89" s="57" t="s">
        <v>634</v>
      </c>
      <c r="U89" s="80">
        <v>8.0500000000000007</v>
      </c>
      <c r="V89" s="180">
        <v>7.9</v>
      </c>
      <c r="W89" s="57">
        <v>8.25</v>
      </c>
      <c r="X89" s="57">
        <v>1.19</v>
      </c>
      <c r="Y89" s="57">
        <v>1</v>
      </c>
      <c r="Z89" s="57">
        <v>11</v>
      </c>
      <c r="AA89" s="57">
        <v>1</v>
      </c>
      <c r="AB89" s="57" t="s">
        <v>776</v>
      </c>
      <c r="AE89" s="78" t="s">
        <v>1132</v>
      </c>
      <c r="AF89" s="195" t="s">
        <v>1133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4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9">
        <v>88</v>
      </c>
      <c r="S90" s="78" t="s">
        <v>402</v>
      </c>
      <c r="T90" s="78" t="s">
        <v>395</v>
      </c>
      <c r="U90" s="81">
        <v>8</v>
      </c>
      <c r="V90" s="139">
        <v>7.88</v>
      </c>
      <c r="W90" s="78">
        <v>8.25</v>
      </c>
      <c r="X90" s="78">
        <v>0.56000000000000005</v>
      </c>
      <c r="Y90" s="78">
        <v>0</v>
      </c>
      <c r="Z90" s="78">
        <v>9</v>
      </c>
      <c r="AA90" s="78">
        <v>1</v>
      </c>
      <c r="AB90" s="78" t="s">
        <v>780</v>
      </c>
      <c r="AE90" s="57" t="s">
        <v>1338</v>
      </c>
      <c r="AF90" s="196" t="s">
        <v>1136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3" t="s">
        <v>497</v>
      </c>
      <c r="N91" s="52">
        <v>10</v>
      </c>
      <c r="O91" s="22"/>
      <c r="R91" s="69">
        <v>89</v>
      </c>
      <c r="S91" s="57" t="s">
        <v>739</v>
      </c>
      <c r="T91" s="57" t="s">
        <v>1342</v>
      </c>
      <c r="U91" s="80">
        <v>8.11</v>
      </c>
      <c r="V91" s="232">
        <v>7.87</v>
      </c>
      <c r="W91" s="57">
        <v>8</v>
      </c>
      <c r="X91" s="57">
        <v>0.71</v>
      </c>
      <c r="Y91" s="57">
        <v>0</v>
      </c>
      <c r="Z91" s="57">
        <v>15</v>
      </c>
      <c r="AA91" s="57">
        <v>1</v>
      </c>
      <c r="AB91" s="57" t="s">
        <v>1358</v>
      </c>
      <c r="AE91" s="78" t="s">
        <v>804</v>
      </c>
      <c r="AF91" s="195" t="s">
        <v>1136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9">
        <v>90</v>
      </c>
      <c r="S92" s="78" t="s">
        <v>1474</v>
      </c>
      <c r="T92" s="78" t="s">
        <v>1475</v>
      </c>
      <c r="U92" s="81">
        <v>8.0500000000000007</v>
      </c>
      <c r="V92" s="243">
        <v>7.82</v>
      </c>
      <c r="W92" s="78">
        <v>8</v>
      </c>
      <c r="X92" s="78">
        <v>0.72</v>
      </c>
      <c r="Y92" s="78">
        <v>0</v>
      </c>
      <c r="Z92" s="78">
        <v>10</v>
      </c>
      <c r="AA92" s="78">
        <v>0</v>
      </c>
      <c r="AB92" s="78" t="s">
        <v>775</v>
      </c>
      <c r="AE92" s="57" t="s">
        <v>1137</v>
      </c>
      <c r="AF92" s="196" t="s">
        <v>1136</v>
      </c>
    </row>
    <row r="93" spans="1:32" ht="16.05" customHeight="1" thickBot="1">
      <c r="A93" s="134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9" t="s">
        <v>1025</v>
      </c>
      <c r="N93" s="3">
        <f>ROUND(SUM(N94:N110)/COUNT(N94:N110), 2)</f>
        <v>8.5</v>
      </c>
      <c r="O93" s="22"/>
      <c r="R93" s="69">
        <v>91</v>
      </c>
      <c r="S93" s="57" t="s">
        <v>353</v>
      </c>
      <c r="T93" s="57" t="s">
        <v>713</v>
      </c>
      <c r="U93" s="80">
        <v>8.07</v>
      </c>
      <c r="V93" s="181">
        <v>7.76</v>
      </c>
      <c r="W93" s="57">
        <v>8</v>
      </c>
      <c r="X93" s="57">
        <v>1.07</v>
      </c>
      <c r="Y93" s="57">
        <v>2</v>
      </c>
      <c r="Z93" s="57">
        <v>16</v>
      </c>
      <c r="AA93" s="57">
        <v>2</v>
      </c>
      <c r="AB93" s="57" t="s">
        <v>782</v>
      </c>
      <c r="AE93" s="78" t="s">
        <v>1138</v>
      </c>
      <c r="AF93" s="195" t="s">
        <v>1136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9">
        <v>92</v>
      </c>
      <c r="S94" s="78" t="s">
        <v>668</v>
      </c>
      <c r="T94" s="78" t="s">
        <v>669</v>
      </c>
      <c r="U94" s="81">
        <v>7.72</v>
      </c>
      <c r="V94" s="184">
        <v>7.6</v>
      </c>
      <c r="W94" s="78">
        <v>8</v>
      </c>
      <c r="X94" s="78">
        <v>0.57999999999999996</v>
      </c>
      <c r="Y94" s="78">
        <v>0</v>
      </c>
      <c r="Z94" s="78">
        <v>18</v>
      </c>
      <c r="AA94" s="78">
        <v>0</v>
      </c>
      <c r="AB94" s="78" t="s">
        <v>806</v>
      </c>
      <c r="AE94" s="57" t="s">
        <v>1140</v>
      </c>
      <c r="AF94" s="196" t="s">
        <v>1141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9">
        <v>93</v>
      </c>
      <c r="S95" s="57" t="s">
        <v>343</v>
      </c>
      <c r="T95" s="57" t="s">
        <v>968</v>
      </c>
      <c r="U95" s="80">
        <v>7.88</v>
      </c>
      <c r="V95" s="182">
        <v>7.59</v>
      </c>
      <c r="W95" s="57">
        <v>7.75</v>
      </c>
      <c r="X95" s="57">
        <v>0.86</v>
      </c>
      <c r="Y95" s="57">
        <v>0</v>
      </c>
      <c r="Z95" s="57">
        <v>8</v>
      </c>
      <c r="AA95" s="57">
        <v>0</v>
      </c>
      <c r="AB95" s="57" t="s">
        <v>969</v>
      </c>
      <c r="AE95" s="78" t="s">
        <v>1244</v>
      </c>
      <c r="AF95" s="195" t="s">
        <v>1141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9">
        <v>94</v>
      </c>
      <c r="S96" s="78" t="s">
        <v>514</v>
      </c>
      <c r="T96" s="78" t="s">
        <v>515</v>
      </c>
      <c r="U96" s="81">
        <v>7.67</v>
      </c>
      <c r="V96" s="185">
        <v>7.56</v>
      </c>
      <c r="W96" s="78">
        <v>8</v>
      </c>
      <c r="X96" s="78">
        <v>0.59</v>
      </c>
      <c r="Y96" s="78">
        <v>0</v>
      </c>
      <c r="Z96" s="78">
        <v>12</v>
      </c>
      <c r="AA96" s="78">
        <v>0</v>
      </c>
      <c r="AB96" s="78" t="s">
        <v>791</v>
      </c>
      <c r="AE96" s="57" t="s">
        <v>1144</v>
      </c>
      <c r="AF96" s="196" t="s">
        <v>1339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82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9">
        <v>95</v>
      </c>
      <c r="S97" s="57" t="s">
        <v>1242</v>
      </c>
      <c r="T97" s="57" t="s">
        <v>1243</v>
      </c>
      <c r="U97" s="80">
        <v>7.71</v>
      </c>
      <c r="V97" s="211">
        <v>7.54</v>
      </c>
      <c r="W97" s="57">
        <v>7.5</v>
      </c>
      <c r="X97" s="57">
        <v>0.45</v>
      </c>
      <c r="Y97" s="57">
        <v>0</v>
      </c>
      <c r="Z97" s="57">
        <v>8</v>
      </c>
      <c r="AA97" s="57">
        <v>1</v>
      </c>
      <c r="AB97" s="57" t="s">
        <v>1245</v>
      </c>
      <c r="AE97" s="78" t="s">
        <v>1142</v>
      </c>
      <c r="AF97" s="195" t="s">
        <v>1143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83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9">
        <v>96</v>
      </c>
      <c r="S98" s="78" t="s">
        <v>354</v>
      </c>
      <c r="T98" s="78" t="s">
        <v>354</v>
      </c>
      <c r="U98" s="81">
        <v>7.77</v>
      </c>
      <c r="V98" s="183">
        <v>7.53</v>
      </c>
      <c r="W98" s="78">
        <v>7.5</v>
      </c>
      <c r="X98" s="78">
        <v>0.62</v>
      </c>
      <c r="Y98" s="78">
        <v>0</v>
      </c>
      <c r="Z98" s="78">
        <v>11</v>
      </c>
      <c r="AA98" s="78">
        <v>0</v>
      </c>
      <c r="AB98" s="78" t="s">
        <v>801</v>
      </c>
      <c r="AE98" s="57" t="s">
        <v>1135</v>
      </c>
      <c r="AF98" s="196" t="s">
        <v>1288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9">
        <v>97</v>
      </c>
      <c r="S99" s="57" t="s">
        <v>343</v>
      </c>
      <c r="T99" s="57" t="s">
        <v>1007</v>
      </c>
      <c r="U99" s="80">
        <v>7.5</v>
      </c>
      <c r="V99" s="186">
        <v>7.27</v>
      </c>
      <c r="W99" s="57">
        <v>7.5</v>
      </c>
      <c r="X99" s="57">
        <v>0.76</v>
      </c>
      <c r="Y99" s="57">
        <v>0</v>
      </c>
      <c r="Z99" s="57">
        <v>12</v>
      </c>
      <c r="AA99" s="57">
        <v>0</v>
      </c>
      <c r="AB99" s="57" t="s">
        <v>799</v>
      </c>
      <c r="AE99" s="78" t="s">
        <v>1145</v>
      </c>
      <c r="AF99" s="195" t="s">
        <v>1146</v>
      </c>
    </row>
    <row r="100" spans="1:32" ht="16.05" customHeight="1" thickBot="1">
      <c r="A100" s="6" t="s">
        <v>529</v>
      </c>
      <c r="B100" s="51">
        <v>9</v>
      </c>
      <c r="C100" s="22"/>
      <c r="D100" s="113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9">
        <v>98</v>
      </c>
      <c r="S100" s="78" t="s">
        <v>436</v>
      </c>
      <c r="T100" s="78" t="s">
        <v>437</v>
      </c>
      <c r="U100" s="81">
        <v>7.29</v>
      </c>
      <c r="V100" s="187">
        <v>7.07</v>
      </c>
      <c r="W100" s="78">
        <v>7</v>
      </c>
      <c r="X100" s="78">
        <v>0.52</v>
      </c>
      <c r="Y100" s="78">
        <v>0</v>
      </c>
      <c r="Z100" s="78">
        <v>7</v>
      </c>
      <c r="AA100" s="78">
        <v>0</v>
      </c>
      <c r="AB100" s="78" t="s">
        <v>807</v>
      </c>
      <c r="AE100" s="57" t="s">
        <v>1139</v>
      </c>
      <c r="AF100" s="196" t="s">
        <v>1509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5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9">
        <v>99</v>
      </c>
      <c r="S101" s="57" t="s">
        <v>689</v>
      </c>
      <c r="T101" s="57" t="s">
        <v>690</v>
      </c>
      <c r="U101" s="80">
        <v>7.06</v>
      </c>
      <c r="V101" s="188">
        <v>6.91</v>
      </c>
      <c r="W101" s="57">
        <v>7</v>
      </c>
      <c r="X101" s="57">
        <v>0.44</v>
      </c>
      <c r="Y101" s="57">
        <v>0</v>
      </c>
      <c r="Z101" s="57">
        <v>10</v>
      </c>
      <c r="AA101" s="57">
        <v>1</v>
      </c>
      <c r="AB101" s="57" t="s">
        <v>800</v>
      </c>
      <c r="AE101" s="78" t="s">
        <v>1147</v>
      </c>
      <c r="AF101" s="195" t="s">
        <v>1340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V102"/>
      <c r="W102"/>
      <c r="X102"/>
      <c r="Y102"/>
      <c r="Z102"/>
      <c r="AE102" s="57" t="s">
        <v>1148</v>
      </c>
      <c r="AF102" s="196" t="s">
        <v>1149</v>
      </c>
    </row>
    <row r="103" spans="1:32" ht="16.05" customHeight="1" thickBot="1">
      <c r="A103" s="86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255" t="s">
        <v>1392</v>
      </c>
      <c r="S103" s="255"/>
      <c r="T103" s="255"/>
      <c r="U103" s="255"/>
      <c r="V103" s="255"/>
      <c r="W103" s="255"/>
      <c r="X103" s="255"/>
      <c r="Y103" s="255"/>
      <c r="Z103" s="255"/>
      <c r="AA103" s="255"/>
      <c r="AB103" s="255"/>
      <c r="AE103" s="78" t="s">
        <v>1150</v>
      </c>
      <c r="AF103" s="195" t="s">
        <v>1149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56" t="s">
        <v>368</v>
      </c>
      <c r="S104" s="56" t="s">
        <v>335</v>
      </c>
      <c r="T104" s="56" t="s">
        <v>535</v>
      </c>
      <c r="U104" s="56" t="s">
        <v>532</v>
      </c>
      <c r="V104" s="56" t="s">
        <v>1029</v>
      </c>
      <c r="W104" s="56" t="s">
        <v>533</v>
      </c>
      <c r="X104" s="56" t="s">
        <v>338</v>
      </c>
      <c r="Y104" s="56" t="s">
        <v>339</v>
      </c>
      <c r="Z104" s="56" t="s">
        <v>340</v>
      </c>
      <c r="AA104" s="56" t="s">
        <v>341</v>
      </c>
      <c r="AB104" s="56" t="s">
        <v>936</v>
      </c>
      <c r="AE104" s="57" t="s">
        <v>1151</v>
      </c>
      <c r="AF104" s="196" t="s">
        <v>1152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70">
        <v>1</v>
      </c>
      <c r="S105" s="57" t="s">
        <v>348</v>
      </c>
      <c r="T105" s="80">
        <v>3</v>
      </c>
      <c r="U105" s="80">
        <v>9.61</v>
      </c>
      <c r="V105" s="230">
        <v>9.76</v>
      </c>
      <c r="W105" s="57">
        <v>9.67</v>
      </c>
      <c r="X105" s="57">
        <v>0.76</v>
      </c>
      <c r="Y105" s="57">
        <v>10</v>
      </c>
      <c r="Z105" s="57">
        <v>20</v>
      </c>
      <c r="AA105" s="57">
        <v>1</v>
      </c>
      <c r="AB105" s="57" t="s">
        <v>1057</v>
      </c>
      <c r="AE105" s="78" t="s">
        <v>1153</v>
      </c>
      <c r="AF105" s="195" t="s">
        <v>1154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71">
        <v>2</v>
      </c>
      <c r="S106" s="78" t="s">
        <v>342</v>
      </c>
      <c r="T106" s="81">
        <v>5</v>
      </c>
      <c r="U106" s="81">
        <v>9.36</v>
      </c>
      <c r="V106" s="224">
        <v>9.52</v>
      </c>
      <c r="W106" s="78">
        <v>9.65</v>
      </c>
      <c r="X106" s="78">
        <v>0.91</v>
      </c>
      <c r="Y106" s="78">
        <v>22</v>
      </c>
      <c r="Z106" s="78">
        <v>58</v>
      </c>
      <c r="AA106" s="78">
        <v>14</v>
      </c>
      <c r="AB106" s="78" t="s">
        <v>1308</v>
      </c>
      <c r="AE106" s="57" t="s">
        <v>1414</v>
      </c>
      <c r="AF106" s="196" t="s">
        <v>1435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8">
        <v>8.5</v>
      </c>
      <c r="L107" s="4"/>
      <c r="M107" s="8" t="s">
        <v>548</v>
      </c>
      <c r="N107" s="51">
        <v>9</v>
      </c>
      <c r="O107" s="22"/>
      <c r="R107" s="72">
        <v>3</v>
      </c>
      <c r="S107" s="57" t="s">
        <v>347</v>
      </c>
      <c r="T107" s="80">
        <v>3</v>
      </c>
      <c r="U107" s="80">
        <v>9.18</v>
      </c>
      <c r="V107" s="242">
        <v>9.07</v>
      </c>
      <c r="W107" s="57">
        <v>8.92</v>
      </c>
      <c r="X107" s="57">
        <v>0.74</v>
      </c>
      <c r="Y107" s="57">
        <v>5</v>
      </c>
      <c r="Z107" s="57">
        <v>16</v>
      </c>
      <c r="AA107" s="57">
        <v>0</v>
      </c>
      <c r="AB107" s="57" t="s">
        <v>1460</v>
      </c>
      <c r="AE107" s="78" t="s">
        <v>1334</v>
      </c>
      <c r="AF107" s="195" t="s">
        <v>1335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9">
        <v>4</v>
      </c>
      <c r="S108" s="78" t="s">
        <v>351</v>
      </c>
      <c r="T108" s="81">
        <v>4</v>
      </c>
      <c r="U108" s="81">
        <v>8.9600000000000009</v>
      </c>
      <c r="V108" s="238">
        <v>8.91</v>
      </c>
      <c r="W108" s="78">
        <v>8.94</v>
      </c>
      <c r="X108" s="78">
        <v>0.99</v>
      </c>
      <c r="Y108" s="78">
        <v>11</v>
      </c>
      <c r="Z108" s="78">
        <v>37</v>
      </c>
      <c r="AA108" s="78">
        <v>0</v>
      </c>
      <c r="AB108" s="78" t="s">
        <v>1434</v>
      </c>
      <c r="AE108" s="57" t="s">
        <v>1336</v>
      </c>
      <c r="AF108" s="196" t="s">
        <v>1335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9">
        <v>5</v>
      </c>
      <c r="S109" s="57" t="s">
        <v>499</v>
      </c>
      <c r="T109" s="80">
        <v>3</v>
      </c>
      <c r="U109" s="80">
        <v>8.93</v>
      </c>
      <c r="V109" s="189">
        <v>8.8000000000000007</v>
      </c>
      <c r="W109" s="57">
        <v>8.83</v>
      </c>
      <c r="X109" s="57">
        <v>0.82</v>
      </c>
      <c r="Y109" s="57">
        <v>6</v>
      </c>
      <c r="Z109" s="57">
        <v>27</v>
      </c>
      <c r="AA109" s="57">
        <v>0</v>
      </c>
      <c r="AB109" s="57" t="s">
        <v>780</v>
      </c>
      <c r="AE109" s="78" t="s">
        <v>789</v>
      </c>
      <c r="AF109" s="195" t="s">
        <v>1289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12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9">
        <v>6</v>
      </c>
      <c r="S110" s="78" t="s">
        <v>350</v>
      </c>
      <c r="T110" s="81">
        <v>4</v>
      </c>
      <c r="U110" s="81">
        <v>8.83</v>
      </c>
      <c r="V110" s="60">
        <v>8.68</v>
      </c>
      <c r="W110" s="78">
        <v>8.69</v>
      </c>
      <c r="X110" s="78">
        <v>0.9</v>
      </c>
      <c r="Y110" s="78">
        <v>5</v>
      </c>
      <c r="Z110" s="78">
        <v>30</v>
      </c>
      <c r="AA110" s="78">
        <v>0</v>
      </c>
      <c r="AB110" s="78" t="s">
        <v>802</v>
      </c>
      <c r="AE110" s="57" t="s">
        <v>1158</v>
      </c>
      <c r="AF110" s="196" t="s">
        <v>1341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11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9">
        <v>7</v>
      </c>
      <c r="S111" s="57" t="s">
        <v>357</v>
      </c>
      <c r="T111" s="80">
        <v>2</v>
      </c>
      <c r="U111" s="80">
        <v>8.83</v>
      </c>
      <c r="V111" s="213">
        <v>8.6999999999999993</v>
      </c>
      <c r="W111" s="57">
        <v>8.5</v>
      </c>
      <c r="X111" s="57">
        <v>0.88</v>
      </c>
      <c r="Y111" s="57">
        <v>4</v>
      </c>
      <c r="Z111" s="57">
        <v>18</v>
      </c>
      <c r="AA111" s="57">
        <v>0</v>
      </c>
      <c r="AB111" s="57" t="s">
        <v>1640</v>
      </c>
      <c r="AE111" s="78" t="s">
        <v>1159</v>
      </c>
      <c r="AF111" s="195" t="s">
        <v>1341</v>
      </c>
    </row>
    <row r="112" spans="1:32" ht="16.05" customHeight="1" thickBot="1">
      <c r="A112" s="66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8" t="s">
        <v>635</v>
      </c>
      <c r="N112" s="3">
        <f>ROUND(SUM(N113:N125)/COUNT(N113:N125), 2)</f>
        <v>8.77</v>
      </c>
      <c r="O112" s="22"/>
      <c r="R112" s="69">
        <v>8</v>
      </c>
      <c r="S112" s="78" t="s">
        <v>361</v>
      </c>
      <c r="T112" s="81">
        <v>2</v>
      </c>
      <c r="U112" s="81">
        <v>8.69</v>
      </c>
      <c r="V112" s="166">
        <v>8.56</v>
      </c>
      <c r="W112" s="78">
        <v>8.75</v>
      </c>
      <c r="X112" s="78">
        <v>0.84</v>
      </c>
      <c r="Y112" s="78">
        <v>4</v>
      </c>
      <c r="Z112" s="78">
        <v>24</v>
      </c>
      <c r="AA112" s="78">
        <v>0</v>
      </c>
      <c r="AB112" s="78" t="s">
        <v>1028</v>
      </c>
      <c r="AE112" s="57" t="s">
        <v>1155</v>
      </c>
      <c r="AF112" s="196" t="s">
        <v>1156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9">
        <v>9</v>
      </c>
      <c r="S113" s="57" t="s">
        <v>343</v>
      </c>
      <c r="T113" s="80">
        <v>9</v>
      </c>
      <c r="U113" s="80">
        <v>8.65</v>
      </c>
      <c r="V113" s="164">
        <v>8.61</v>
      </c>
      <c r="W113" s="57">
        <v>8.69</v>
      </c>
      <c r="X113" s="57">
        <v>0.86</v>
      </c>
      <c r="Y113" s="57">
        <v>19</v>
      </c>
      <c r="Z113" s="57">
        <v>101</v>
      </c>
      <c r="AA113" s="57">
        <v>4</v>
      </c>
      <c r="AB113" s="57" t="s">
        <v>970</v>
      </c>
      <c r="AE113" s="78" t="s">
        <v>1157</v>
      </c>
      <c r="AF113" s="195" t="s">
        <v>1156</v>
      </c>
    </row>
    <row r="114" spans="1:32" ht="16.05" customHeight="1" thickBot="1">
      <c r="A114" s="110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9">
        <v>10</v>
      </c>
      <c r="S114" s="78" t="s">
        <v>353</v>
      </c>
      <c r="T114" s="81">
        <v>3</v>
      </c>
      <c r="U114" s="81">
        <v>8.64</v>
      </c>
      <c r="V114" s="64">
        <v>8.4600000000000009</v>
      </c>
      <c r="W114" s="78">
        <v>8.5</v>
      </c>
      <c r="X114" s="78">
        <v>0.97</v>
      </c>
      <c r="Y114" s="78">
        <v>8</v>
      </c>
      <c r="Z114" s="78">
        <v>42</v>
      </c>
      <c r="AA114" s="78">
        <v>3</v>
      </c>
      <c r="AB114" s="78" t="s">
        <v>782</v>
      </c>
      <c r="AE114" s="57" t="s">
        <v>806</v>
      </c>
      <c r="AF114" s="196" t="s">
        <v>1160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9">
        <v>11</v>
      </c>
      <c r="S115" s="57" t="s">
        <v>739</v>
      </c>
      <c r="T115" s="80">
        <v>3</v>
      </c>
      <c r="U115" s="80">
        <v>8.5500000000000007</v>
      </c>
      <c r="V115" s="203">
        <v>8.4</v>
      </c>
      <c r="W115" s="57">
        <v>8.17</v>
      </c>
      <c r="X115" s="57">
        <v>0.83</v>
      </c>
      <c r="Y115" s="57">
        <v>6</v>
      </c>
      <c r="Z115" s="57">
        <v>46</v>
      </c>
      <c r="AA115" s="57">
        <v>4</v>
      </c>
      <c r="AB115" s="57" t="s">
        <v>1507</v>
      </c>
      <c r="AE115" s="78" t="s">
        <v>1161</v>
      </c>
      <c r="AF115" s="195" t="s">
        <v>1162</v>
      </c>
    </row>
    <row r="116" spans="1:32" ht="16.05" customHeight="1" thickBot="1">
      <c r="A116" s="8" t="s">
        <v>651</v>
      </c>
      <c r="B116" s="51">
        <v>8</v>
      </c>
      <c r="C116" s="22"/>
      <c r="D116" s="109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9">
        <v>12</v>
      </c>
      <c r="S116" s="78" t="s">
        <v>354</v>
      </c>
      <c r="T116" s="81">
        <v>2</v>
      </c>
      <c r="U116" s="81">
        <v>8.39</v>
      </c>
      <c r="V116" s="173">
        <v>8.24</v>
      </c>
      <c r="W116" s="78">
        <v>8.25</v>
      </c>
      <c r="X116" s="78">
        <v>0.72</v>
      </c>
      <c r="Y116" s="78">
        <v>2</v>
      </c>
      <c r="Z116" s="78">
        <v>20</v>
      </c>
      <c r="AA116" s="78">
        <v>0</v>
      </c>
      <c r="AB116" s="78" t="s">
        <v>801</v>
      </c>
      <c r="AE116" s="57" t="s">
        <v>1359</v>
      </c>
      <c r="AF116" s="196" t="s">
        <v>1360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V117"/>
      <c r="W117"/>
      <c r="X117"/>
      <c r="Y117"/>
      <c r="Z117"/>
      <c r="AE117" s="78" t="s">
        <v>1163</v>
      </c>
      <c r="AF117" s="195" t="s">
        <v>1164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255" t="s">
        <v>1393</v>
      </c>
      <c r="S118" s="255"/>
      <c r="T118" s="255"/>
      <c r="U118" s="255"/>
      <c r="V118" s="255"/>
      <c r="W118"/>
      <c r="X118"/>
      <c r="Y118"/>
      <c r="Z118"/>
      <c r="AE118" s="57" t="s">
        <v>1245</v>
      </c>
      <c r="AF118" s="196" t="s">
        <v>1256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56" t="s">
        <v>368</v>
      </c>
      <c r="S119" s="56" t="s">
        <v>335</v>
      </c>
      <c r="T119" s="56" t="s">
        <v>336</v>
      </c>
      <c r="U119" s="56" t="s">
        <v>337</v>
      </c>
      <c r="V119" s="56" t="s">
        <v>1029</v>
      </c>
      <c r="W119"/>
      <c r="X119"/>
      <c r="Y119"/>
      <c r="Z119"/>
      <c r="AE119" s="78" t="s">
        <v>1165</v>
      </c>
      <c r="AF119" s="195" t="s">
        <v>1166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7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70">
        <v>1</v>
      </c>
      <c r="S120" s="57" t="s">
        <v>1022</v>
      </c>
      <c r="T120" s="57" t="s">
        <v>1020</v>
      </c>
      <c r="U120" s="80">
        <v>10.5</v>
      </c>
      <c r="V120" s="148">
        <v>10.85</v>
      </c>
      <c r="W120"/>
      <c r="X120"/>
      <c r="Y120"/>
      <c r="Z120"/>
      <c r="AE120" s="57" t="s">
        <v>1167</v>
      </c>
      <c r="AF120" s="196" t="s">
        <v>1166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71">
        <v>2</v>
      </c>
      <c r="S121" s="78" t="s">
        <v>342</v>
      </c>
      <c r="T121" s="78" t="s">
        <v>7</v>
      </c>
      <c r="U121" s="81">
        <v>9.89</v>
      </c>
      <c r="V121" s="148">
        <v>10.41</v>
      </c>
      <c r="W121"/>
      <c r="X121"/>
      <c r="Y121"/>
      <c r="Z121"/>
      <c r="AE121" s="78" t="s">
        <v>807</v>
      </c>
      <c r="AF121" s="195" t="s">
        <v>1168</v>
      </c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72">
        <v>3</v>
      </c>
      <c r="S122" s="57" t="s">
        <v>348</v>
      </c>
      <c r="T122" s="57" t="s">
        <v>1054</v>
      </c>
      <c r="U122" s="80">
        <v>10</v>
      </c>
      <c r="V122" s="148">
        <v>10.3</v>
      </c>
      <c r="W122"/>
      <c r="X122"/>
      <c r="Y122"/>
      <c r="Z122"/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9">
        <v>4</v>
      </c>
      <c r="S123" s="78" t="s">
        <v>343</v>
      </c>
      <c r="T123" s="78" t="s">
        <v>344</v>
      </c>
      <c r="U123" s="81">
        <v>9.6999999999999993</v>
      </c>
      <c r="V123" s="148">
        <v>10.220000000000001</v>
      </c>
      <c r="W123"/>
      <c r="X123"/>
      <c r="Y123"/>
      <c r="Z123"/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92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9">
        <v>5</v>
      </c>
      <c r="S124" s="57" t="s">
        <v>695</v>
      </c>
      <c r="T124" s="57" t="s">
        <v>696</v>
      </c>
      <c r="U124" s="80">
        <v>9.8800000000000008</v>
      </c>
      <c r="V124" s="148">
        <v>10.11</v>
      </c>
      <c r="W124"/>
      <c r="X124"/>
      <c r="Y124"/>
      <c r="Z124"/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218" t="s">
        <v>1286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3" t="s">
        <v>648</v>
      </c>
      <c r="N125" s="52">
        <v>7</v>
      </c>
      <c r="O125" s="22"/>
      <c r="R125" s="69">
        <v>6</v>
      </c>
      <c r="S125" s="78" t="s">
        <v>346</v>
      </c>
      <c r="T125" s="78" t="s">
        <v>280</v>
      </c>
      <c r="U125" s="81">
        <v>9.3800000000000008</v>
      </c>
      <c r="V125" s="199">
        <v>9.39</v>
      </c>
      <c r="W125"/>
      <c r="X125"/>
      <c r="Y125"/>
      <c r="Z125"/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9">
        <v>7</v>
      </c>
      <c r="S126" s="57" t="s">
        <v>347</v>
      </c>
      <c r="T126" s="57" t="s">
        <v>1229</v>
      </c>
      <c r="U126" s="80">
        <v>9.4</v>
      </c>
      <c r="V126" s="156">
        <v>9.33</v>
      </c>
      <c r="W126"/>
      <c r="X126"/>
      <c r="Y126"/>
      <c r="Z126"/>
    </row>
    <row r="127" spans="1:32" ht="16.05" customHeight="1" thickBot="1">
      <c r="A127" s="8" t="s">
        <v>662</v>
      </c>
      <c r="B127" s="51">
        <v>7</v>
      </c>
      <c r="C127" s="22"/>
      <c r="D127" s="108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95" t="s">
        <v>722</v>
      </c>
      <c r="N127" s="3">
        <f>ROUND(SUM(N128:N135)/COUNT(N128:N135), 2)</f>
        <v>9.1300000000000008</v>
      </c>
      <c r="O127" s="22"/>
      <c r="R127" s="69">
        <v>8</v>
      </c>
      <c r="S127" s="78" t="s">
        <v>351</v>
      </c>
      <c r="T127" s="78" t="s">
        <v>56</v>
      </c>
      <c r="U127" s="81">
        <v>9.25</v>
      </c>
      <c r="V127" s="157">
        <v>9.23</v>
      </c>
      <c r="W127"/>
      <c r="X127"/>
      <c r="Y127"/>
      <c r="Z127"/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9">
        <v>9</v>
      </c>
      <c r="S128" s="57" t="s">
        <v>352</v>
      </c>
      <c r="T128" s="57" t="s">
        <v>190</v>
      </c>
      <c r="U128" s="80">
        <v>9.2100000000000009</v>
      </c>
      <c r="V128" s="200">
        <v>9.19</v>
      </c>
      <c r="W128"/>
      <c r="X128"/>
      <c r="Y128"/>
      <c r="Z128"/>
    </row>
    <row r="129" spans="1:26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9">
        <v>10</v>
      </c>
      <c r="S129" s="78" t="s">
        <v>350</v>
      </c>
      <c r="T129" s="78" t="s">
        <v>132</v>
      </c>
      <c r="U129" s="81">
        <v>9.2100000000000009</v>
      </c>
      <c r="V129" s="201">
        <v>9.14</v>
      </c>
      <c r="W129"/>
      <c r="X129"/>
      <c r="Y129"/>
      <c r="Z129"/>
    </row>
    <row r="130" spans="1:26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9">
        <v>11</v>
      </c>
      <c r="S130" s="57" t="s">
        <v>499</v>
      </c>
      <c r="T130" s="57" t="s">
        <v>517</v>
      </c>
      <c r="U130" s="80">
        <v>9.17</v>
      </c>
      <c r="V130" s="158">
        <v>9.11</v>
      </c>
      <c r="W130"/>
      <c r="X130"/>
      <c r="Y130"/>
      <c r="Z130"/>
    </row>
    <row r="131" spans="1:26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7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9">
        <v>12</v>
      </c>
      <c r="S131" s="78" t="s">
        <v>463</v>
      </c>
      <c r="T131" s="78" t="s">
        <v>36</v>
      </c>
      <c r="U131" s="81">
        <v>9.15</v>
      </c>
      <c r="V131" s="202">
        <v>9.1</v>
      </c>
      <c r="W131"/>
      <c r="X131"/>
      <c r="Y131"/>
      <c r="Z131"/>
    </row>
    <row r="132" spans="1:26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9">
        <v>13</v>
      </c>
      <c r="S132" s="57" t="s">
        <v>353</v>
      </c>
      <c r="T132" s="57" t="s">
        <v>159</v>
      </c>
      <c r="U132" s="80">
        <v>9.08</v>
      </c>
      <c r="V132" s="228">
        <v>9.01</v>
      </c>
      <c r="W132"/>
      <c r="X132"/>
      <c r="Y132"/>
      <c r="Z132"/>
    </row>
    <row r="133" spans="1:26" ht="16.05" customHeight="1" thickBot="1">
      <c r="A133" s="89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9">
        <v>14</v>
      </c>
      <c r="S133" s="78" t="s">
        <v>354</v>
      </c>
      <c r="T133" s="78" t="s">
        <v>270</v>
      </c>
      <c r="U133" s="81">
        <v>9</v>
      </c>
      <c r="V133" s="159">
        <v>8.9499999999999993</v>
      </c>
      <c r="W133"/>
      <c r="X133"/>
      <c r="Y133"/>
      <c r="Z133"/>
    </row>
    <row r="134" spans="1:26" ht="16.05" customHeight="1" thickBot="1">
      <c r="A134" s="135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9">
        <v>15</v>
      </c>
      <c r="S134" s="57" t="s">
        <v>934</v>
      </c>
      <c r="T134" s="57" t="s">
        <v>925</v>
      </c>
      <c r="U134" s="80">
        <v>9.06</v>
      </c>
      <c r="V134" s="91">
        <v>8.94</v>
      </c>
      <c r="W134"/>
      <c r="X134"/>
      <c r="Y134"/>
      <c r="Z134"/>
    </row>
    <row r="135" spans="1:26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9">
        <v>16</v>
      </c>
      <c r="S135" s="78" t="s">
        <v>1625</v>
      </c>
      <c r="T135" s="78" t="s">
        <v>1626</v>
      </c>
      <c r="U135" s="81">
        <v>8.67</v>
      </c>
      <c r="V135" s="261">
        <v>8.83</v>
      </c>
      <c r="W135"/>
      <c r="X135"/>
      <c r="Y135"/>
      <c r="Z135"/>
    </row>
    <row r="136" spans="1:26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6" t="s">
        <v>751</v>
      </c>
      <c r="K136" s="14">
        <f>ROUND(SUM(K137:K147)/COUNT(K137:K147), 2)</f>
        <v>8.73</v>
      </c>
      <c r="L136" s="4"/>
      <c r="M136" s="21"/>
      <c r="N136" s="21"/>
      <c r="O136" s="22"/>
      <c r="R136" s="69">
        <v>17</v>
      </c>
      <c r="S136" s="57" t="s">
        <v>739</v>
      </c>
      <c r="T136" s="57" t="s">
        <v>1492</v>
      </c>
      <c r="U136" s="80">
        <v>8.8800000000000008</v>
      </c>
      <c r="V136" s="162">
        <v>8.76</v>
      </c>
      <c r="W136"/>
      <c r="X136"/>
      <c r="Y136"/>
      <c r="Z136"/>
    </row>
    <row r="137" spans="1:26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6" t="s">
        <v>892</v>
      </c>
      <c r="N137" s="14">
        <f>ROUND(SUM(N138:N142)/COUNT(N138:N142), 2)</f>
        <v>9.4</v>
      </c>
      <c r="O137" s="22"/>
      <c r="R137" s="69">
        <v>18</v>
      </c>
      <c r="S137" s="78" t="s">
        <v>355</v>
      </c>
      <c r="T137" s="78" t="s">
        <v>356</v>
      </c>
      <c r="U137" s="81">
        <v>8.89</v>
      </c>
      <c r="V137" s="161">
        <v>8.75</v>
      </c>
      <c r="W137"/>
      <c r="X137"/>
      <c r="Y137"/>
      <c r="Z137"/>
    </row>
    <row r="138" spans="1:26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9">
        <v>19</v>
      </c>
      <c r="S138" s="57" t="s">
        <v>1389</v>
      </c>
      <c r="T138" s="57" t="s">
        <v>1380</v>
      </c>
      <c r="U138" s="80">
        <v>8.86</v>
      </c>
      <c r="V138" s="161">
        <v>8.75</v>
      </c>
      <c r="W138"/>
      <c r="X138"/>
      <c r="Y138"/>
      <c r="Z138"/>
    </row>
    <row r="139" spans="1:26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9">
        <v>20</v>
      </c>
      <c r="S139" s="78" t="s">
        <v>1560</v>
      </c>
      <c r="T139" s="78" t="s">
        <v>1561</v>
      </c>
      <c r="U139" s="81">
        <v>8.93</v>
      </c>
      <c r="V139" s="161">
        <v>8.75</v>
      </c>
      <c r="W139"/>
      <c r="X139"/>
      <c r="Y139"/>
      <c r="Z139"/>
    </row>
    <row r="140" spans="1:26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9.5</v>
      </c>
      <c r="L140" s="22"/>
      <c r="M140" s="6" t="s">
        <v>766</v>
      </c>
      <c r="N140" s="51">
        <v>10</v>
      </c>
      <c r="O140" s="22"/>
      <c r="V140"/>
      <c r="W140"/>
      <c r="X140"/>
      <c r="Y140"/>
      <c r="Z140"/>
    </row>
    <row r="141" spans="1:26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V141"/>
      <c r="W141"/>
      <c r="X141"/>
      <c r="Y141"/>
      <c r="Z141"/>
    </row>
    <row r="142" spans="1:26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V142"/>
      <c r="W142"/>
      <c r="X142"/>
      <c r="Y142"/>
      <c r="Z142"/>
    </row>
    <row r="143" spans="1:26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V143"/>
      <c r="W143"/>
      <c r="X143"/>
      <c r="Y143"/>
      <c r="Z143"/>
    </row>
    <row r="144" spans="1:26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9" t="s">
        <v>811</v>
      </c>
      <c r="N144" s="14">
        <f>ROUND(SUM(N145:N150)/COUNT(N145:N150), 2)</f>
        <v>8.67</v>
      </c>
      <c r="O144" s="22"/>
      <c r="V144"/>
      <c r="W144"/>
      <c r="X144"/>
      <c r="Y144"/>
      <c r="Z144"/>
    </row>
    <row r="145" spans="1:26" ht="16.05" customHeight="1" thickBot="1">
      <c r="A145" s="105" t="s">
        <v>891</v>
      </c>
      <c r="B145" s="14">
        <f>ROUND(SUM(B146:B160)/COUNT(B146:B160), 2)</f>
        <v>8.33</v>
      </c>
      <c r="C145" s="22"/>
      <c r="D145" s="100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V145"/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7" t="s">
        <v>770</v>
      </c>
      <c r="N146" s="51">
        <v>8</v>
      </c>
      <c r="O146" s="22"/>
      <c r="V146"/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V147"/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7" t="s">
        <v>772</v>
      </c>
      <c r="N148" s="51">
        <v>8</v>
      </c>
      <c r="O148" s="22"/>
      <c r="V148"/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104" t="s">
        <v>890</v>
      </c>
      <c r="H149" s="14">
        <f>ROUND(SUM(H150:H163)/COUNT(H150:H163), 2)</f>
        <v>8.7100000000000009</v>
      </c>
      <c r="I149" s="22"/>
      <c r="J149" s="101" t="s">
        <v>866</v>
      </c>
      <c r="K149" s="14">
        <f>ROUND(SUM(K150:K163)/COUNT(K150:K163), 2)</f>
        <v>8.5</v>
      </c>
      <c r="L149" s="4"/>
      <c r="M149" s="97" t="s">
        <v>773</v>
      </c>
      <c r="N149" s="51">
        <v>8</v>
      </c>
      <c r="O149" s="22"/>
      <c r="V149"/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8" t="s">
        <v>774</v>
      </c>
      <c r="N150" s="52">
        <v>9</v>
      </c>
      <c r="O150" s="22"/>
      <c r="V150"/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103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102" t="s">
        <v>884</v>
      </c>
      <c r="N153" s="50">
        <v>9</v>
      </c>
      <c r="O153" s="22"/>
      <c r="V153"/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7" t="s">
        <v>885</v>
      </c>
      <c r="N154" s="51">
        <v>8</v>
      </c>
      <c r="O154" s="22"/>
      <c r="V154"/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7" t="s">
        <v>886</v>
      </c>
      <c r="N155" s="51">
        <v>9.5</v>
      </c>
      <c r="O155" s="22"/>
      <c r="V155"/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7" t="s">
        <v>887</v>
      </c>
      <c r="N156" s="51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7" t="s">
        <v>922</v>
      </c>
      <c r="N157" s="51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7" t="s">
        <v>888</v>
      </c>
      <c r="N158" s="51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8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36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7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8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102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7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7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40" t="s">
        <v>971</v>
      </c>
      <c r="H165" s="14">
        <f>ROUND(SUM(H166:H175)/COUNT(H166:H175), 2)</f>
        <v>8.67</v>
      </c>
      <c r="I165" s="22"/>
      <c r="J165" s="141" t="s">
        <v>984</v>
      </c>
      <c r="K165" s="14">
        <f>ROUND(SUM(K166:K173)/COUNT(K166:K173), 2)</f>
        <v>8.8800000000000008</v>
      </c>
      <c r="L165" s="4"/>
      <c r="M165" s="97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7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7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7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7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7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97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7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42" t="s">
        <v>994</v>
      </c>
      <c r="E171" s="14">
        <f>ROUND(SUM(E172:E183)/COUNT(E172:E183), 2)</f>
        <v>7.5</v>
      </c>
      <c r="F171" s="4"/>
      <c r="G171" s="97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7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44" t="s">
        <v>1008</v>
      </c>
      <c r="B172" s="14">
        <f>ROUND(SUM(B173:B183)/COUNT(B173:B183), 2)</f>
        <v>8.73</v>
      </c>
      <c r="C172" s="22"/>
      <c r="D172" s="143" t="s">
        <v>995</v>
      </c>
      <c r="E172" s="50">
        <v>8</v>
      </c>
      <c r="F172" s="4"/>
      <c r="G172" s="97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7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7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7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7" t="s">
        <v>980</v>
      </c>
      <c r="H174" s="51">
        <v>8.5</v>
      </c>
      <c r="I174" s="4"/>
      <c r="J174" s="19"/>
      <c r="K174" s="19"/>
      <c r="L174" s="4"/>
      <c r="M174" s="97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8" t="s">
        <v>981</v>
      </c>
      <c r="H175" s="52">
        <v>7.5</v>
      </c>
      <c r="I175" s="22"/>
      <c r="J175" s="190" t="s">
        <v>1031</v>
      </c>
      <c r="K175" s="14">
        <f>ROUND(SUM(K176:K180)/COUNT(K176:K180), 2)</f>
        <v>9.3000000000000007</v>
      </c>
      <c r="L175" s="4"/>
      <c r="M175" s="97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1032</v>
      </c>
      <c r="K176" s="50">
        <v>9</v>
      </c>
      <c r="L176" s="4"/>
      <c r="M176" s="97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221" t="s">
        <v>1305</v>
      </c>
      <c r="H177" s="14">
        <f>ROUND(SUM(H178:H189)/COUNT(H178:H189), 2)</f>
        <v>8.5500000000000007</v>
      </c>
      <c r="I177" s="4"/>
      <c r="J177" s="6" t="s">
        <v>1033</v>
      </c>
      <c r="K177" s="51">
        <v>10</v>
      </c>
      <c r="L177" s="4"/>
      <c r="M177" s="97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102" t="s">
        <v>1037</v>
      </c>
      <c r="H178" s="50"/>
      <c r="I178" s="4"/>
      <c r="J178" s="6" t="s">
        <v>1034</v>
      </c>
      <c r="K178" s="51">
        <v>9</v>
      </c>
      <c r="L178" s="4"/>
      <c r="M178" s="97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7" t="s">
        <v>1038</v>
      </c>
      <c r="H179" s="51">
        <v>8.5</v>
      </c>
      <c r="I179" s="4"/>
      <c r="J179" s="6" t="s">
        <v>1035</v>
      </c>
      <c r="K179" s="51">
        <v>8</v>
      </c>
      <c r="L179" s="4"/>
      <c r="M179" s="97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7" t="s">
        <v>1039</v>
      </c>
      <c r="H180" s="51">
        <v>9</v>
      </c>
      <c r="I180" s="4"/>
      <c r="J180" s="9" t="s">
        <v>1036</v>
      </c>
      <c r="K180" s="52">
        <v>10.5</v>
      </c>
      <c r="L180" s="4"/>
      <c r="M180" s="98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7" t="s">
        <v>1040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7" t="s">
        <v>1041</v>
      </c>
      <c r="H182" s="51">
        <v>8.5</v>
      </c>
      <c r="I182" s="22"/>
      <c r="J182" s="193" t="s">
        <v>1056</v>
      </c>
      <c r="K182" s="14">
        <f>ROUND(SUM(K183:K187)/COUNT(K183:K187), 2)</f>
        <v>10</v>
      </c>
      <c r="L182" s="4"/>
      <c r="M182" s="147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7" t="s">
        <v>1042</v>
      </c>
      <c r="H183" s="51">
        <v>8</v>
      </c>
      <c r="I183" s="22"/>
      <c r="J183" s="13" t="s">
        <v>1051</v>
      </c>
      <c r="K183" s="50">
        <v>10.5</v>
      </c>
      <c r="L183" s="4"/>
      <c r="M183" s="145" t="s">
        <v>1020</v>
      </c>
      <c r="N183" s="146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97" t="s">
        <v>1043</v>
      </c>
      <c r="H184" s="51">
        <v>7.5</v>
      </c>
      <c r="I184" s="22"/>
      <c r="J184" s="6" t="s">
        <v>1052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98" t="s">
        <v>1169</v>
      </c>
      <c r="B185" s="14">
        <f>ROUND(SUM(B186:B194)/COUNT(B186:B194), 2)</f>
        <v>9</v>
      </c>
      <c r="C185" s="22"/>
      <c r="D185" s="205" t="s">
        <v>1183</v>
      </c>
      <c r="E185" s="14">
        <f>ROUND(SUM(E186:E198)/COUNT(E186:E198), 2)</f>
        <v>8.4600000000000009</v>
      </c>
      <c r="F185" s="4"/>
      <c r="G185" s="97" t="s">
        <v>1044</v>
      </c>
      <c r="H185" s="51">
        <v>8</v>
      </c>
      <c r="I185" s="22"/>
      <c r="J185" s="6" t="s">
        <v>1053</v>
      </c>
      <c r="K185" s="51">
        <v>10</v>
      </c>
      <c r="L185" s="22"/>
      <c r="M185" s="256" t="s">
        <v>1597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1170</v>
      </c>
      <c r="B186" s="50">
        <v>9.5</v>
      </c>
      <c r="C186" s="4"/>
      <c r="D186" s="13" t="s">
        <v>1184</v>
      </c>
      <c r="E186" s="50">
        <v>9</v>
      </c>
      <c r="F186" s="4"/>
      <c r="G186" s="97" t="s">
        <v>1045</v>
      </c>
      <c r="H186" s="51">
        <v>9.5</v>
      </c>
      <c r="I186" s="22"/>
      <c r="J186" s="6" t="s">
        <v>1054</v>
      </c>
      <c r="K186" s="51">
        <v>10.5</v>
      </c>
      <c r="L186" s="4"/>
      <c r="M186" s="102" t="s">
        <v>1201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1171</v>
      </c>
      <c r="B187" s="51">
        <v>9</v>
      </c>
      <c r="C187" s="4"/>
      <c r="D187" s="6" t="s">
        <v>1185</v>
      </c>
      <c r="E187" s="51">
        <v>8</v>
      </c>
      <c r="F187" s="4"/>
      <c r="G187" s="97" t="s">
        <v>1046</v>
      </c>
      <c r="H187" s="51">
        <v>10</v>
      </c>
      <c r="I187" s="22"/>
      <c r="J187" s="9" t="s">
        <v>1055</v>
      </c>
      <c r="K187" s="52">
        <v>10</v>
      </c>
      <c r="L187" s="4"/>
      <c r="M187" s="97" t="s">
        <v>1202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1172</v>
      </c>
      <c r="B188" s="51">
        <v>10</v>
      </c>
      <c r="C188" s="4"/>
      <c r="D188" s="6" t="s">
        <v>1186</v>
      </c>
      <c r="E188" s="51">
        <v>10</v>
      </c>
      <c r="F188" s="4"/>
      <c r="G188" s="97" t="s">
        <v>1047</v>
      </c>
      <c r="H188" s="51">
        <v>8.5</v>
      </c>
      <c r="I188" s="4"/>
      <c r="J188" s="21"/>
      <c r="K188" s="21"/>
      <c r="L188" s="4"/>
      <c r="M188" s="97" t="s">
        <v>1203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1173</v>
      </c>
      <c r="B189" s="51">
        <v>10.5</v>
      </c>
      <c r="C189" s="4"/>
      <c r="D189" s="6" t="s">
        <v>1187</v>
      </c>
      <c r="E189" s="51">
        <v>7.5</v>
      </c>
      <c r="F189" s="4"/>
      <c r="G189" s="98" t="s">
        <v>1048</v>
      </c>
      <c r="H189" s="52">
        <v>8.5</v>
      </c>
      <c r="I189" s="22"/>
      <c r="J189" s="210" t="s">
        <v>1233</v>
      </c>
      <c r="K189" s="14">
        <f>ROUND(SUM(K190:K197)/COUNT(K190:K197), 2)</f>
        <v>7.71</v>
      </c>
      <c r="L189" s="4"/>
      <c r="M189" s="97" t="s">
        <v>1204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1174</v>
      </c>
      <c r="B190" s="51">
        <v>8</v>
      </c>
      <c r="C190" s="4"/>
      <c r="D190" s="6" t="s">
        <v>1188</v>
      </c>
      <c r="E190" s="51">
        <v>7</v>
      </c>
      <c r="F190" s="4"/>
      <c r="G190" s="21"/>
      <c r="H190" s="21"/>
      <c r="I190" s="4"/>
      <c r="J190" s="13" t="s">
        <v>1234</v>
      </c>
      <c r="K190" s="50"/>
      <c r="L190" s="4"/>
      <c r="M190" s="97" t="s">
        <v>1205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1175</v>
      </c>
      <c r="B191" s="51">
        <v>8.5</v>
      </c>
      <c r="C191" s="4"/>
      <c r="D191" s="6" t="s">
        <v>1189</v>
      </c>
      <c r="E191" s="51">
        <v>9.5</v>
      </c>
      <c r="F191" s="22"/>
      <c r="G191" s="216" t="s">
        <v>1246</v>
      </c>
      <c r="H191" s="14">
        <f>ROUND(SUM(H192:H200)/COUNT(H192:H200), 2)</f>
        <v>8.83</v>
      </c>
      <c r="I191" s="4"/>
      <c r="J191" s="6" t="s">
        <v>1235</v>
      </c>
      <c r="K191" s="51">
        <v>7</v>
      </c>
      <c r="L191" s="4"/>
      <c r="M191" s="97" t="s">
        <v>1206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1176</v>
      </c>
      <c r="B192" s="51">
        <v>8</v>
      </c>
      <c r="C192" s="4"/>
      <c r="D192" s="6" t="s">
        <v>1190</v>
      </c>
      <c r="E192" s="51">
        <v>8</v>
      </c>
      <c r="F192" s="4"/>
      <c r="G192" s="102" t="s">
        <v>1247</v>
      </c>
      <c r="H192" s="50">
        <v>9</v>
      </c>
      <c r="I192" s="4"/>
      <c r="J192" s="6" t="s">
        <v>1236</v>
      </c>
      <c r="K192" s="51">
        <v>7.5</v>
      </c>
      <c r="L192" s="4"/>
      <c r="M192" s="97" t="s">
        <v>1207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1177</v>
      </c>
      <c r="B193" s="51">
        <v>9.5</v>
      </c>
      <c r="C193" s="4"/>
      <c r="D193" s="6" t="s">
        <v>1191</v>
      </c>
      <c r="E193" s="51">
        <v>7.5</v>
      </c>
      <c r="F193" s="4"/>
      <c r="G193" s="97" t="s">
        <v>1248</v>
      </c>
      <c r="H193" s="51">
        <v>8.5</v>
      </c>
      <c r="I193" s="4"/>
      <c r="J193" s="6" t="s">
        <v>1237</v>
      </c>
      <c r="K193" s="51">
        <v>8</v>
      </c>
      <c r="L193" s="4"/>
      <c r="M193" s="97" t="s">
        <v>1208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1178</v>
      </c>
      <c r="B194" s="52">
        <v>8</v>
      </c>
      <c r="C194" s="4"/>
      <c r="D194" s="6" t="s">
        <v>1192</v>
      </c>
      <c r="E194" s="51">
        <v>10</v>
      </c>
      <c r="F194" s="4"/>
      <c r="G194" s="97" t="s">
        <v>1249</v>
      </c>
      <c r="H194" s="51">
        <v>8.5</v>
      </c>
      <c r="I194" s="4"/>
      <c r="J194" s="6" t="s">
        <v>1238</v>
      </c>
      <c r="K194" s="51">
        <v>7.5</v>
      </c>
      <c r="L194" s="4"/>
      <c r="M194" s="97" t="s">
        <v>1209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1193</v>
      </c>
      <c r="E195" s="51">
        <v>8</v>
      </c>
      <c r="F195" s="4"/>
      <c r="G195" s="97" t="s">
        <v>1250</v>
      </c>
      <c r="H195" s="51">
        <v>10</v>
      </c>
      <c r="I195" s="4"/>
      <c r="J195" s="6" t="s">
        <v>1239</v>
      </c>
      <c r="K195" s="51">
        <v>8.5</v>
      </c>
      <c r="L195" s="4"/>
      <c r="M195" s="97" t="s">
        <v>1210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222" t="s">
        <v>1271</v>
      </c>
      <c r="B196" s="14">
        <f>ROUND(SUM(B197:B211)/COUNT(B197:B211), 2)</f>
        <v>8.57</v>
      </c>
      <c r="C196" s="4"/>
      <c r="D196" s="6" t="s">
        <v>1194</v>
      </c>
      <c r="E196" s="51">
        <v>7</v>
      </c>
      <c r="F196" s="4"/>
      <c r="G196" s="97" t="s">
        <v>1251</v>
      </c>
      <c r="H196" s="51">
        <v>8</v>
      </c>
      <c r="I196" s="4"/>
      <c r="J196" s="6" t="s">
        <v>1240</v>
      </c>
      <c r="K196" s="51">
        <v>8</v>
      </c>
      <c r="L196" s="4"/>
      <c r="M196" s="97" t="s">
        <v>1211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214">
        <v>360</v>
      </c>
      <c r="B197" s="50">
        <v>10</v>
      </c>
      <c r="C197" s="4"/>
      <c r="D197" s="6" t="s">
        <v>1195</v>
      </c>
      <c r="E197" s="51"/>
      <c r="F197" s="4"/>
      <c r="G197" s="97" t="s">
        <v>1252</v>
      </c>
      <c r="H197" s="51">
        <v>10.5</v>
      </c>
      <c r="I197" s="4"/>
      <c r="J197" s="9" t="s">
        <v>1241</v>
      </c>
      <c r="K197" s="52">
        <v>7.5</v>
      </c>
      <c r="L197" s="4"/>
      <c r="M197" s="97" t="s">
        <v>1212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97" t="s">
        <v>1258</v>
      </c>
      <c r="B198" s="51">
        <v>8.5</v>
      </c>
      <c r="C198" s="4"/>
      <c r="D198" s="9" t="s">
        <v>1196</v>
      </c>
      <c r="E198" s="52">
        <v>10</v>
      </c>
      <c r="F198" s="4"/>
      <c r="G198" s="97" t="s">
        <v>1253</v>
      </c>
      <c r="H198" s="51">
        <v>8</v>
      </c>
      <c r="I198" s="4"/>
      <c r="J198" s="21"/>
      <c r="K198" s="21"/>
      <c r="L198" s="4"/>
      <c r="M198" s="97" t="s">
        <v>1213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97" t="s">
        <v>1259</v>
      </c>
      <c r="B199" s="51">
        <v>8.5</v>
      </c>
      <c r="C199" s="4"/>
      <c r="D199" s="21"/>
      <c r="E199" s="21"/>
      <c r="F199" s="4"/>
      <c r="G199" s="97" t="s">
        <v>1254</v>
      </c>
      <c r="H199" s="51">
        <v>8.5</v>
      </c>
      <c r="I199" s="22"/>
      <c r="J199" s="217" t="s">
        <v>1278</v>
      </c>
      <c r="K199" s="14">
        <f>ROUND(SUM(K200:K206)/COUNT(K200:K206), 2)</f>
        <v>8.75</v>
      </c>
      <c r="L199" s="4"/>
      <c r="M199" s="97" t="s">
        <v>1214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97" t="s">
        <v>1260</v>
      </c>
      <c r="B200" s="51">
        <v>7.5</v>
      </c>
      <c r="C200" s="22"/>
      <c r="D200" s="220" t="s">
        <v>1304</v>
      </c>
      <c r="E200" s="14">
        <f>ROUND(SUM(E201:E210)/COUNT(E201:E210), 2)</f>
        <v>9.36</v>
      </c>
      <c r="F200" s="4"/>
      <c r="G200" s="98" t="s">
        <v>1255</v>
      </c>
      <c r="H200" s="52">
        <v>8.5</v>
      </c>
      <c r="I200" s="4"/>
      <c r="J200" s="13" t="s">
        <v>1279</v>
      </c>
      <c r="K200" s="50">
        <v>10</v>
      </c>
      <c r="L200" s="4"/>
      <c r="M200" s="97" t="s">
        <v>1215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97" t="s">
        <v>1261</v>
      </c>
      <c r="B201" s="51">
        <v>8</v>
      </c>
      <c r="C201" s="22"/>
      <c r="D201" s="13" t="s">
        <v>1294</v>
      </c>
      <c r="E201" s="50">
        <v>9</v>
      </c>
      <c r="F201" s="4"/>
      <c r="G201" s="21"/>
      <c r="H201" s="21"/>
      <c r="I201" s="4"/>
      <c r="J201" s="6" t="s">
        <v>1280</v>
      </c>
      <c r="K201" s="51">
        <v>8</v>
      </c>
      <c r="L201" s="4"/>
      <c r="M201" s="97" t="s">
        <v>1216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97" t="s">
        <v>1262</v>
      </c>
      <c r="B202" s="51">
        <v>10</v>
      </c>
      <c r="C202" s="22"/>
      <c r="D202" s="6" t="s">
        <v>1295</v>
      </c>
      <c r="E202" s="51">
        <v>10.5</v>
      </c>
      <c r="F202" s="22"/>
      <c r="G202" s="225" t="s">
        <v>1309</v>
      </c>
      <c r="H202" s="14">
        <f>ROUND(SUM(H203:H213)/COUNT(H203:H213), 2)</f>
        <v>8.4499999999999993</v>
      </c>
      <c r="I202" s="4"/>
      <c r="J202" s="6" t="s">
        <v>1281</v>
      </c>
      <c r="K202" s="51">
        <v>9.5</v>
      </c>
      <c r="L202" s="4"/>
      <c r="M202" s="97" t="s">
        <v>1217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97" t="s">
        <v>1263</v>
      </c>
      <c r="B203" s="51">
        <v>8</v>
      </c>
      <c r="C203" s="22"/>
      <c r="D203" s="6" t="s">
        <v>1296</v>
      </c>
      <c r="E203" s="51"/>
      <c r="F203" s="4"/>
      <c r="G203" s="102" t="s">
        <v>1310</v>
      </c>
      <c r="H203" s="50">
        <v>8.5</v>
      </c>
      <c r="I203" s="4"/>
      <c r="J203" s="6" t="s">
        <v>1282</v>
      </c>
      <c r="K203" s="51">
        <v>8</v>
      </c>
      <c r="L203" s="4"/>
      <c r="M203" s="97" t="s">
        <v>1218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97" t="s">
        <v>1264</v>
      </c>
      <c r="B204" s="51">
        <v>8.5</v>
      </c>
      <c r="C204" s="22"/>
      <c r="D204" s="6" t="s">
        <v>1297</v>
      </c>
      <c r="E204" s="51">
        <v>10</v>
      </c>
      <c r="F204" s="4"/>
      <c r="G204" s="97" t="s">
        <v>1311</v>
      </c>
      <c r="H204" s="51">
        <v>8.5</v>
      </c>
      <c r="I204" s="4"/>
      <c r="J204" s="6" t="s">
        <v>1283</v>
      </c>
      <c r="K204" s="51">
        <v>9</v>
      </c>
      <c r="L204" s="4"/>
      <c r="M204" s="97" t="s">
        <v>1219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97" t="s">
        <v>1265</v>
      </c>
      <c r="B205" s="51">
        <v>7.5</v>
      </c>
      <c r="C205" s="22"/>
      <c r="D205" s="6" t="s">
        <v>1298</v>
      </c>
      <c r="E205" s="51"/>
      <c r="F205" s="4"/>
      <c r="G205" s="97" t="s">
        <v>1312</v>
      </c>
      <c r="H205" s="51">
        <v>9</v>
      </c>
      <c r="I205" s="4"/>
      <c r="J205" s="6" t="s">
        <v>1284</v>
      </c>
      <c r="K205" s="51"/>
      <c r="L205" s="4"/>
      <c r="M205" s="97" t="s">
        <v>1220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97" t="s">
        <v>1266</v>
      </c>
      <c r="B206" s="51">
        <v>8.5</v>
      </c>
      <c r="C206" s="22"/>
      <c r="D206" s="6" t="s">
        <v>1299</v>
      </c>
      <c r="E206" s="51">
        <v>10</v>
      </c>
      <c r="F206" s="4"/>
      <c r="G206" s="97" t="s">
        <v>1313</v>
      </c>
      <c r="H206" s="51">
        <v>10</v>
      </c>
      <c r="I206" s="4"/>
      <c r="J206" s="9" t="s">
        <v>1285</v>
      </c>
      <c r="K206" s="52">
        <v>8</v>
      </c>
      <c r="L206" s="4"/>
      <c r="M206" s="97" t="s">
        <v>1221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97" t="s">
        <v>1267</v>
      </c>
      <c r="B207" s="51">
        <v>10.5</v>
      </c>
      <c r="C207" s="22"/>
      <c r="D207" s="6" t="s">
        <v>1300</v>
      </c>
      <c r="E207" s="51">
        <v>7.5</v>
      </c>
      <c r="F207" s="4"/>
      <c r="G207" s="97" t="s">
        <v>1314</v>
      </c>
      <c r="H207" s="51">
        <v>9</v>
      </c>
      <c r="I207" s="4"/>
      <c r="J207" s="21"/>
      <c r="K207" s="21"/>
      <c r="L207" s="4"/>
      <c r="M207" s="97" t="s">
        <v>1222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97" t="s">
        <v>1268</v>
      </c>
      <c r="B208" s="51">
        <v>9</v>
      </c>
      <c r="C208" s="22"/>
      <c r="D208" s="6" t="s">
        <v>1301</v>
      </c>
      <c r="E208" s="51">
        <v>8</v>
      </c>
      <c r="F208" s="4"/>
      <c r="G208" s="97" t="s">
        <v>1315</v>
      </c>
      <c r="H208" s="51">
        <v>8.5</v>
      </c>
      <c r="I208" s="22"/>
      <c r="J208" s="236" t="s">
        <v>1399</v>
      </c>
      <c r="K208" s="14">
        <f>ROUND(SUM(K209:K217)/COUNT(K209:K217), 2)</f>
        <v>8.67</v>
      </c>
      <c r="L208" s="4"/>
      <c r="M208" s="97" t="s">
        <v>1223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97" t="s">
        <v>1269</v>
      </c>
      <c r="B209" s="51">
        <v>8.5</v>
      </c>
      <c r="C209" s="22"/>
      <c r="D209" s="6" t="s">
        <v>1302</v>
      </c>
      <c r="E209" s="51">
        <v>10.5</v>
      </c>
      <c r="F209" s="4"/>
      <c r="G209" s="97" t="s">
        <v>1316</v>
      </c>
      <c r="H209" s="51">
        <v>9</v>
      </c>
      <c r="I209" s="4"/>
      <c r="J209" s="13" t="s">
        <v>1323</v>
      </c>
      <c r="K209" s="50">
        <v>9</v>
      </c>
      <c r="L209" s="4"/>
      <c r="M209" s="98" t="s">
        <v>1224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97" t="s">
        <v>1270</v>
      </c>
      <c r="B210" s="51">
        <v>6.5</v>
      </c>
      <c r="C210" s="22"/>
      <c r="D210" s="9" t="s">
        <v>1303</v>
      </c>
      <c r="E210" s="52"/>
      <c r="F210" s="4"/>
      <c r="G210" s="97" t="s">
        <v>1317</v>
      </c>
      <c r="H210" s="51">
        <v>8</v>
      </c>
      <c r="I210" s="4"/>
      <c r="J210" s="6" t="s">
        <v>1324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15">
        <v>365</v>
      </c>
      <c r="B211" s="52">
        <v>9</v>
      </c>
      <c r="C211" s="4"/>
      <c r="D211" s="21"/>
      <c r="E211" s="21"/>
      <c r="F211" s="4"/>
      <c r="G211" s="97" t="s">
        <v>1318</v>
      </c>
      <c r="H211" s="51">
        <v>7.5</v>
      </c>
      <c r="I211" s="4"/>
      <c r="J211" s="6" t="s">
        <v>1325</v>
      </c>
      <c r="K211" s="51">
        <v>10.5</v>
      </c>
      <c r="L211" s="22"/>
      <c r="M211" s="231" t="s">
        <v>1357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33" t="s">
        <v>1361</v>
      </c>
      <c r="E212" s="14">
        <f>ROUND(SUM(E213:E226)/COUNT(E213:E226), 2)</f>
        <v>8.77</v>
      </c>
      <c r="F212" s="4"/>
      <c r="G212" s="97" t="s">
        <v>1319</v>
      </c>
      <c r="H212" s="51">
        <v>8</v>
      </c>
      <c r="I212" s="4"/>
      <c r="J212" s="6" t="s">
        <v>1326</v>
      </c>
      <c r="K212" s="51">
        <v>7.5</v>
      </c>
      <c r="L212" s="4"/>
      <c r="M212" s="102" t="s">
        <v>1342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234" t="s">
        <v>1376</v>
      </c>
      <c r="B213" s="14">
        <f>ROUND(SUM(B214:B224)/COUNT(B214:B224), 2)</f>
        <v>8.86</v>
      </c>
      <c r="C213" s="4"/>
      <c r="D213" s="13" t="s">
        <v>1362</v>
      </c>
      <c r="E213" s="50">
        <v>9</v>
      </c>
      <c r="F213" s="4"/>
      <c r="G213" s="98" t="s">
        <v>1320</v>
      </c>
      <c r="H213" s="52">
        <v>7</v>
      </c>
      <c r="I213" s="4"/>
      <c r="J213" s="6" t="s">
        <v>1327</v>
      </c>
      <c r="K213" s="51">
        <v>9</v>
      </c>
      <c r="L213" s="4"/>
      <c r="M213" s="97" t="s">
        <v>1343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102" t="s">
        <v>1377</v>
      </c>
      <c r="B214" s="50">
        <v>8.5</v>
      </c>
      <c r="C214" s="4"/>
      <c r="D214" s="6" t="s">
        <v>1363</v>
      </c>
      <c r="E214" s="51">
        <v>10</v>
      </c>
      <c r="F214" s="4"/>
      <c r="G214" s="21"/>
      <c r="H214" s="21"/>
      <c r="I214" s="4"/>
      <c r="J214" s="6" t="s">
        <v>1328</v>
      </c>
      <c r="K214" s="51">
        <v>7</v>
      </c>
      <c r="L214" s="4"/>
      <c r="M214" s="97" t="s">
        <v>1344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97" t="s">
        <v>1378</v>
      </c>
      <c r="B215" s="51">
        <v>10</v>
      </c>
      <c r="C215" s="4"/>
      <c r="D215" s="6" t="s">
        <v>1364</v>
      </c>
      <c r="E215" s="51">
        <v>9.5</v>
      </c>
      <c r="F215" s="22"/>
      <c r="G215" s="246" t="s">
        <v>1400</v>
      </c>
      <c r="H215" s="14">
        <f>ROUND(SUM(H216:H227)/COUNT(H216:H227), 2)</f>
        <v>8.4600000000000009</v>
      </c>
      <c r="I215" s="4"/>
      <c r="J215" s="6" t="s">
        <v>1329</v>
      </c>
      <c r="K215" s="51">
        <v>8</v>
      </c>
      <c r="L215" s="4"/>
      <c r="M215" s="97" t="s">
        <v>1345</v>
      </c>
      <c r="N215" s="51"/>
      <c r="O215" s="22"/>
      <c r="V215"/>
      <c r="W215"/>
      <c r="X215"/>
      <c r="Y215"/>
      <c r="Z215"/>
    </row>
    <row r="216" spans="1:26" ht="16.05" customHeight="1">
      <c r="A216" s="97" t="s">
        <v>1379</v>
      </c>
      <c r="B216" s="51">
        <v>9.5</v>
      </c>
      <c r="C216" s="4"/>
      <c r="D216" s="6" t="s">
        <v>1365</v>
      </c>
      <c r="E216" s="51">
        <v>10</v>
      </c>
      <c r="F216" s="4"/>
      <c r="G216" s="102" t="s">
        <v>1401</v>
      </c>
      <c r="H216" s="50">
        <v>10</v>
      </c>
      <c r="I216" s="4"/>
      <c r="J216" s="6" t="s">
        <v>1330</v>
      </c>
      <c r="K216" s="51">
        <v>9</v>
      </c>
      <c r="L216" s="4"/>
      <c r="M216" s="97" t="s">
        <v>1346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97" t="s">
        <v>1380</v>
      </c>
      <c r="B217" s="51">
        <v>9</v>
      </c>
      <c r="C217" s="4"/>
      <c r="D217" s="6" t="s">
        <v>1366</v>
      </c>
      <c r="E217" s="51">
        <v>8.5</v>
      </c>
      <c r="F217" s="4"/>
      <c r="G217" s="97" t="s">
        <v>1402</v>
      </c>
      <c r="H217" s="51">
        <v>9</v>
      </c>
      <c r="I217" s="4"/>
      <c r="J217" s="9" t="s">
        <v>1331</v>
      </c>
      <c r="K217" s="52">
        <v>10</v>
      </c>
      <c r="L217" s="4"/>
      <c r="M217" s="97" t="s">
        <v>1347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97" t="s">
        <v>1381</v>
      </c>
      <c r="B218" s="51">
        <v>9</v>
      </c>
      <c r="C218" s="4"/>
      <c r="D218" s="6" t="s">
        <v>1367</v>
      </c>
      <c r="E218" s="51"/>
      <c r="F218" s="4"/>
      <c r="G218" s="97" t="s">
        <v>1403</v>
      </c>
      <c r="H218" s="51">
        <v>8.5</v>
      </c>
      <c r="I218" s="4"/>
      <c r="J218" s="21"/>
      <c r="K218" s="21"/>
      <c r="L218" s="4"/>
      <c r="M218" s="97" t="s">
        <v>1348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97" t="s">
        <v>1382</v>
      </c>
      <c r="B219" s="51">
        <v>8.5</v>
      </c>
      <c r="C219" s="4"/>
      <c r="D219" s="6" t="s">
        <v>1368</v>
      </c>
      <c r="E219" s="51">
        <v>8</v>
      </c>
      <c r="F219" s="4"/>
      <c r="G219" s="97" t="s">
        <v>1404</v>
      </c>
      <c r="H219" s="51">
        <v>10.5</v>
      </c>
      <c r="I219" s="22"/>
      <c r="J219" s="239" t="s">
        <v>1415</v>
      </c>
      <c r="K219" s="14">
        <f>ROUND(SUM(K220:K235)/COUNT(K220:K235), 2)</f>
        <v>8.82</v>
      </c>
      <c r="L219" s="4"/>
      <c r="M219" s="97" t="s">
        <v>1349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97" t="s">
        <v>1383</v>
      </c>
      <c r="B220" s="51">
        <v>8</v>
      </c>
      <c r="C220" s="4"/>
      <c r="D220" s="6" t="s">
        <v>1369</v>
      </c>
      <c r="E220" s="51">
        <v>9.5</v>
      </c>
      <c r="F220" s="4"/>
      <c r="G220" s="97" t="s">
        <v>1405</v>
      </c>
      <c r="H220" s="51">
        <v>8.5</v>
      </c>
      <c r="I220" s="4"/>
      <c r="J220" s="13" t="s">
        <v>1416</v>
      </c>
      <c r="K220" s="50">
        <v>10</v>
      </c>
      <c r="L220" s="4"/>
      <c r="M220" s="97" t="s">
        <v>1350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97" t="s">
        <v>1384</v>
      </c>
      <c r="B221" s="51">
        <v>9</v>
      </c>
      <c r="C221" s="4"/>
      <c r="D221" s="6" t="s">
        <v>1370</v>
      </c>
      <c r="E221" s="51">
        <v>8</v>
      </c>
      <c r="F221" s="4"/>
      <c r="G221" s="97" t="s">
        <v>1406</v>
      </c>
      <c r="H221" s="51">
        <v>9</v>
      </c>
      <c r="I221" s="4"/>
      <c r="J221" s="6" t="s">
        <v>1417</v>
      </c>
      <c r="K221" s="51"/>
      <c r="L221" s="4"/>
      <c r="M221" s="97" t="s">
        <v>1351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97" t="s">
        <v>1385</v>
      </c>
      <c r="B222" s="51">
        <v>8.5</v>
      </c>
      <c r="C222" s="4"/>
      <c r="D222" s="6" t="s">
        <v>1371</v>
      </c>
      <c r="E222" s="51">
        <v>8</v>
      </c>
      <c r="F222" s="4"/>
      <c r="G222" s="97" t="s">
        <v>1407</v>
      </c>
      <c r="H222" s="51">
        <v>7.5</v>
      </c>
      <c r="I222" s="4"/>
      <c r="J222" s="6" t="s">
        <v>1418</v>
      </c>
      <c r="K222" s="51">
        <v>10.5</v>
      </c>
      <c r="L222" s="4"/>
      <c r="M222" s="97" t="s">
        <v>1352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97" t="s">
        <v>1386</v>
      </c>
      <c r="B223" s="51">
        <v>9</v>
      </c>
      <c r="C223" s="4"/>
      <c r="D223" s="6" t="s">
        <v>1372</v>
      </c>
      <c r="E223" s="51">
        <v>8</v>
      </c>
      <c r="F223" s="4"/>
      <c r="G223" s="97" t="s">
        <v>1408</v>
      </c>
      <c r="H223" s="51">
        <v>10.5</v>
      </c>
      <c r="I223" s="4"/>
      <c r="J223" s="6" t="s">
        <v>1419</v>
      </c>
      <c r="K223" s="51">
        <v>8.5</v>
      </c>
      <c r="L223" s="4"/>
      <c r="M223" s="97" t="s">
        <v>1353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8" t="s">
        <v>1387</v>
      </c>
      <c r="B224" s="52">
        <v>8.5</v>
      </c>
      <c r="C224" s="4"/>
      <c r="D224" s="6" t="s">
        <v>1373</v>
      </c>
      <c r="E224" s="51">
        <v>8</v>
      </c>
      <c r="F224" s="4"/>
      <c r="G224" s="97" t="s">
        <v>1409</v>
      </c>
      <c r="H224" s="51">
        <v>7</v>
      </c>
      <c r="I224" s="4"/>
      <c r="J224" s="6" t="s">
        <v>1420</v>
      </c>
      <c r="K224" s="51">
        <v>9</v>
      </c>
      <c r="L224" s="4"/>
      <c r="M224" s="97" t="s">
        <v>1354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9"/>
      <c r="B225" s="19"/>
      <c r="C225" s="22"/>
      <c r="D225" s="5" t="s">
        <v>1374</v>
      </c>
      <c r="E225" s="51">
        <v>8.5</v>
      </c>
      <c r="F225" s="4"/>
      <c r="G225" s="97" t="s">
        <v>1410</v>
      </c>
      <c r="H225" s="51">
        <v>7.5</v>
      </c>
      <c r="I225" s="4"/>
      <c r="J225" s="6" t="s">
        <v>1421</v>
      </c>
      <c r="K225" s="51">
        <v>8</v>
      </c>
      <c r="L225" s="4"/>
      <c r="M225" s="97" t="s">
        <v>1355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247" t="s">
        <v>1437</v>
      </c>
      <c r="B226" s="14">
        <f>ROUND(SUM(B227:B233)/COUNT(B227:B233), 2)</f>
        <v>8.86</v>
      </c>
      <c r="C226" s="4"/>
      <c r="D226" s="9" t="s">
        <v>1375</v>
      </c>
      <c r="E226" s="52">
        <v>9</v>
      </c>
      <c r="F226" s="4"/>
      <c r="G226" s="97" t="s">
        <v>1411</v>
      </c>
      <c r="H226" s="51">
        <v>6.5</v>
      </c>
      <c r="I226" s="4"/>
      <c r="J226" s="6" t="s">
        <v>1422</v>
      </c>
      <c r="K226" s="51">
        <v>9.5</v>
      </c>
      <c r="L226" s="4"/>
      <c r="M226" s="98" t="s">
        <v>1356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102" t="s">
        <v>1438</v>
      </c>
      <c r="B227" s="50">
        <v>10</v>
      </c>
      <c r="C227" s="4"/>
      <c r="D227" s="21"/>
      <c r="E227" s="21"/>
      <c r="F227" s="4"/>
      <c r="G227" s="98" t="s">
        <v>1412</v>
      </c>
      <c r="H227" s="52">
        <v>7</v>
      </c>
      <c r="I227" s="4"/>
      <c r="J227" s="6" t="s">
        <v>1423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97" t="s">
        <v>1439</v>
      </c>
      <c r="B228" s="51">
        <v>9.5</v>
      </c>
      <c r="C228" s="22"/>
      <c r="D228" s="240" t="s">
        <v>1448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1424</v>
      </c>
      <c r="K228" s="51">
        <v>8</v>
      </c>
      <c r="L228" s="22"/>
      <c r="M228" s="245" t="s">
        <v>1476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97" t="s">
        <v>1440</v>
      </c>
      <c r="B229" s="51">
        <v>9</v>
      </c>
      <c r="C229" s="4"/>
      <c r="D229" s="13" t="s">
        <v>1449</v>
      </c>
      <c r="E229" s="50">
        <v>8.5</v>
      </c>
      <c r="F229" s="22"/>
      <c r="G229" s="244" t="s">
        <v>1477</v>
      </c>
      <c r="H229" s="14">
        <f>ROUND(SUM(H230:H244)/COUNT(H230:H244), 2)</f>
        <v>8.8800000000000008</v>
      </c>
      <c r="I229" s="4"/>
      <c r="J229" s="6" t="s">
        <v>1425</v>
      </c>
      <c r="K229" s="51">
        <v>8</v>
      </c>
      <c r="L229" s="4"/>
      <c r="M229" s="102" t="s">
        <v>1464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97" t="s">
        <v>1441</v>
      </c>
      <c r="B230" s="51">
        <v>8</v>
      </c>
      <c r="C230" s="4"/>
      <c r="D230" s="6" t="s">
        <v>1450</v>
      </c>
      <c r="E230" s="51">
        <v>8.5</v>
      </c>
      <c r="F230" s="4"/>
      <c r="G230" s="102" t="s">
        <v>1478</v>
      </c>
      <c r="H230" s="50"/>
      <c r="I230" s="4"/>
      <c r="J230" s="6" t="s">
        <v>1426</v>
      </c>
      <c r="K230" s="51">
        <v>10</v>
      </c>
      <c r="L230" s="4"/>
      <c r="M230" s="97" t="s">
        <v>1465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97" t="s">
        <v>1442</v>
      </c>
      <c r="B231" s="51">
        <v>9</v>
      </c>
      <c r="C231" s="4"/>
      <c r="D231" s="6" t="s">
        <v>1451</v>
      </c>
      <c r="E231" s="51">
        <v>8</v>
      </c>
      <c r="F231" s="4"/>
      <c r="G231" s="97" t="s">
        <v>1479</v>
      </c>
      <c r="H231" s="51">
        <v>8.5</v>
      </c>
      <c r="I231" s="4"/>
      <c r="J231" s="6" t="s">
        <v>1427</v>
      </c>
      <c r="K231" s="51">
        <v>7.5</v>
      </c>
      <c r="L231" s="4"/>
      <c r="M231" s="97" t="s">
        <v>1466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97" t="s">
        <v>1443</v>
      </c>
      <c r="B232" s="51">
        <v>8.5</v>
      </c>
      <c r="C232" s="4"/>
      <c r="D232" s="6" t="s">
        <v>1452</v>
      </c>
      <c r="E232" s="51">
        <v>9</v>
      </c>
      <c r="F232" s="4"/>
      <c r="G232" s="97" t="s">
        <v>1480</v>
      </c>
      <c r="H232" s="51">
        <v>9.5</v>
      </c>
      <c r="I232" s="4"/>
      <c r="J232" s="6" t="s">
        <v>1428</v>
      </c>
      <c r="K232" s="51">
        <v>9.5</v>
      </c>
      <c r="L232" s="4"/>
      <c r="M232" s="97" t="s">
        <v>1467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8" t="s">
        <v>1444</v>
      </c>
      <c r="B233" s="52">
        <v>8</v>
      </c>
      <c r="C233" s="4"/>
      <c r="D233" s="6" t="s">
        <v>1453</v>
      </c>
      <c r="E233" s="51">
        <v>9</v>
      </c>
      <c r="F233" s="4"/>
      <c r="G233" s="97" t="s">
        <v>1481</v>
      </c>
      <c r="H233" s="51">
        <v>8.5</v>
      </c>
      <c r="I233" s="4"/>
      <c r="J233" s="6" t="s">
        <v>1429</v>
      </c>
      <c r="K233" s="51">
        <v>8</v>
      </c>
      <c r="L233" s="4"/>
      <c r="M233" s="97" t="s">
        <v>1468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1454</v>
      </c>
      <c r="E234" s="52">
        <v>10</v>
      </c>
      <c r="F234" s="4"/>
      <c r="G234" s="97" t="s">
        <v>1482</v>
      </c>
      <c r="H234" s="51">
        <v>10</v>
      </c>
      <c r="I234" s="4"/>
      <c r="J234" s="6" t="s">
        <v>1430</v>
      </c>
      <c r="K234" s="51">
        <v>9</v>
      </c>
      <c r="L234" s="4"/>
      <c r="M234" s="97" t="s">
        <v>1469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250" t="s">
        <v>1495</v>
      </c>
      <c r="B235" s="14">
        <f>ROUND(SUM(B236:B244)/COUNT(B236:B244), 2)</f>
        <v>8.83</v>
      </c>
      <c r="C235" s="4"/>
      <c r="D235" s="21"/>
      <c r="E235" s="21"/>
      <c r="F235" s="4"/>
      <c r="G235" s="97" t="s">
        <v>1483</v>
      </c>
      <c r="H235" s="68">
        <v>10.5</v>
      </c>
      <c r="I235" s="4"/>
      <c r="J235" s="9" t="s">
        <v>1431</v>
      </c>
      <c r="K235" s="52">
        <v>8</v>
      </c>
      <c r="L235" s="4"/>
      <c r="M235" s="97" t="s">
        <v>1470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102" t="s">
        <v>1496</v>
      </c>
      <c r="B236" s="50">
        <v>9</v>
      </c>
      <c r="C236" s="4"/>
      <c r="D236" s="249" t="s">
        <v>1531</v>
      </c>
      <c r="E236" s="3">
        <f>ROUND(SUM(E237:E251)/COUNT(E237:E251), 2)</f>
        <v>8.8000000000000007</v>
      </c>
      <c r="F236" s="4"/>
      <c r="G236" s="97" t="s">
        <v>1484</v>
      </c>
      <c r="H236" s="51">
        <v>9</v>
      </c>
      <c r="I236" s="4"/>
      <c r="J236" s="21"/>
      <c r="K236" s="21"/>
      <c r="L236" s="4"/>
      <c r="M236" s="97" t="s">
        <v>1471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97" t="s">
        <v>1497</v>
      </c>
      <c r="B237" s="51">
        <v>10</v>
      </c>
      <c r="C237" s="4"/>
      <c r="D237" s="13" t="s">
        <v>1511</v>
      </c>
      <c r="E237" s="50">
        <v>8</v>
      </c>
      <c r="F237" s="4"/>
      <c r="G237" s="97" t="s">
        <v>1485</v>
      </c>
      <c r="H237" s="51">
        <v>8.5</v>
      </c>
      <c r="I237" s="22"/>
      <c r="J237" s="251" t="s">
        <v>1535</v>
      </c>
      <c r="K237" s="14">
        <f>ROUND(SUM(K238:K250)/COUNT(K238:K250), 2)</f>
        <v>8.73</v>
      </c>
      <c r="L237" s="4"/>
      <c r="M237" s="97" t="s">
        <v>1472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97" t="s">
        <v>1498</v>
      </c>
      <c r="B238" s="51">
        <v>8.5</v>
      </c>
      <c r="C238" s="4"/>
      <c r="D238" s="6" t="s">
        <v>1512</v>
      </c>
      <c r="E238" s="51">
        <v>8.5</v>
      </c>
      <c r="F238" s="4"/>
      <c r="G238" s="97" t="s">
        <v>1486</v>
      </c>
      <c r="H238" s="51">
        <v>8.5</v>
      </c>
      <c r="I238" s="4"/>
      <c r="J238" s="13" t="s">
        <v>1548</v>
      </c>
      <c r="K238" s="50">
        <v>10.5</v>
      </c>
      <c r="L238" s="4"/>
      <c r="M238" s="98" t="s">
        <v>1473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97" t="s">
        <v>1499</v>
      </c>
      <c r="B239" s="51">
        <v>8.5</v>
      </c>
      <c r="C239" s="4"/>
      <c r="D239" s="6" t="s">
        <v>1513</v>
      </c>
      <c r="E239" s="51">
        <v>9.5</v>
      </c>
      <c r="F239" s="4"/>
      <c r="G239" s="97" t="s">
        <v>1487</v>
      </c>
      <c r="H239" s="51">
        <v>8</v>
      </c>
      <c r="I239" s="4"/>
      <c r="J239" s="6" t="s">
        <v>1536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97" t="s">
        <v>1500</v>
      </c>
      <c r="B240" s="51">
        <v>9.5</v>
      </c>
      <c r="C240" s="4"/>
      <c r="D240" s="6" t="s">
        <v>1514</v>
      </c>
      <c r="E240" s="51">
        <v>10</v>
      </c>
      <c r="F240" s="4"/>
      <c r="G240" s="97" t="s">
        <v>1488</v>
      </c>
      <c r="H240" s="51"/>
      <c r="I240" s="4"/>
      <c r="J240" s="6" t="s">
        <v>1537</v>
      </c>
      <c r="K240" s="51">
        <v>9</v>
      </c>
      <c r="L240" s="4"/>
      <c r="M240" s="252" t="s">
        <v>1552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97" t="s">
        <v>1501</v>
      </c>
      <c r="B241" s="51">
        <v>8</v>
      </c>
      <c r="C241" s="4"/>
      <c r="D241" s="6" t="s">
        <v>1515</v>
      </c>
      <c r="E241" s="51">
        <v>8.5</v>
      </c>
      <c r="F241" s="4"/>
      <c r="G241" s="97" t="s">
        <v>1489</v>
      </c>
      <c r="H241" s="51">
        <v>9.5</v>
      </c>
      <c r="I241" s="4"/>
      <c r="J241" s="6" t="s">
        <v>1538</v>
      </c>
      <c r="K241" s="51">
        <v>9.5</v>
      </c>
      <c r="L241" s="4"/>
      <c r="M241" s="102" t="s">
        <v>1553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97" t="s">
        <v>1502</v>
      </c>
      <c r="B242" s="51">
        <v>8.5</v>
      </c>
      <c r="C242" s="4"/>
      <c r="D242" s="6" t="s">
        <v>1516</v>
      </c>
      <c r="E242" s="51">
        <v>9.5</v>
      </c>
      <c r="F242" s="4"/>
      <c r="G242" s="97" t="s">
        <v>1490</v>
      </c>
      <c r="H242" s="51">
        <v>8</v>
      </c>
      <c r="I242" s="4"/>
      <c r="J242" s="6" t="s">
        <v>1539</v>
      </c>
      <c r="K242" s="51">
        <v>9</v>
      </c>
      <c r="L242" s="4"/>
      <c r="M242" s="97" t="s">
        <v>1554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97" t="s">
        <v>1503</v>
      </c>
      <c r="B243" s="51">
        <v>9</v>
      </c>
      <c r="C243" s="4"/>
      <c r="D243" s="6" t="s">
        <v>1517</v>
      </c>
      <c r="E243" s="51">
        <v>9.5</v>
      </c>
      <c r="F243" s="4"/>
      <c r="G243" s="97" t="s">
        <v>1491</v>
      </c>
      <c r="H243" s="51">
        <v>8.5</v>
      </c>
      <c r="I243" s="4"/>
      <c r="J243" s="6" t="s">
        <v>1540</v>
      </c>
      <c r="K243" s="51">
        <v>8</v>
      </c>
      <c r="L243" s="4"/>
      <c r="M243" s="97" t="s">
        <v>1555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8" t="s">
        <v>1504</v>
      </c>
      <c r="B244" s="52">
        <v>8.5</v>
      </c>
      <c r="C244" s="4"/>
      <c r="D244" s="6" t="s">
        <v>1518</v>
      </c>
      <c r="E244" s="51">
        <v>8</v>
      </c>
      <c r="F244" s="4"/>
      <c r="G244" s="98" t="s">
        <v>1492</v>
      </c>
      <c r="H244" s="52">
        <v>8.5</v>
      </c>
      <c r="I244" s="4"/>
      <c r="J244" s="6" t="s">
        <v>1541</v>
      </c>
      <c r="K244" s="51">
        <v>9</v>
      </c>
      <c r="L244" s="4"/>
      <c r="M244" s="97" t="s">
        <v>1556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1519</v>
      </c>
      <c r="E245" s="51">
        <v>8</v>
      </c>
      <c r="F245" s="4"/>
      <c r="G245" s="21"/>
      <c r="H245" s="21"/>
      <c r="I245" s="4"/>
      <c r="J245" s="6" t="s">
        <v>1542</v>
      </c>
      <c r="K245" s="51">
        <v>8.5</v>
      </c>
      <c r="L245" s="4"/>
      <c r="M245" s="97" t="s">
        <v>1557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A246" s="254" t="s">
        <v>1594</v>
      </c>
      <c r="B246" s="14">
        <f>ROUND(SUM(B247:B258)/COUNT(B247:B258), 2)</f>
        <v>8.82</v>
      </c>
      <c r="C246" s="4"/>
      <c r="D246" s="6" t="s">
        <v>1520</v>
      </c>
      <c r="E246" s="51">
        <v>8.5</v>
      </c>
      <c r="F246" s="4"/>
      <c r="G246" s="253" t="s">
        <v>1574</v>
      </c>
      <c r="H246" s="3">
        <f>ROUND(SUM(H247:H256)/COUNT(H247:H256), 2)</f>
        <v>8.75</v>
      </c>
      <c r="I246" s="4"/>
      <c r="J246" s="6" t="s">
        <v>1543</v>
      </c>
      <c r="K246" s="51">
        <v>8</v>
      </c>
      <c r="L246" s="4"/>
      <c r="M246" s="97" t="s">
        <v>1558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A247" s="102" t="s">
        <v>1582</v>
      </c>
      <c r="B247" s="50">
        <v>9.5</v>
      </c>
      <c r="C247" s="4"/>
      <c r="D247" s="6" t="s">
        <v>1521</v>
      </c>
      <c r="E247" s="51">
        <v>10</v>
      </c>
      <c r="F247" s="4"/>
      <c r="G247" s="97" t="s">
        <v>1565</v>
      </c>
      <c r="H247" s="51">
        <v>10</v>
      </c>
      <c r="I247" s="4"/>
      <c r="J247" s="6" t="s">
        <v>1544</v>
      </c>
      <c r="K247" s="51">
        <v>8</v>
      </c>
      <c r="L247" s="4"/>
      <c r="M247" s="98" t="s">
        <v>1559</v>
      </c>
      <c r="N247" s="52">
        <v>9.5</v>
      </c>
      <c r="O247" s="4"/>
      <c r="V247"/>
      <c r="W247"/>
      <c r="X247"/>
      <c r="Y247"/>
      <c r="Z247"/>
    </row>
    <row r="248" spans="1:26" ht="16.05" customHeight="1" thickBot="1">
      <c r="A248" s="97" t="s">
        <v>1583</v>
      </c>
      <c r="B248" s="51">
        <v>8.5</v>
      </c>
      <c r="C248" s="4"/>
      <c r="D248" s="6" t="s">
        <v>1522</v>
      </c>
      <c r="E248" s="51">
        <v>8.5</v>
      </c>
      <c r="F248" s="4"/>
      <c r="G248" s="97" t="s">
        <v>1566</v>
      </c>
      <c r="H248" s="51">
        <v>9</v>
      </c>
      <c r="I248" s="4"/>
      <c r="J248" s="6" t="s">
        <v>1545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97" t="s">
        <v>1584</v>
      </c>
      <c r="B249" s="51">
        <v>8.5</v>
      </c>
      <c r="C249" s="4"/>
      <c r="D249" s="6" t="s">
        <v>1523</v>
      </c>
      <c r="E249" s="51">
        <v>9</v>
      </c>
      <c r="F249" s="4"/>
      <c r="G249" s="97" t="s">
        <v>15</v>
      </c>
      <c r="H249" s="51">
        <v>10</v>
      </c>
      <c r="I249" s="4"/>
      <c r="J249" s="6" t="s">
        <v>1546</v>
      </c>
      <c r="K249" s="51">
        <v>8.5</v>
      </c>
      <c r="L249" s="4"/>
      <c r="M249" s="260" t="s">
        <v>1599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97" t="s">
        <v>1585</v>
      </c>
      <c r="B250" s="51"/>
      <c r="C250" s="4"/>
      <c r="D250" s="6" t="s">
        <v>1524</v>
      </c>
      <c r="E250" s="51">
        <v>8.5</v>
      </c>
      <c r="F250" s="4"/>
      <c r="G250" s="97" t="s">
        <v>1567</v>
      </c>
      <c r="H250" s="51">
        <v>9</v>
      </c>
      <c r="I250" s="4"/>
      <c r="J250" s="9" t="s">
        <v>1547</v>
      </c>
      <c r="K250" s="52">
        <v>8</v>
      </c>
      <c r="L250" s="4"/>
      <c r="M250" s="257" t="s">
        <v>1598</v>
      </c>
      <c r="N250" s="50">
        <v>10</v>
      </c>
      <c r="O250" s="4"/>
      <c r="V250"/>
      <c r="W250"/>
      <c r="X250"/>
      <c r="Y250"/>
      <c r="Z250"/>
    </row>
    <row r="251" spans="1:26" ht="16.05" customHeight="1" thickBot="1">
      <c r="A251" s="97" t="s">
        <v>1586</v>
      </c>
      <c r="B251" s="51">
        <v>8</v>
      </c>
      <c r="C251" s="4"/>
      <c r="D251" s="9" t="s">
        <v>1525</v>
      </c>
      <c r="E251" s="52">
        <v>8</v>
      </c>
      <c r="F251" s="4"/>
      <c r="G251" s="97" t="s">
        <v>1568</v>
      </c>
      <c r="H251" s="51">
        <v>8.5</v>
      </c>
      <c r="I251" s="4"/>
      <c r="J251" s="4"/>
      <c r="K251" s="4"/>
      <c r="L251" s="4"/>
      <c r="M251" s="258" t="s">
        <v>1600</v>
      </c>
      <c r="N251" s="51">
        <v>9</v>
      </c>
      <c r="O251" s="4"/>
      <c r="V251"/>
      <c r="W251"/>
      <c r="X251"/>
      <c r="Y251"/>
      <c r="Z251"/>
    </row>
    <row r="252" spans="1:26" ht="16.05" customHeight="1">
      <c r="A252" s="97" t="s">
        <v>1587</v>
      </c>
      <c r="B252" s="51">
        <v>10</v>
      </c>
      <c r="C252" s="4"/>
      <c r="D252" s="4"/>
      <c r="E252" s="4"/>
      <c r="F252" s="4"/>
      <c r="G252" s="97" t="s">
        <v>1569</v>
      </c>
      <c r="H252" s="51">
        <v>8</v>
      </c>
      <c r="I252" s="4"/>
      <c r="L252" s="4"/>
      <c r="M252" s="258" t="s">
        <v>1601</v>
      </c>
      <c r="N252" s="51">
        <v>8.5</v>
      </c>
      <c r="O252" s="4"/>
      <c r="V252"/>
      <c r="W252"/>
      <c r="X252"/>
      <c r="Y252"/>
      <c r="Z252"/>
    </row>
    <row r="253" spans="1:26" ht="16.05" customHeight="1">
      <c r="A253" s="97" t="s">
        <v>1588</v>
      </c>
      <c r="B253" s="51">
        <v>10.5</v>
      </c>
      <c r="C253" s="4"/>
      <c r="F253" s="4"/>
      <c r="G253" s="97" t="s">
        <v>1570</v>
      </c>
      <c r="H253" s="51">
        <v>9</v>
      </c>
      <c r="I253" s="4"/>
      <c r="L253" s="4"/>
      <c r="M253" s="258" t="s">
        <v>1602</v>
      </c>
      <c r="N253" s="51">
        <v>8</v>
      </c>
      <c r="O253" s="4"/>
      <c r="V253"/>
      <c r="W253"/>
      <c r="X253"/>
      <c r="Y253"/>
      <c r="Z253"/>
    </row>
    <row r="254" spans="1:26" ht="16.05" customHeight="1">
      <c r="A254" s="97" t="s">
        <v>1589</v>
      </c>
      <c r="B254" s="51">
        <v>9</v>
      </c>
      <c r="C254" s="4"/>
      <c r="F254" s="4"/>
      <c r="G254" s="97" t="s">
        <v>1571</v>
      </c>
      <c r="H254" s="51">
        <v>8</v>
      </c>
      <c r="I254" s="4"/>
      <c r="L254" s="4"/>
      <c r="M254" s="258" t="s">
        <v>1603</v>
      </c>
      <c r="N254" s="51">
        <v>10.5</v>
      </c>
      <c r="O254" s="4"/>
      <c r="V254"/>
      <c r="W254"/>
      <c r="X254"/>
      <c r="Y254"/>
      <c r="Z254"/>
    </row>
    <row r="255" spans="1:26" ht="16.05" customHeight="1">
      <c r="A255" s="97" t="s">
        <v>1590</v>
      </c>
      <c r="B255" s="51">
        <v>8</v>
      </c>
      <c r="C255" s="4"/>
      <c r="F255" s="4"/>
      <c r="G255" s="97" t="s">
        <v>1572</v>
      </c>
      <c r="H255" s="51">
        <v>8</v>
      </c>
      <c r="I255" s="4"/>
      <c r="L255" s="4"/>
      <c r="M255" s="258" t="s">
        <v>1604</v>
      </c>
      <c r="N255" s="51">
        <v>9.5</v>
      </c>
      <c r="O255" s="4"/>
      <c r="V255"/>
      <c r="W255"/>
      <c r="X255"/>
      <c r="Y255"/>
      <c r="Z255"/>
    </row>
    <row r="256" spans="1:26" ht="16.05" customHeight="1" thickBot="1">
      <c r="A256" s="97" t="s">
        <v>1591</v>
      </c>
      <c r="B256" s="51">
        <v>8</v>
      </c>
      <c r="C256" s="4"/>
      <c r="F256" s="4"/>
      <c r="G256" s="98" t="s">
        <v>1573</v>
      </c>
      <c r="H256" s="52">
        <v>8</v>
      </c>
      <c r="I256" s="4"/>
      <c r="L256" s="4"/>
      <c r="M256" s="258" t="s">
        <v>9</v>
      </c>
      <c r="N256" s="51">
        <v>8</v>
      </c>
      <c r="O256" s="4"/>
      <c r="V256"/>
      <c r="W256"/>
      <c r="X256"/>
      <c r="Y256"/>
      <c r="Z256"/>
    </row>
    <row r="257" spans="1:26" ht="16.05" customHeight="1">
      <c r="A257" s="97" t="s">
        <v>1592</v>
      </c>
      <c r="B257" s="51">
        <v>8.5</v>
      </c>
      <c r="C257" s="4"/>
      <c r="F257" s="4"/>
      <c r="G257" s="4"/>
      <c r="H257" s="4"/>
      <c r="I257" s="4"/>
      <c r="L257" s="4"/>
      <c r="M257" s="258" t="s">
        <v>1605</v>
      </c>
      <c r="N257" s="51">
        <v>10.5</v>
      </c>
      <c r="O257" s="4"/>
      <c r="V257"/>
      <c r="W257"/>
      <c r="X257"/>
      <c r="Y257"/>
      <c r="Z257"/>
    </row>
    <row r="258" spans="1:26" ht="16.05" customHeight="1" thickBot="1">
      <c r="A258" s="98" t="s">
        <v>1593</v>
      </c>
      <c r="B258" s="52">
        <v>8.5</v>
      </c>
      <c r="C258" s="4"/>
      <c r="L258" s="4"/>
      <c r="M258" s="258" t="s">
        <v>1606</v>
      </c>
      <c r="N258" s="51">
        <v>10.5</v>
      </c>
      <c r="O258" s="4"/>
      <c r="V258"/>
      <c r="W258"/>
      <c r="X258"/>
      <c r="Y258"/>
      <c r="Z258"/>
    </row>
    <row r="259" spans="1:26" ht="16.05" customHeight="1">
      <c r="A259" s="4"/>
      <c r="B259" s="4"/>
      <c r="C259" s="4"/>
      <c r="L259" s="4"/>
      <c r="M259" s="258" t="s">
        <v>1607</v>
      </c>
      <c r="N259" s="51">
        <v>9</v>
      </c>
      <c r="O259" s="4"/>
      <c r="V259"/>
      <c r="W259"/>
      <c r="X259"/>
      <c r="Y259"/>
      <c r="Z259"/>
    </row>
    <row r="260" spans="1:26" ht="16.05" customHeight="1">
      <c r="L260" s="4"/>
      <c r="M260" s="258" t="s">
        <v>1608</v>
      </c>
      <c r="N260" s="51">
        <v>8.5</v>
      </c>
      <c r="O260" s="4"/>
      <c r="V260"/>
      <c r="W260"/>
      <c r="X260"/>
      <c r="Y260"/>
      <c r="Z260"/>
    </row>
    <row r="261" spans="1:26" ht="16.05" customHeight="1">
      <c r="L261" s="4"/>
      <c r="M261" s="258" t="s">
        <v>1609</v>
      </c>
      <c r="N261" s="51">
        <v>8</v>
      </c>
      <c r="O261" s="4"/>
      <c r="V261"/>
      <c r="W261"/>
      <c r="X261"/>
      <c r="Y261"/>
      <c r="Z261"/>
    </row>
    <row r="262" spans="1:26" ht="16.05" customHeight="1">
      <c r="L262" s="4"/>
      <c r="M262" s="258" t="s">
        <v>1610</v>
      </c>
      <c r="N262" s="51">
        <v>8</v>
      </c>
      <c r="O262" s="4"/>
      <c r="V262"/>
      <c r="W262"/>
      <c r="X262"/>
      <c r="Y262"/>
      <c r="Z262"/>
    </row>
    <row r="263" spans="1:26" ht="16.05" customHeight="1">
      <c r="L263" s="4"/>
      <c r="M263" s="258" t="s">
        <v>1611</v>
      </c>
      <c r="N263" s="51">
        <v>7.5</v>
      </c>
      <c r="O263" s="4"/>
      <c r="V263"/>
      <c r="W263"/>
      <c r="X263"/>
      <c r="Y263"/>
      <c r="Z263"/>
    </row>
    <row r="264" spans="1:26" ht="16.05" customHeight="1">
      <c r="L264" s="4"/>
      <c r="M264" s="258" t="s">
        <v>1612</v>
      </c>
      <c r="N264" s="51">
        <v>8</v>
      </c>
      <c r="O264" s="4"/>
      <c r="V264"/>
      <c r="W264"/>
      <c r="X264"/>
      <c r="Y264"/>
      <c r="Z264"/>
    </row>
    <row r="265" spans="1:26" ht="16.05" customHeight="1">
      <c r="L265" s="4"/>
      <c r="M265" s="258" t="s">
        <v>1613</v>
      </c>
      <c r="N265" s="51">
        <v>9</v>
      </c>
      <c r="O265" s="4"/>
      <c r="V265"/>
      <c r="W265"/>
      <c r="X265"/>
      <c r="Y265"/>
      <c r="Z265"/>
    </row>
    <row r="266" spans="1:26" ht="16.05" customHeight="1">
      <c r="L266" s="4"/>
      <c r="M266" s="258" t="s">
        <v>1614</v>
      </c>
      <c r="N266" s="51">
        <v>8</v>
      </c>
      <c r="O266" s="4"/>
      <c r="V266"/>
      <c r="W266"/>
      <c r="X266"/>
      <c r="Y266"/>
      <c r="Z266"/>
    </row>
    <row r="267" spans="1:26" ht="16.05" customHeight="1">
      <c r="L267" s="4"/>
      <c r="M267" s="258" t="s">
        <v>1615</v>
      </c>
      <c r="N267" s="51">
        <v>7.5</v>
      </c>
      <c r="O267" s="4"/>
      <c r="V267"/>
      <c r="W267"/>
      <c r="X267"/>
      <c r="Y267"/>
      <c r="Z267"/>
    </row>
    <row r="268" spans="1:26" ht="16.05" customHeight="1">
      <c r="L268" s="4"/>
      <c r="M268" s="258" t="s">
        <v>1616</v>
      </c>
      <c r="N268" s="51">
        <v>8</v>
      </c>
      <c r="O268" s="4"/>
      <c r="V268"/>
      <c r="W268"/>
      <c r="X268"/>
      <c r="Y268"/>
      <c r="Z268"/>
    </row>
    <row r="269" spans="1:26" ht="16.05" customHeight="1">
      <c r="L269" s="4"/>
      <c r="M269" s="258" t="s">
        <v>1617</v>
      </c>
      <c r="N269" s="51">
        <v>7.5</v>
      </c>
      <c r="O269" s="4"/>
      <c r="V269"/>
      <c r="W269"/>
      <c r="X269"/>
      <c r="Y269"/>
      <c r="Z269"/>
    </row>
    <row r="270" spans="1:26" ht="16.05" customHeight="1">
      <c r="L270" s="4"/>
      <c r="M270" s="258" t="s">
        <v>1618</v>
      </c>
      <c r="N270" s="51">
        <v>7.5</v>
      </c>
      <c r="O270" s="4"/>
      <c r="V270"/>
      <c r="W270"/>
      <c r="X270"/>
      <c r="Y270"/>
      <c r="Z270"/>
    </row>
    <row r="271" spans="1:26" ht="16.05" customHeight="1">
      <c r="L271" s="4"/>
      <c r="M271" s="258" t="s">
        <v>1619</v>
      </c>
      <c r="N271" s="51">
        <v>7.5</v>
      </c>
      <c r="O271" s="4"/>
      <c r="V271"/>
      <c r="W271"/>
      <c r="X271"/>
      <c r="Y271"/>
      <c r="Z271"/>
    </row>
    <row r="272" spans="1:26" ht="16.05" customHeight="1">
      <c r="L272" s="4"/>
      <c r="M272" s="258" t="s">
        <v>1620</v>
      </c>
      <c r="N272" s="51">
        <v>9</v>
      </c>
      <c r="O272" s="4"/>
      <c r="V272"/>
      <c r="W272"/>
      <c r="X272"/>
      <c r="Y272"/>
      <c r="Z272"/>
    </row>
    <row r="273" spans="12:26" ht="16.05" customHeight="1">
      <c r="L273" s="4"/>
      <c r="M273" s="258" t="s">
        <v>1621</v>
      </c>
      <c r="N273" s="51">
        <v>10</v>
      </c>
      <c r="O273" s="4"/>
      <c r="V273"/>
      <c r="W273"/>
      <c r="X273"/>
      <c r="Y273"/>
      <c r="Z273"/>
    </row>
    <row r="274" spans="12:26" ht="16.05" customHeight="1">
      <c r="L274" s="4"/>
      <c r="M274" s="258" t="s">
        <v>1622</v>
      </c>
      <c r="N274" s="51">
        <v>9</v>
      </c>
      <c r="O274" s="4"/>
      <c r="V274"/>
      <c r="W274"/>
      <c r="X274"/>
      <c r="Y274"/>
      <c r="Z274"/>
    </row>
    <row r="275" spans="12:26" ht="16.05" customHeight="1" thickBot="1">
      <c r="L275" s="4"/>
      <c r="M275" s="259" t="s">
        <v>1623</v>
      </c>
      <c r="N275" s="52">
        <v>9</v>
      </c>
      <c r="O275" s="4"/>
      <c r="V275"/>
      <c r="W275"/>
      <c r="X275"/>
      <c r="Y275"/>
      <c r="Z275"/>
    </row>
    <row r="276" spans="12:26" ht="16.05" customHeight="1">
      <c r="L276" s="4"/>
      <c r="M276" s="4"/>
      <c r="N276" s="4"/>
      <c r="O276" s="4"/>
      <c r="V276"/>
      <c r="W276"/>
      <c r="X276"/>
      <c r="Y276"/>
      <c r="Z276"/>
    </row>
    <row r="277" spans="12:26" ht="16.05" customHeight="1">
      <c r="V277"/>
      <c r="W277"/>
      <c r="X277"/>
      <c r="Y277"/>
      <c r="Z277"/>
    </row>
    <row r="278" spans="12:26" ht="16.05" customHeight="1">
      <c r="V278"/>
      <c r="W278"/>
      <c r="X278"/>
      <c r="Y278"/>
      <c r="Z278"/>
    </row>
    <row r="279" spans="12:26" ht="16.05" customHeight="1">
      <c r="V279"/>
      <c r="W279"/>
      <c r="X279"/>
      <c r="Y279"/>
      <c r="Z279"/>
    </row>
    <row r="280" spans="12:26" ht="16.05" customHeight="1">
      <c r="V280"/>
      <c r="W280"/>
      <c r="X280"/>
      <c r="Y280"/>
      <c r="Z280"/>
    </row>
    <row r="281" spans="12:26" ht="16.05" customHeight="1">
      <c r="V281"/>
      <c r="W281"/>
      <c r="X281"/>
      <c r="Y281"/>
      <c r="Z281"/>
    </row>
    <row r="282" spans="12:26" ht="16.05" customHeight="1">
      <c r="V282"/>
      <c r="W282"/>
      <c r="X282"/>
      <c r="Y282"/>
      <c r="Z282"/>
    </row>
    <row r="283" spans="12:26" ht="16.05" customHeight="1">
      <c r="V283"/>
      <c r="W283"/>
      <c r="X283"/>
      <c r="Y283"/>
      <c r="Z283"/>
    </row>
    <row r="284" spans="12:26" ht="16.05" customHeight="1">
      <c r="V284"/>
      <c r="W284"/>
      <c r="X284"/>
      <c r="Y284"/>
      <c r="Z284"/>
    </row>
    <row r="285" spans="12:26" ht="16.05" customHeight="1">
      <c r="V285"/>
      <c r="W285"/>
      <c r="X285"/>
      <c r="Y285"/>
      <c r="Z285"/>
    </row>
    <row r="286" spans="12:26" ht="16.05" customHeight="1">
      <c r="V286"/>
      <c r="W286"/>
      <c r="X286"/>
      <c r="Y286"/>
      <c r="Z286"/>
    </row>
    <row r="287" spans="12:26" ht="16.05" customHeight="1">
      <c r="V287"/>
      <c r="W287"/>
      <c r="X287"/>
      <c r="Y287"/>
      <c r="Z287"/>
    </row>
    <row r="288" spans="12:26" ht="16.05" customHeight="1">
      <c r="V288"/>
      <c r="W288"/>
      <c r="X288"/>
      <c r="Y288"/>
      <c r="Z288"/>
    </row>
    <row r="289" customFormat="1" ht="16.05" customHeight="1"/>
    <row r="290" customFormat="1" ht="16.05" customHeight="1"/>
    <row r="291" customFormat="1" ht="16.05" customHeight="1"/>
    <row r="292" customFormat="1" ht="16.05" customHeight="1"/>
    <row r="293" customFormat="1" ht="16.05" customHeight="1"/>
    <row r="294" customFormat="1" ht="16.05" customHeight="1"/>
    <row r="295" customFormat="1" ht="16.05" customHeight="1"/>
    <row r="296" customFormat="1" ht="16.05" customHeight="1"/>
    <row r="297" customFormat="1" ht="16.05" customHeight="1"/>
    <row r="298" customFormat="1" ht="16.05" customHeight="1"/>
    <row r="299" customFormat="1" ht="16.05" customHeight="1"/>
    <row r="300" customFormat="1" ht="16.05" customHeight="1"/>
    <row r="301" customFormat="1" ht="16.05" customHeight="1"/>
    <row r="302" customFormat="1" ht="16.05" customHeight="1"/>
    <row r="303" customFormat="1" ht="16.05" customHeight="1"/>
    <row r="304" customFormat="1" ht="16.05" customHeight="1"/>
    <row r="305" customFormat="1" ht="16.05" customHeight="1"/>
    <row r="306" customFormat="1" ht="16.05" customHeight="1"/>
    <row r="307" customFormat="1" ht="16.05" customHeight="1"/>
    <row r="308" customFormat="1" ht="16.05" customHeight="1"/>
    <row r="309" customFormat="1" ht="16.05" customHeight="1"/>
    <row r="310" customFormat="1" ht="16.05" customHeight="1"/>
    <row r="311" customFormat="1" ht="16.05" customHeight="1"/>
    <row r="312" customFormat="1" ht="16.05" customHeight="1"/>
    <row r="313" customFormat="1" ht="16.05" customHeight="1"/>
    <row r="314" customFormat="1" ht="16.05" customHeight="1"/>
    <row r="315" customFormat="1" ht="16.05" customHeight="1"/>
    <row r="316" customFormat="1" ht="16.05" customHeight="1"/>
    <row r="317" customFormat="1" ht="16.05" customHeight="1"/>
    <row r="318" customFormat="1" ht="16.05" customHeight="1"/>
    <row r="319" customFormat="1" ht="16.05" customHeight="1"/>
    <row r="320" customFormat="1" ht="16.05" customHeight="1"/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18:V118"/>
    <mergeCell ref="AE1:AF1"/>
    <mergeCell ref="R1:AB1"/>
    <mergeCell ref="R103:AB103"/>
  </mergeCells>
  <conditionalFormatting sqref="A2:B2 D2:E2 G2:H2 J2:K2 M2:N2 A16:B16 A26:B26 D14:E14 G17:H17 J14:K14 M14:N14 D29:E29 J25:K25 AQ28:AQ31"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4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684" priority="842" operator="between">
      <formula>10.1</formula>
      <formula>10.6</formula>
    </cfRule>
    <cfRule type="cellIs" dxfId="683" priority="880" operator="between">
      <formula>7</formula>
      <formula>7.9</formula>
    </cfRule>
    <cfRule type="cellIs" dxfId="682" priority="881" stopIfTrue="1" operator="between">
      <formula>8</formula>
      <formula>8.9</formula>
    </cfRule>
    <cfRule type="cellIs" dxfId="681" priority="882" operator="between">
      <formula>9</formula>
      <formula>9.9</formula>
    </cfRule>
    <cfRule type="cellIs" dxfId="680" priority="883" stopIfTrue="1" operator="between">
      <formula>10</formula>
      <formula>10</formula>
    </cfRule>
    <cfRule type="containsBlanks" dxfId="679" priority="884" stopIfTrue="1">
      <formula>LEN(TRIM(B3))=0</formula>
    </cfRule>
  </conditionalFormatting>
  <conditionalFormatting sqref="B17:B24">
    <cfRule type="cellIs" dxfId="678" priority="818" operator="between">
      <formula>10.1</formula>
      <formula>10.6</formula>
    </cfRule>
    <cfRule type="cellIs" dxfId="677" priority="819" operator="between">
      <formula>7</formula>
      <formula>7.9</formula>
    </cfRule>
    <cfRule type="cellIs" dxfId="676" priority="820" stopIfTrue="1" operator="between">
      <formula>8</formula>
      <formula>8.9</formula>
    </cfRule>
    <cfRule type="cellIs" dxfId="675" priority="821" operator="between">
      <formula>9</formula>
      <formula>9.9</formula>
    </cfRule>
    <cfRule type="cellIs" dxfId="674" priority="822" stopIfTrue="1" operator="between">
      <formula>10</formula>
      <formula>10</formula>
    </cfRule>
    <cfRule type="containsBlanks" dxfId="673" priority="823" stopIfTrue="1">
      <formula>LEN(TRIM(B17))=0</formula>
    </cfRule>
  </conditionalFormatting>
  <conditionalFormatting sqref="B27:B31">
    <cfRule type="cellIs" dxfId="672" priority="812" operator="between">
      <formula>10.1</formula>
      <formula>10.6</formula>
    </cfRule>
    <cfRule type="cellIs" dxfId="671" priority="813" operator="between">
      <formula>7</formula>
      <formula>7.9</formula>
    </cfRule>
    <cfRule type="cellIs" dxfId="670" priority="814" stopIfTrue="1" operator="between">
      <formula>8</formula>
      <formula>8.9</formula>
    </cfRule>
    <cfRule type="cellIs" dxfId="669" priority="815" operator="between">
      <formula>9</formula>
      <formula>9.9</formula>
    </cfRule>
    <cfRule type="cellIs" dxfId="668" priority="816" stopIfTrue="1" operator="between">
      <formula>10</formula>
      <formula>10</formula>
    </cfRule>
    <cfRule type="containsBlanks" dxfId="667" priority="817" stopIfTrue="1">
      <formula>LEN(TRIM(B27))=0</formula>
    </cfRule>
  </conditionalFormatting>
  <conditionalFormatting sqref="B33"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5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666" priority="806" operator="between">
      <formula>10.1</formula>
      <formula>10.6</formula>
    </cfRule>
    <cfRule type="cellIs" dxfId="665" priority="807" operator="between">
      <formula>7</formula>
      <formula>7.9</formula>
    </cfRule>
    <cfRule type="cellIs" dxfId="664" priority="808" stopIfTrue="1" operator="between">
      <formula>8</formula>
      <formula>8.9</formula>
    </cfRule>
    <cfRule type="cellIs" dxfId="663" priority="809" operator="between">
      <formula>9</formula>
      <formula>9.9</formula>
    </cfRule>
    <cfRule type="cellIs" dxfId="662" priority="810" stopIfTrue="1" operator="between">
      <formula>10</formula>
      <formula>10</formula>
    </cfRule>
    <cfRule type="containsBlanks" dxfId="661" priority="811" stopIfTrue="1">
      <formula>LEN(TRIM(B34))=0</formula>
    </cfRule>
  </conditionalFormatting>
  <conditionalFormatting sqref="B47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660" priority="776" operator="between">
      <formula>10.1</formula>
      <formula>10.6</formula>
    </cfRule>
    <cfRule type="cellIs" dxfId="659" priority="777" operator="between">
      <formula>7</formula>
      <formula>7.9</formula>
    </cfRule>
    <cfRule type="cellIs" dxfId="658" priority="778" stopIfTrue="1" operator="between">
      <formula>8</formula>
      <formula>8.9</formula>
    </cfRule>
    <cfRule type="cellIs" dxfId="657" priority="779" operator="between">
      <formula>9</formula>
      <formula>9.9</formula>
    </cfRule>
    <cfRule type="cellIs" dxfId="656" priority="780" stopIfTrue="1" operator="between">
      <formula>10</formula>
      <formula>10</formula>
    </cfRule>
    <cfRule type="containsBlanks" dxfId="655" priority="781" stopIfTrue="1">
      <formula>LEN(TRIM(B48))=0</formula>
    </cfRule>
  </conditionalFormatting>
  <conditionalFormatting sqref="B59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654" priority="754" operator="between">
      <formula>10.1</formula>
      <formula>10.6</formula>
    </cfRule>
    <cfRule type="cellIs" dxfId="653" priority="755" operator="between">
      <formula>7</formula>
      <formula>7.9</formula>
    </cfRule>
    <cfRule type="cellIs" dxfId="652" priority="756" stopIfTrue="1" operator="between">
      <formula>8</formula>
      <formula>8.9</formula>
    </cfRule>
    <cfRule type="cellIs" dxfId="651" priority="757" operator="between">
      <formula>9</formula>
      <formula>9.9</formula>
    </cfRule>
    <cfRule type="cellIs" dxfId="650" priority="758" stopIfTrue="1" operator="between">
      <formula>10</formula>
      <formula>10</formula>
    </cfRule>
    <cfRule type="containsBlanks" dxfId="649" priority="759" stopIfTrue="1">
      <formula>LEN(TRIM(B60))=0</formula>
    </cfRule>
  </conditionalFormatting>
  <conditionalFormatting sqref="B70">
    <cfRule type="colorScale" priority="6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8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648" priority="668" operator="between">
      <formula>10.1</formula>
      <formula>10.6</formula>
    </cfRule>
    <cfRule type="cellIs" dxfId="647" priority="669" operator="between">
      <formula>7</formula>
      <formula>7.9</formula>
    </cfRule>
    <cfRule type="cellIs" dxfId="646" priority="670" stopIfTrue="1" operator="between">
      <formula>8</formula>
      <formula>8.9</formula>
    </cfRule>
    <cfRule type="cellIs" dxfId="645" priority="671" operator="between">
      <formula>9</formula>
      <formula>9.9</formula>
    </cfRule>
    <cfRule type="cellIs" dxfId="644" priority="672" stopIfTrue="1" operator="between">
      <formula>10</formula>
      <formula>10</formula>
    </cfRule>
    <cfRule type="containsBlanks" dxfId="643" priority="673" stopIfTrue="1">
      <formula>LEN(TRIM(B71))=0</formula>
    </cfRule>
  </conditionalFormatting>
  <conditionalFormatting sqref="B73">
    <cfRule type="cellIs" dxfId="642" priority="667" operator="between">
      <formula>6</formula>
      <formula>6.9</formula>
    </cfRule>
  </conditionalFormatting>
  <conditionalFormatting sqref="B79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641" priority="644" operator="between">
      <formula>10.1</formula>
      <formula>10.6</formula>
    </cfRule>
    <cfRule type="cellIs" dxfId="640" priority="645" operator="between">
      <formula>7</formula>
      <formula>7.9</formula>
    </cfRule>
    <cfRule type="cellIs" dxfId="639" priority="646" stopIfTrue="1" operator="between">
      <formula>8</formula>
      <formula>8.9</formula>
    </cfRule>
    <cfRule type="cellIs" dxfId="638" priority="647" operator="between">
      <formula>9</formula>
      <formula>9.9</formula>
    </cfRule>
    <cfRule type="cellIs" dxfId="637" priority="648" stopIfTrue="1" operator="between">
      <formula>10</formula>
      <formula>10</formula>
    </cfRule>
    <cfRule type="containsBlanks" dxfId="636" priority="649" stopIfTrue="1">
      <formula>LEN(TRIM(B80))=0</formula>
    </cfRule>
  </conditionalFormatting>
  <conditionalFormatting sqref="B93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635" priority="597" operator="between">
      <formula>10.1</formula>
      <formula>10.6</formula>
    </cfRule>
    <cfRule type="cellIs" dxfId="634" priority="598" operator="between">
      <formula>7</formula>
      <formula>7.9</formula>
    </cfRule>
    <cfRule type="cellIs" dxfId="633" priority="599" stopIfTrue="1" operator="between">
      <formula>8</formula>
      <formula>8.9</formula>
    </cfRule>
    <cfRule type="cellIs" dxfId="632" priority="600" operator="between">
      <formula>9</formula>
      <formula>9.9</formula>
    </cfRule>
    <cfRule type="cellIs" dxfId="631" priority="601" stopIfTrue="1" operator="between">
      <formula>10</formula>
      <formula>10</formula>
    </cfRule>
    <cfRule type="containsBlanks" dxfId="630" priority="602" stopIfTrue="1">
      <formula>LEN(TRIM(B94))=0</formula>
    </cfRule>
  </conditionalFormatting>
  <conditionalFormatting sqref="B103">
    <cfRule type="colorScale" priority="5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5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629" priority="548" operator="between">
      <formula>10.1</formula>
      <formula>10.6</formula>
    </cfRule>
    <cfRule type="cellIs" dxfId="628" priority="549" operator="between">
      <formula>7</formula>
      <formula>7.9</formula>
    </cfRule>
    <cfRule type="cellIs" dxfId="627" priority="550" stopIfTrue="1" operator="between">
      <formula>8</formula>
      <formula>8.9</formula>
    </cfRule>
    <cfRule type="cellIs" dxfId="626" priority="551" operator="between">
      <formula>9</formula>
      <formula>9.9</formula>
    </cfRule>
    <cfRule type="cellIs" dxfId="625" priority="552" stopIfTrue="1" operator="between">
      <formula>10</formula>
      <formula>10</formula>
    </cfRule>
    <cfRule type="containsBlanks" dxfId="624" priority="553" stopIfTrue="1">
      <formula>LEN(TRIM(B104))=0</formula>
    </cfRule>
  </conditionalFormatting>
  <conditionalFormatting sqref="B114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623" priority="502" operator="between">
      <formula>6</formula>
      <formula>6.9</formula>
    </cfRule>
    <cfRule type="cellIs" dxfId="622" priority="503" operator="between">
      <formula>10.1</formula>
      <formula>10.6</formula>
    </cfRule>
    <cfRule type="cellIs" dxfId="621" priority="504" operator="between">
      <formula>7</formula>
      <formula>7.9</formula>
    </cfRule>
    <cfRule type="cellIs" dxfId="620" priority="505" stopIfTrue="1" operator="between">
      <formula>8</formula>
      <formula>8.9</formula>
    </cfRule>
    <cfRule type="cellIs" dxfId="619" priority="506" operator="between">
      <formula>9</formula>
      <formula>9.9</formula>
    </cfRule>
    <cfRule type="cellIs" dxfId="618" priority="507" stopIfTrue="1" operator="between">
      <formula>10</formula>
      <formula>10</formula>
    </cfRule>
    <cfRule type="containsBlanks" dxfId="617" priority="508" stopIfTrue="1">
      <formula>LEN(TRIM(B115))=0</formula>
    </cfRule>
  </conditionalFormatting>
  <conditionalFormatting sqref="B134"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3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616" priority="425" operator="between">
      <formula>6</formula>
      <formula>6.9</formula>
    </cfRule>
    <cfRule type="cellIs" dxfId="615" priority="426" operator="between">
      <formula>10.1</formula>
      <formula>10.6</formula>
    </cfRule>
    <cfRule type="cellIs" dxfId="614" priority="427" operator="between">
      <formula>7</formula>
      <formula>7.9</formula>
    </cfRule>
    <cfRule type="cellIs" dxfId="613" priority="428" stopIfTrue="1" operator="between">
      <formula>8</formula>
      <formula>8.9</formula>
    </cfRule>
    <cfRule type="cellIs" dxfId="612" priority="429" operator="between">
      <formula>9</formula>
      <formula>9.9</formula>
    </cfRule>
    <cfRule type="cellIs" dxfId="611" priority="430" stopIfTrue="1" operator="between">
      <formula>10</formula>
      <formula>10</formula>
    </cfRule>
    <cfRule type="containsBlanks" dxfId="610" priority="431" stopIfTrue="1">
      <formula>LEN(TRIM(B135))=0</formula>
    </cfRule>
  </conditionalFormatting>
  <conditionalFormatting sqref="B145"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8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609" priority="380" operator="between">
      <formula>6</formula>
      <formula>6.9</formula>
    </cfRule>
    <cfRule type="cellIs" dxfId="608" priority="381" operator="between">
      <formula>10.1</formula>
      <formula>10.6</formula>
    </cfRule>
    <cfRule type="cellIs" dxfId="607" priority="382" operator="between">
      <formula>7</formula>
      <formula>7.9</formula>
    </cfRule>
    <cfRule type="cellIs" dxfId="606" priority="383" stopIfTrue="1" operator="between">
      <formula>8</formula>
      <formula>8.9</formula>
    </cfRule>
    <cfRule type="cellIs" dxfId="605" priority="384" operator="between">
      <formula>9</formula>
      <formula>9.9</formula>
    </cfRule>
    <cfRule type="cellIs" dxfId="604" priority="385" stopIfTrue="1" operator="between">
      <formula>10</formula>
      <formula>10</formula>
    </cfRule>
    <cfRule type="containsBlanks" dxfId="603" priority="386" stopIfTrue="1">
      <formula>LEN(TRIM(B146))=0</formula>
    </cfRule>
  </conditionalFormatting>
  <conditionalFormatting sqref="B162"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8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602" priority="319" operator="between">
      <formula>6</formula>
      <formula>6.9</formula>
    </cfRule>
    <cfRule type="cellIs" dxfId="601" priority="320" operator="between">
      <formula>10.1</formula>
      <formula>10.6</formula>
    </cfRule>
    <cfRule type="cellIs" dxfId="600" priority="321" operator="between">
      <formula>7</formula>
      <formula>7.9</formula>
    </cfRule>
    <cfRule type="cellIs" dxfId="599" priority="322" stopIfTrue="1" operator="between">
      <formula>8</formula>
      <formula>8.9</formula>
    </cfRule>
    <cfRule type="cellIs" dxfId="598" priority="323" operator="between">
      <formula>9</formula>
      <formula>9.9</formula>
    </cfRule>
    <cfRule type="cellIs" dxfId="597" priority="324" stopIfTrue="1" operator="between">
      <formula>10</formula>
      <formula>10</formula>
    </cfRule>
    <cfRule type="containsBlanks" dxfId="596" priority="325" stopIfTrue="1">
      <formula>LEN(TRIM(B163))=0</formula>
    </cfRule>
  </conditionalFormatting>
  <conditionalFormatting sqref="B172"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595" priority="281" operator="between">
      <formula>6</formula>
      <formula>6.9</formula>
    </cfRule>
    <cfRule type="cellIs" dxfId="594" priority="282" operator="between">
      <formula>10.1</formula>
      <formula>10.6</formula>
    </cfRule>
    <cfRule type="cellIs" dxfId="593" priority="283" operator="between">
      <formula>7</formula>
      <formula>7.9</formula>
    </cfRule>
    <cfRule type="cellIs" dxfId="592" priority="284" stopIfTrue="1" operator="between">
      <formula>8</formula>
      <formula>8.9</formula>
    </cfRule>
    <cfRule type="cellIs" dxfId="591" priority="285" operator="between">
      <formula>9</formula>
      <formula>9.9</formula>
    </cfRule>
    <cfRule type="cellIs" dxfId="590" priority="286" stopIfTrue="1" operator="between">
      <formula>10</formula>
      <formula>10</formula>
    </cfRule>
    <cfRule type="containsBlanks" dxfId="589" priority="287" stopIfTrue="1">
      <formula>LEN(TRIM(B173))=0</formula>
    </cfRule>
  </conditionalFormatting>
  <conditionalFormatting sqref="B185"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588" priority="243" operator="between">
      <formula>6</formula>
      <formula>6.9</formula>
    </cfRule>
    <cfRule type="cellIs" dxfId="587" priority="244" operator="between">
      <formula>10.1</formula>
      <formula>10.6</formula>
    </cfRule>
    <cfRule type="cellIs" dxfId="586" priority="245" operator="between">
      <formula>7</formula>
      <formula>7.9</formula>
    </cfRule>
    <cfRule type="cellIs" dxfId="585" priority="246" stopIfTrue="1" operator="between">
      <formula>8</formula>
      <formula>8.9</formula>
    </cfRule>
    <cfRule type="cellIs" dxfId="584" priority="247" operator="between">
      <formula>9</formula>
      <formula>9.9</formula>
    </cfRule>
    <cfRule type="cellIs" dxfId="583" priority="248" stopIfTrue="1" operator="between">
      <formula>10</formula>
      <formula>10</formula>
    </cfRule>
    <cfRule type="containsBlanks" dxfId="582" priority="249" stopIfTrue="1">
      <formula>LEN(TRIM(B186))=0</formula>
    </cfRule>
  </conditionalFormatting>
  <conditionalFormatting sqref="B196">
    <cfRule type="colorScale" priority="1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581" priority="194" operator="between">
      <formula>6</formula>
      <formula>6.9</formula>
    </cfRule>
    <cfRule type="cellIs" dxfId="580" priority="195" operator="between">
      <formula>10.1</formula>
      <formula>10.6</formula>
    </cfRule>
    <cfRule type="cellIs" dxfId="579" priority="196" operator="between">
      <formula>7</formula>
      <formula>7.9</formula>
    </cfRule>
    <cfRule type="cellIs" dxfId="578" priority="197" stopIfTrue="1" operator="between">
      <formula>8</formula>
      <formula>8.9</formula>
    </cfRule>
    <cfRule type="cellIs" dxfId="577" priority="198" operator="between">
      <formula>9</formula>
      <formula>9.9</formula>
    </cfRule>
    <cfRule type="cellIs" dxfId="576" priority="199" stopIfTrue="1" operator="between">
      <formula>10</formula>
      <formula>10</formula>
    </cfRule>
    <cfRule type="containsBlanks" dxfId="575" priority="200" stopIfTrue="1">
      <formula>LEN(TRIM(B197))=0</formula>
    </cfRule>
  </conditionalFormatting>
  <conditionalFormatting sqref="B213">
    <cfRule type="colorScale" priority="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574" priority="118" operator="between">
      <formula>6</formula>
      <formula>6.9</formula>
    </cfRule>
    <cfRule type="cellIs" dxfId="573" priority="119" operator="between">
      <formula>10.1</formula>
      <formula>10.6</formula>
    </cfRule>
    <cfRule type="cellIs" dxfId="572" priority="120" operator="between">
      <formula>7</formula>
      <formula>7.9</formula>
    </cfRule>
    <cfRule type="cellIs" dxfId="571" priority="121" stopIfTrue="1" operator="between">
      <formula>8</formula>
      <formula>8.9</formula>
    </cfRule>
    <cfRule type="cellIs" dxfId="570" priority="122" operator="between">
      <formula>9</formula>
      <formula>9.9</formula>
    </cfRule>
    <cfRule type="cellIs" dxfId="569" priority="123" stopIfTrue="1" operator="between">
      <formula>10</formula>
      <formula>10</formula>
    </cfRule>
    <cfRule type="containsBlanks" dxfId="568" priority="124" stopIfTrue="1">
      <formula>LEN(TRIM(B214))=0</formula>
    </cfRule>
  </conditionalFormatting>
  <conditionalFormatting sqref="B226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567" priority="55" operator="between">
      <formula>6</formula>
      <formula>6.9</formula>
    </cfRule>
    <cfRule type="cellIs" dxfId="566" priority="56" operator="between">
      <formula>10.1</formula>
      <formula>10.6</formula>
    </cfRule>
    <cfRule type="cellIs" dxfId="565" priority="57" operator="between">
      <formula>7</formula>
      <formula>7.9</formula>
    </cfRule>
    <cfRule type="cellIs" dxfId="564" priority="58" stopIfTrue="1" operator="between">
      <formula>8</formula>
      <formula>8.9</formula>
    </cfRule>
    <cfRule type="cellIs" dxfId="563" priority="59" operator="between">
      <formula>9</formula>
      <formula>9.9</formula>
    </cfRule>
    <cfRule type="cellIs" dxfId="562" priority="60" stopIfTrue="1" operator="between">
      <formula>10</formula>
      <formula>10</formula>
    </cfRule>
    <cfRule type="containsBlanks" dxfId="561" priority="61" stopIfTrue="1">
      <formula>LEN(TRIM(B236))=0</formula>
    </cfRule>
  </conditionalFormatting>
  <conditionalFormatting sqref="B246">
    <cfRule type="colorScale" priority="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560" priority="10" operator="between">
      <formula>6</formula>
      <formula>6.9</formula>
    </cfRule>
    <cfRule type="cellIs" dxfId="559" priority="11" operator="between">
      <formula>10.1</formula>
      <formula>10.6</formula>
    </cfRule>
    <cfRule type="cellIs" dxfId="558" priority="12" operator="between">
      <formula>7</formula>
      <formula>7.9</formula>
    </cfRule>
    <cfRule type="cellIs" dxfId="557" priority="13" stopIfTrue="1" operator="between">
      <formula>8</formula>
      <formula>8.9</formula>
    </cfRule>
    <cfRule type="cellIs" dxfId="556" priority="14" operator="between">
      <formula>9</formula>
      <formula>9.9</formula>
    </cfRule>
    <cfRule type="cellIs" dxfId="555" priority="15" stopIfTrue="1" operator="between">
      <formula>10</formula>
      <formula>10</formula>
    </cfRule>
    <cfRule type="containsBlanks" dxfId="554" priority="16" stopIfTrue="1">
      <formula>LEN(TRIM(B247))=0</formula>
    </cfRule>
  </conditionalFormatting>
  <conditionalFormatting sqref="E3:E12">
    <cfRule type="cellIs" dxfId="553" priority="836" operator="between">
      <formula>10.1</formula>
      <formula>10.6</formula>
    </cfRule>
    <cfRule type="cellIs" dxfId="552" priority="837" operator="between">
      <formula>7</formula>
      <formula>7.9</formula>
    </cfRule>
    <cfRule type="cellIs" dxfId="551" priority="838" stopIfTrue="1" operator="between">
      <formula>8</formula>
      <formula>8.9</formula>
    </cfRule>
    <cfRule type="cellIs" dxfId="550" priority="839" operator="between">
      <formula>9</formula>
      <formula>9.9</formula>
    </cfRule>
    <cfRule type="cellIs" dxfId="549" priority="840" stopIfTrue="1" operator="between">
      <formula>10</formula>
      <formula>10</formula>
    </cfRule>
    <cfRule type="containsBlanks" dxfId="548" priority="841" stopIfTrue="1">
      <formula>LEN(TRIM(E3))=0</formula>
    </cfRule>
  </conditionalFormatting>
  <conditionalFormatting sqref="E15:E27">
    <cfRule type="cellIs" dxfId="547" priority="146" operator="between">
      <formula>7</formula>
      <formula>7.9</formula>
    </cfRule>
    <cfRule type="cellIs" dxfId="546" priority="147" stopIfTrue="1" operator="between">
      <formula>8</formula>
      <formula>8.9</formula>
    </cfRule>
    <cfRule type="cellIs" dxfId="545" priority="148" operator="between">
      <formula>9</formula>
      <formula>9.9</formula>
    </cfRule>
    <cfRule type="cellIs" dxfId="544" priority="149" stopIfTrue="1" operator="between">
      <formula>10</formula>
      <formula>10</formula>
    </cfRule>
    <cfRule type="containsBlanks" dxfId="543" priority="150" stopIfTrue="1">
      <formula>LEN(TRIM(E15))=0</formula>
    </cfRule>
  </conditionalFormatting>
  <conditionalFormatting sqref="E16">
    <cfRule type="cellIs" dxfId="542" priority="145" operator="between">
      <formula>10.1</formula>
      <formula>10.6</formula>
    </cfRule>
  </conditionalFormatting>
  <conditionalFormatting sqref="E30:E36">
    <cfRule type="cellIs" dxfId="541" priority="800" operator="between">
      <formula>10.1</formula>
      <formula>10.6</formula>
    </cfRule>
    <cfRule type="cellIs" dxfId="540" priority="801" operator="between">
      <formula>7</formula>
      <formula>7.9</formula>
    </cfRule>
    <cfRule type="cellIs" dxfId="539" priority="802" stopIfTrue="1" operator="between">
      <formula>8</formula>
      <formula>8.9</formula>
    </cfRule>
    <cfRule type="cellIs" dxfId="538" priority="803" operator="between">
      <formula>9</formula>
      <formula>9.9</formula>
    </cfRule>
    <cfRule type="cellIs" dxfId="537" priority="804" stopIfTrue="1" operator="between">
      <formula>10</formula>
      <formula>10</formula>
    </cfRule>
    <cfRule type="containsBlanks" dxfId="536" priority="805" stopIfTrue="1">
      <formula>LEN(TRIM(E30))=0</formula>
    </cfRule>
  </conditionalFormatting>
  <conditionalFormatting sqref="E38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35" priority="912" operator="between">
      <formula>7</formula>
      <formula>7.9</formula>
    </cfRule>
    <cfRule type="cellIs" dxfId="534" priority="913" stopIfTrue="1" operator="between">
      <formula>8</formula>
      <formula>8.9</formula>
    </cfRule>
    <cfRule type="cellIs" dxfId="533" priority="914" operator="between">
      <formula>9</formula>
      <formula>9.9</formula>
    </cfRule>
    <cfRule type="cellIs" dxfId="532" priority="915" stopIfTrue="1" operator="between">
      <formula>10</formula>
      <formula>10</formula>
    </cfRule>
  </conditionalFormatting>
  <conditionalFormatting sqref="E53">
    <cfRule type="colorScale" priority="8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4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31" priority="782" operator="between">
      <formula>10.1</formula>
      <formula>10.6</formula>
    </cfRule>
    <cfRule type="cellIs" dxfId="530" priority="783" operator="between">
      <formula>7</formula>
      <formula>7.9</formula>
    </cfRule>
    <cfRule type="cellIs" dxfId="529" priority="784" stopIfTrue="1" operator="between">
      <formula>8</formula>
      <formula>8.9</formula>
    </cfRule>
    <cfRule type="cellIs" dxfId="528" priority="785" operator="between">
      <formula>9</formula>
      <formula>9.9</formula>
    </cfRule>
    <cfRule type="cellIs" dxfId="527" priority="786" stopIfTrue="1" operator="between">
      <formula>10</formula>
      <formula>10</formula>
    </cfRule>
    <cfRule type="containsBlanks" dxfId="526" priority="787" stopIfTrue="1">
      <formula>LEN(TRIM(E54))=0</formula>
    </cfRule>
  </conditionalFormatting>
  <conditionalFormatting sqref="E64"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4">
      <colorScale>
        <cfvo type="num" val="5"/>
        <cfvo type="num" val="10"/>
        <color rgb="FFFF494D"/>
        <color rgb="FF00FF66"/>
      </colorScale>
    </cfRule>
  </conditionalFormatting>
  <conditionalFormatting sqref="E65:E77">
    <cfRule type="cellIs" dxfId="525" priority="715" operator="between">
      <formula>10.1</formula>
      <formula>10.6</formula>
    </cfRule>
    <cfRule type="cellIs" dxfId="524" priority="716" operator="between">
      <formula>7</formula>
      <formula>7.9</formula>
    </cfRule>
    <cfRule type="cellIs" dxfId="523" priority="717" stopIfTrue="1" operator="between">
      <formula>8</formula>
      <formula>8.9</formula>
    </cfRule>
    <cfRule type="cellIs" dxfId="522" priority="718" operator="between">
      <formula>9</formula>
      <formula>9.9</formula>
    </cfRule>
    <cfRule type="cellIs" dxfId="521" priority="719" stopIfTrue="1" operator="between">
      <formula>10</formula>
      <formula>10</formula>
    </cfRule>
    <cfRule type="containsBlanks" dxfId="520" priority="720" stopIfTrue="1">
      <formula>LEN(TRIM(E65))=0</formula>
    </cfRule>
  </conditionalFormatting>
  <conditionalFormatting sqref="E79">
    <cfRule type="colorScale" priority="6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3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519" priority="636" operator="between">
      <formula>10.1</formula>
      <formula>10.6</formula>
    </cfRule>
    <cfRule type="cellIs" dxfId="518" priority="637" operator="between">
      <formula>7</formula>
      <formula>7.9</formula>
    </cfRule>
    <cfRule type="cellIs" dxfId="517" priority="638" stopIfTrue="1" operator="between">
      <formula>8</formula>
      <formula>8.9</formula>
    </cfRule>
    <cfRule type="cellIs" dxfId="516" priority="639" operator="between">
      <formula>9</formula>
      <formula>9.9</formula>
    </cfRule>
    <cfRule type="cellIs" dxfId="515" priority="640" stopIfTrue="1" operator="between">
      <formula>10</formula>
      <formula>10</formula>
    </cfRule>
    <cfRule type="containsBlanks" dxfId="514" priority="641" stopIfTrue="1">
      <formula>LEN(TRIM(E80))=0</formula>
    </cfRule>
  </conditionalFormatting>
  <conditionalFormatting sqref="E100">
    <cfRule type="colorScale" priority="5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7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513" priority="558" operator="between">
      <formula>10.1</formula>
      <formula>10.6</formula>
    </cfRule>
    <cfRule type="cellIs" dxfId="512" priority="559" operator="between">
      <formula>7</formula>
      <formula>7.9</formula>
    </cfRule>
    <cfRule type="cellIs" dxfId="511" priority="560" stopIfTrue="1" operator="between">
      <formula>8</formula>
      <formula>8.9</formula>
    </cfRule>
    <cfRule type="cellIs" dxfId="510" priority="561" operator="between">
      <formula>9</formula>
      <formula>9.9</formula>
    </cfRule>
    <cfRule type="cellIs" dxfId="509" priority="562" stopIfTrue="1" operator="between">
      <formula>10</formula>
      <formula>10</formula>
    </cfRule>
    <cfRule type="containsBlanks" dxfId="508" priority="563" stopIfTrue="1">
      <formula>LEN(TRIM(E101))=0</formula>
    </cfRule>
  </conditionalFormatting>
  <conditionalFormatting sqref="E116"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9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507" priority="491" operator="between">
      <formula>6</formula>
      <formula>6.9</formula>
    </cfRule>
    <cfRule type="cellIs" dxfId="506" priority="492" operator="between">
      <formula>10.1</formula>
      <formula>10.6</formula>
    </cfRule>
    <cfRule type="cellIs" dxfId="505" priority="493" operator="between">
      <formula>7</formula>
      <formula>7.9</formula>
    </cfRule>
    <cfRule type="cellIs" dxfId="504" priority="494" stopIfTrue="1" operator="between">
      <formula>8</formula>
      <formula>8.9</formula>
    </cfRule>
    <cfRule type="cellIs" dxfId="503" priority="495" operator="between">
      <formula>9</formula>
      <formula>9.9</formula>
    </cfRule>
    <cfRule type="cellIs" dxfId="502" priority="496" stopIfTrue="1" operator="between">
      <formula>10</formula>
      <formula>10</formula>
    </cfRule>
    <cfRule type="containsBlanks" dxfId="501" priority="497" stopIfTrue="1">
      <formula>LEN(TRIM(E117))=0</formula>
    </cfRule>
  </conditionalFormatting>
  <conditionalFormatting sqref="E127"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6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500" priority="458" operator="between">
      <formula>6</formula>
      <formula>6.9</formula>
    </cfRule>
    <cfRule type="cellIs" dxfId="499" priority="459" operator="between">
      <formula>10.1</formula>
      <formula>10.6</formula>
    </cfRule>
    <cfRule type="cellIs" dxfId="498" priority="460" operator="between">
      <formula>7</formula>
      <formula>7.9</formula>
    </cfRule>
    <cfRule type="cellIs" dxfId="497" priority="461" stopIfTrue="1" operator="between">
      <formula>8</formula>
      <formula>8.9</formula>
    </cfRule>
    <cfRule type="cellIs" dxfId="496" priority="462" operator="between">
      <formula>9</formula>
      <formula>9.9</formula>
    </cfRule>
    <cfRule type="cellIs" dxfId="495" priority="463" stopIfTrue="1" operator="between">
      <formula>10</formula>
      <formula>10</formula>
    </cfRule>
    <cfRule type="containsBlanks" dxfId="494" priority="464" stopIfTrue="1">
      <formula>LEN(TRIM(E128))=0</formula>
    </cfRule>
  </conditionalFormatting>
  <conditionalFormatting sqref="E145">
    <cfRule type="colorScale" priority="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9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493" priority="371" operator="between">
      <formula>6</formula>
      <formula>6.9</formula>
    </cfRule>
    <cfRule type="cellIs" dxfId="492" priority="372" operator="between">
      <formula>10.1</formula>
      <formula>10.6</formula>
    </cfRule>
    <cfRule type="cellIs" dxfId="491" priority="373" operator="between">
      <formula>7</formula>
      <formula>7.9</formula>
    </cfRule>
    <cfRule type="cellIs" dxfId="490" priority="374" stopIfTrue="1" operator="between">
      <formula>8</formula>
      <formula>8.9</formula>
    </cfRule>
    <cfRule type="cellIs" dxfId="489" priority="375" operator="between">
      <formula>9</formula>
      <formula>9.9</formula>
    </cfRule>
    <cfRule type="cellIs" dxfId="488" priority="376" stopIfTrue="1" operator="between">
      <formula>10</formula>
      <formula>10</formula>
    </cfRule>
    <cfRule type="containsBlanks" dxfId="487" priority="377" stopIfTrue="1">
      <formula>LEN(TRIM(E146))=0</formula>
    </cfRule>
  </conditionalFormatting>
  <conditionalFormatting sqref="E160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486" priority="335" operator="between">
      <formula>6</formula>
      <formula>6.9</formula>
    </cfRule>
    <cfRule type="cellIs" dxfId="485" priority="336" operator="between">
      <formula>10.1</formula>
      <formula>10.6</formula>
    </cfRule>
    <cfRule type="cellIs" dxfId="484" priority="337" operator="between">
      <formula>7</formula>
      <formula>7.9</formula>
    </cfRule>
    <cfRule type="cellIs" dxfId="483" priority="338" stopIfTrue="1" operator="between">
      <formula>8</formula>
      <formula>8.9</formula>
    </cfRule>
    <cfRule type="cellIs" dxfId="482" priority="339" operator="between">
      <formula>9</formula>
      <formula>9.9</formula>
    </cfRule>
    <cfRule type="cellIs" dxfId="481" priority="340" stopIfTrue="1" operator="between">
      <formula>10</formula>
      <formula>10</formula>
    </cfRule>
    <cfRule type="containsBlanks" dxfId="480" priority="341" stopIfTrue="1">
      <formula>LEN(TRIM(E161))=0</formula>
    </cfRule>
  </conditionalFormatting>
  <conditionalFormatting sqref="E171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479" priority="290" operator="between">
      <formula>6</formula>
      <formula>6.9</formula>
    </cfRule>
    <cfRule type="cellIs" dxfId="478" priority="291" operator="between">
      <formula>10.1</formula>
      <formula>10.6</formula>
    </cfRule>
    <cfRule type="cellIs" dxfId="477" priority="292" operator="between">
      <formula>7</formula>
      <formula>7.9</formula>
    </cfRule>
    <cfRule type="cellIs" dxfId="476" priority="293" stopIfTrue="1" operator="between">
      <formula>8</formula>
      <formula>8.9</formula>
    </cfRule>
    <cfRule type="cellIs" dxfId="475" priority="294" operator="between">
      <formula>9</formula>
      <formula>9.9</formula>
    </cfRule>
    <cfRule type="cellIs" dxfId="474" priority="295" stopIfTrue="1" operator="between">
      <formula>10</formula>
      <formula>10</formula>
    </cfRule>
    <cfRule type="containsBlanks" dxfId="473" priority="296" stopIfTrue="1">
      <formula>LEN(TRIM(E172))=0</formula>
    </cfRule>
  </conditionalFormatting>
  <conditionalFormatting sqref="E185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472" priority="228" operator="between">
      <formula>6</formula>
      <formula>6.9</formula>
    </cfRule>
    <cfRule type="cellIs" dxfId="471" priority="229" operator="between">
      <formula>10.1</formula>
      <formula>10.6</formula>
    </cfRule>
    <cfRule type="cellIs" dxfId="470" priority="230" operator="between">
      <formula>7</formula>
      <formula>7.9</formula>
    </cfRule>
    <cfRule type="cellIs" dxfId="469" priority="231" stopIfTrue="1" operator="between">
      <formula>8</formula>
      <formula>8.9</formula>
    </cfRule>
    <cfRule type="cellIs" dxfId="468" priority="232" operator="between">
      <formula>9</formula>
      <formula>9.9</formula>
    </cfRule>
    <cfRule type="cellIs" dxfId="467" priority="233" stopIfTrue="1" operator="between">
      <formula>10</formula>
      <formula>10</formula>
    </cfRule>
    <cfRule type="containsBlanks" dxfId="466" priority="234" stopIfTrue="1">
      <formula>LEN(TRIM(E186))=0</formula>
    </cfRule>
  </conditionalFormatting>
  <conditionalFormatting sqref="E200">
    <cfRule type="colorScale" priority="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465" priority="174" operator="between">
      <formula>6</formula>
      <formula>6.9</formula>
    </cfRule>
    <cfRule type="cellIs" dxfId="464" priority="175" operator="between">
      <formula>10.1</formula>
      <formula>11</formula>
    </cfRule>
    <cfRule type="cellIs" dxfId="463" priority="176" operator="between">
      <formula>7</formula>
      <formula>7.9</formula>
    </cfRule>
    <cfRule type="cellIs" dxfId="462" priority="177" stopIfTrue="1" operator="between">
      <formula>8</formula>
      <formula>8.9</formula>
    </cfRule>
    <cfRule type="cellIs" dxfId="461" priority="178" operator="between">
      <formula>9</formula>
      <formula>9.9</formula>
    </cfRule>
    <cfRule type="cellIs" dxfId="460" priority="179" stopIfTrue="1" operator="between">
      <formula>10</formula>
      <formula>10</formula>
    </cfRule>
    <cfRule type="containsBlanks" dxfId="459" priority="180" stopIfTrue="1">
      <formula>LEN(TRIM(E201))=0</formula>
    </cfRule>
  </conditionalFormatting>
  <conditionalFormatting sqref="E212"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458" priority="129" operator="between">
      <formula>6</formula>
      <formula>6.9</formula>
    </cfRule>
    <cfRule type="cellIs" dxfId="457" priority="130" operator="between">
      <formula>10.1</formula>
      <formula>10.6</formula>
    </cfRule>
    <cfRule type="cellIs" dxfId="456" priority="131" operator="between">
      <formula>7</formula>
      <formula>7.9</formula>
    </cfRule>
    <cfRule type="cellIs" dxfId="455" priority="132" stopIfTrue="1" operator="between">
      <formula>8</formula>
      <formula>8.9</formula>
    </cfRule>
    <cfRule type="cellIs" dxfId="454" priority="133" operator="between">
      <formula>9</formula>
      <formula>9.9</formula>
    </cfRule>
    <cfRule type="cellIs" dxfId="453" priority="134" stopIfTrue="1" operator="between">
      <formula>10</formula>
      <formula>10</formula>
    </cfRule>
    <cfRule type="containsBlanks" dxfId="452" priority="135" stopIfTrue="1">
      <formula>LEN(TRIM(E213))=0</formula>
    </cfRule>
  </conditionalFormatting>
  <conditionalFormatting sqref="E228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51" priority="89" operator="between">
      <formula>6</formula>
      <formula>6.9</formula>
    </cfRule>
    <cfRule type="cellIs" dxfId="450" priority="90" operator="between">
      <formula>10.1</formula>
      <formula>10.6</formula>
    </cfRule>
    <cfRule type="cellIs" dxfId="449" priority="91" operator="between">
      <formula>7</formula>
      <formula>7.9</formula>
    </cfRule>
    <cfRule type="cellIs" dxfId="448" priority="92" stopIfTrue="1" operator="between">
      <formula>8</formula>
      <formula>8.9</formula>
    </cfRule>
    <cfRule type="cellIs" dxfId="447" priority="93" operator="between">
      <formula>9</formula>
      <formula>9.9</formula>
    </cfRule>
    <cfRule type="cellIs" dxfId="446" priority="94" stopIfTrue="1" operator="between">
      <formula>10</formula>
      <formula>10</formula>
    </cfRule>
    <cfRule type="containsBlanks" dxfId="445" priority="95" stopIfTrue="1">
      <formula>LEN(TRIM(E229))=0</formula>
    </cfRule>
  </conditionalFormatting>
  <conditionalFormatting sqref="E236">
    <cfRule type="colorScale" priority="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">
      <colorScale>
        <cfvo type="num" val="5"/>
        <cfvo type="num" val="10"/>
        <color rgb="FFFF494D"/>
        <color rgb="FF00FF66"/>
      </colorScale>
    </cfRule>
  </conditionalFormatting>
  <conditionalFormatting sqref="E237:E251">
    <cfRule type="cellIs" dxfId="444" priority="48" operator="between">
      <formula>6</formula>
      <formula>6.9</formula>
    </cfRule>
    <cfRule type="cellIs" dxfId="443" priority="49" operator="between">
      <formula>10.1</formula>
      <formula>10.6</formula>
    </cfRule>
    <cfRule type="cellIs" dxfId="442" priority="50" operator="between">
      <formula>7</formula>
      <formula>7.9</formula>
    </cfRule>
    <cfRule type="cellIs" dxfId="441" priority="51" stopIfTrue="1" operator="between">
      <formula>8</formula>
      <formula>8.9</formula>
    </cfRule>
    <cfRule type="cellIs" dxfId="440" priority="52" operator="between">
      <formula>9</formula>
      <formula>9.9</formula>
    </cfRule>
    <cfRule type="cellIs" dxfId="439" priority="53" stopIfTrue="1" operator="between">
      <formula>10</formula>
      <formula>10</formula>
    </cfRule>
    <cfRule type="containsBlanks" dxfId="438" priority="54" stopIfTrue="1">
      <formula>LEN(TRIM(E237))=0</formula>
    </cfRule>
  </conditionalFormatting>
  <conditionalFormatting sqref="H3:H15">
    <cfRule type="cellIs" dxfId="437" priority="928" operator="between">
      <formula>7</formula>
      <formula>7.9</formula>
    </cfRule>
    <cfRule type="cellIs" dxfId="436" priority="929" stopIfTrue="1" operator="between">
      <formula>8</formula>
      <formula>8.9</formula>
    </cfRule>
    <cfRule type="cellIs" dxfId="435" priority="930" operator="between">
      <formula>9</formula>
      <formula>9.9</formula>
    </cfRule>
    <cfRule type="cellIs" dxfId="434" priority="931" stopIfTrue="1" operator="between">
      <formula>10</formula>
      <formula>10</formula>
    </cfRule>
  </conditionalFormatting>
  <conditionalFormatting sqref="H18:H28">
    <cfRule type="cellIs" dxfId="433" priority="932" operator="between">
      <formula>7</formula>
      <formula>7.9</formula>
    </cfRule>
    <cfRule type="cellIs" dxfId="432" priority="933" stopIfTrue="1" operator="between">
      <formula>8</formula>
      <formula>8.9</formula>
    </cfRule>
    <cfRule type="cellIs" dxfId="431" priority="934" operator="between">
      <formula>9</formula>
      <formula>9.9</formula>
    </cfRule>
    <cfRule type="cellIs" dxfId="430" priority="935" stopIfTrue="1" operator="between">
      <formula>10</formula>
      <formula>10</formula>
    </cfRule>
  </conditionalFormatting>
  <conditionalFormatting sqref="H30"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7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429" priority="794" operator="between">
      <formula>10.1</formula>
      <formula>10.6</formula>
    </cfRule>
    <cfRule type="cellIs" dxfId="428" priority="795" operator="between">
      <formula>7</formula>
      <formula>7.9</formula>
    </cfRule>
    <cfRule type="cellIs" dxfId="427" priority="796" stopIfTrue="1" operator="between">
      <formula>8</formula>
      <formula>8.9</formula>
    </cfRule>
    <cfRule type="cellIs" dxfId="426" priority="797" operator="between">
      <formula>9</formula>
      <formula>9.9</formula>
    </cfRule>
    <cfRule type="cellIs" dxfId="425" priority="798" stopIfTrue="1" operator="between">
      <formula>10</formula>
      <formula>10</formula>
    </cfRule>
    <cfRule type="containsBlanks" dxfId="424" priority="799" stopIfTrue="1">
      <formula>LEN(TRIM(H31))=0</formula>
    </cfRule>
  </conditionalFormatting>
  <conditionalFormatting sqref="H47">
    <cfRule type="colorScale" priority="11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23" priority="788" operator="between">
      <formula>10.1</formula>
      <formula>10.6</formula>
    </cfRule>
    <cfRule type="cellIs" dxfId="422" priority="789" operator="between">
      <formula>7</formula>
      <formula>7.9</formula>
    </cfRule>
    <cfRule type="cellIs" dxfId="421" priority="790" stopIfTrue="1" operator="between">
      <formula>8</formula>
      <formula>8.9</formula>
    </cfRule>
    <cfRule type="cellIs" dxfId="420" priority="791" operator="between">
      <formula>9</formula>
      <formula>9.9</formula>
    </cfRule>
    <cfRule type="cellIs" dxfId="419" priority="792" stopIfTrue="1" operator="between">
      <formula>10</formula>
      <formula>10</formula>
    </cfRule>
    <cfRule type="containsBlanks" dxfId="418" priority="793" stopIfTrue="1">
      <formula>LEN(TRIM(H48))=0</formula>
    </cfRule>
  </conditionalFormatting>
  <conditionalFormatting sqref="H57">
    <cfRule type="colorScale" priority="7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1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417" priority="660" operator="between">
      <formula>6</formula>
      <formula>6.9</formula>
    </cfRule>
    <cfRule type="cellIs" dxfId="416" priority="661" operator="between">
      <formula>10.1</formula>
      <formula>10.6</formula>
    </cfRule>
    <cfRule type="cellIs" dxfId="415" priority="662" operator="between">
      <formula>7</formula>
      <formula>7.9</formula>
    </cfRule>
    <cfRule type="cellIs" dxfId="414" priority="663" stopIfTrue="1" operator="between">
      <formula>8</formula>
      <formula>8.9</formula>
    </cfRule>
    <cfRule type="cellIs" dxfId="413" priority="664" operator="between">
      <formula>9</formula>
      <formula>9.9</formula>
    </cfRule>
    <cfRule type="cellIs" dxfId="412" priority="665" stopIfTrue="1" operator="between">
      <formula>10</formula>
      <formula>10</formula>
    </cfRule>
    <cfRule type="containsBlanks" dxfId="411" priority="666" stopIfTrue="1">
      <formula>LEN(TRIM(H58))=0</formula>
    </cfRule>
  </conditionalFormatting>
  <conditionalFormatting sqref="H69">
    <cfRule type="colorScale" priority="6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410" priority="689" operator="between">
      <formula>10.1</formula>
      <formula>10.6</formula>
    </cfRule>
    <cfRule type="cellIs" dxfId="409" priority="690" operator="between">
      <formula>7</formula>
      <formula>7.9</formula>
    </cfRule>
    <cfRule type="cellIs" dxfId="408" priority="691" stopIfTrue="1" operator="between">
      <formula>8</formula>
      <formula>8.9</formula>
    </cfRule>
    <cfRule type="cellIs" dxfId="407" priority="692" operator="between">
      <formula>9</formula>
      <formula>9.9</formula>
    </cfRule>
    <cfRule type="cellIs" dxfId="406" priority="693" stopIfTrue="1" operator="between">
      <formula>10</formula>
      <formula>10</formula>
    </cfRule>
    <cfRule type="containsBlanks" dxfId="405" priority="694" stopIfTrue="1">
      <formula>LEN(TRIM(H70))=0</formula>
    </cfRule>
  </conditionalFormatting>
  <conditionalFormatting sqref="H83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04" priority="613" operator="between">
      <formula>6</formula>
      <formula>6.9</formula>
    </cfRule>
    <cfRule type="cellIs" dxfId="403" priority="614" operator="between">
      <formula>10.1</formula>
      <formula>10.6</formula>
    </cfRule>
    <cfRule type="cellIs" dxfId="402" priority="615" operator="between">
      <formula>7</formula>
      <formula>7.9</formula>
    </cfRule>
    <cfRule type="cellIs" dxfId="401" priority="616" stopIfTrue="1" operator="between">
      <formula>8</formula>
      <formula>8.9</formula>
    </cfRule>
    <cfRule type="cellIs" dxfId="400" priority="617" operator="between">
      <formula>9</formula>
      <formula>9.9</formula>
    </cfRule>
    <cfRule type="cellIs" dxfId="399" priority="618" stopIfTrue="1" operator="between">
      <formula>10</formula>
      <formula>10</formula>
    </cfRule>
    <cfRule type="containsBlanks" dxfId="398" priority="619" stopIfTrue="1">
      <formula>LEN(TRIM(H84))=0</formula>
    </cfRule>
  </conditionalFormatting>
  <conditionalFormatting sqref="H97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397" priority="564" operator="between">
      <formula>6</formula>
      <formula>6.9</formula>
    </cfRule>
    <cfRule type="cellIs" dxfId="396" priority="565" operator="between">
      <formula>10.1</formula>
      <formula>10.6</formula>
    </cfRule>
    <cfRule type="cellIs" dxfId="395" priority="566" operator="between">
      <formula>7</formula>
      <formula>7.9</formula>
    </cfRule>
    <cfRule type="cellIs" dxfId="394" priority="567" stopIfTrue="1" operator="between">
      <formula>8</formula>
      <formula>8.9</formula>
    </cfRule>
    <cfRule type="cellIs" dxfId="393" priority="568" operator="between">
      <formula>9</formula>
      <formula>9.9</formula>
    </cfRule>
    <cfRule type="cellIs" dxfId="392" priority="569" stopIfTrue="1" operator="between">
      <formula>10</formula>
      <formula>10</formula>
    </cfRule>
    <cfRule type="containsBlanks" dxfId="391" priority="570" stopIfTrue="1">
      <formula>LEN(TRIM(H98))=0</formula>
    </cfRule>
  </conditionalFormatting>
  <conditionalFormatting sqref="H110">
    <cfRule type="colorScale" priority="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7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390" priority="540" operator="between">
      <formula>10.1</formula>
      <formula>10.6</formula>
    </cfRule>
    <cfRule type="cellIs" dxfId="389" priority="541" operator="between">
      <formula>7</formula>
      <formula>7.9</formula>
    </cfRule>
    <cfRule type="cellIs" dxfId="388" priority="542" stopIfTrue="1" operator="between">
      <formula>8</formula>
      <formula>8.9</formula>
    </cfRule>
    <cfRule type="cellIs" dxfId="387" priority="543" operator="between">
      <formula>9</formula>
      <formula>9.9</formula>
    </cfRule>
    <cfRule type="cellIs" dxfId="386" priority="544" stopIfTrue="1" operator="between">
      <formula>10</formula>
      <formula>10</formula>
    </cfRule>
    <cfRule type="containsBlanks" dxfId="385" priority="545" stopIfTrue="1">
      <formula>LEN(TRIM(H111))=0</formula>
    </cfRule>
  </conditionalFormatting>
  <conditionalFormatting sqref="H125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84" priority="467" operator="between">
      <formula>6</formula>
      <formula>6.9</formula>
    </cfRule>
    <cfRule type="cellIs" dxfId="383" priority="468" operator="between">
      <formula>10.1</formula>
      <formula>10.6</formula>
    </cfRule>
    <cfRule type="cellIs" dxfId="382" priority="469" operator="between">
      <formula>7</formula>
      <formula>7.9</formula>
    </cfRule>
    <cfRule type="cellIs" dxfId="381" priority="470" stopIfTrue="1" operator="between">
      <formula>8</formula>
      <formula>8.9</formula>
    </cfRule>
    <cfRule type="cellIs" dxfId="380" priority="471" operator="between">
      <formula>9</formula>
      <formula>9.9</formula>
    </cfRule>
    <cfRule type="cellIs" dxfId="379" priority="472" stopIfTrue="1" operator="between">
      <formula>10</formula>
      <formula>10</formula>
    </cfRule>
    <cfRule type="containsBlanks" dxfId="378" priority="473" stopIfTrue="1">
      <formula>LEN(TRIM(H126))=0</formula>
    </cfRule>
  </conditionalFormatting>
  <conditionalFormatting sqref="H131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77" priority="434" operator="between">
      <formula>6</formula>
      <formula>6.9</formula>
    </cfRule>
    <cfRule type="cellIs" dxfId="376" priority="435" operator="between">
      <formula>10.1</formula>
      <formula>10.6</formula>
    </cfRule>
    <cfRule type="cellIs" dxfId="375" priority="436" operator="between">
      <formula>7</formula>
      <formula>7.9</formula>
    </cfRule>
    <cfRule type="cellIs" dxfId="374" priority="437" stopIfTrue="1" operator="between">
      <formula>8</formula>
      <formula>8.9</formula>
    </cfRule>
    <cfRule type="cellIs" dxfId="373" priority="438" operator="between">
      <formula>9</formula>
      <formula>9.9</formula>
    </cfRule>
    <cfRule type="cellIs" dxfId="372" priority="439" stopIfTrue="1" operator="between">
      <formula>10</formula>
      <formula>10</formula>
    </cfRule>
    <cfRule type="containsBlanks" dxfId="371" priority="440" stopIfTrue="1">
      <formula>LEN(TRIM(H132))=0</formula>
    </cfRule>
  </conditionalFormatting>
  <conditionalFormatting sqref="H149">
    <cfRule type="colorScale" priority="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0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70" priority="362" operator="between">
      <formula>6</formula>
      <formula>6.9</formula>
    </cfRule>
    <cfRule type="cellIs" dxfId="369" priority="363" operator="between">
      <formula>10.1</formula>
      <formula>10.6</formula>
    </cfRule>
    <cfRule type="cellIs" dxfId="368" priority="364" operator="between">
      <formula>7</formula>
      <formula>7.9</formula>
    </cfRule>
    <cfRule type="cellIs" dxfId="367" priority="365" stopIfTrue="1" operator="between">
      <formula>8</formula>
      <formula>8.9</formula>
    </cfRule>
    <cfRule type="cellIs" dxfId="366" priority="366" operator="between">
      <formula>9</formula>
      <formula>9.9</formula>
    </cfRule>
    <cfRule type="cellIs" dxfId="365" priority="367" stopIfTrue="1" operator="between">
      <formula>10</formula>
      <formula>10</formula>
    </cfRule>
    <cfRule type="containsBlanks" dxfId="364" priority="368" stopIfTrue="1">
      <formula>LEN(TRIM(H150))=0</formula>
    </cfRule>
  </conditionalFormatting>
  <conditionalFormatting sqref="H165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63" priority="310" operator="between">
      <formula>6</formula>
      <formula>6.9</formula>
    </cfRule>
    <cfRule type="cellIs" dxfId="362" priority="311" operator="between">
      <formula>10.1</formula>
      <formula>10.6</formula>
    </cfRule>
    <cfRule type="cellIs" dxfId="361" priority="312" operator="between">
      <formula>7</formula>
      <formula>7.9</formula>
    </cfRule>
    <cfRule type="cellIs" dxfId="360" priority="313" stopIfTrue="1" operator="between">
      <formula>8</formula>
      <formula>8.9</formula>
    </cfRule>
    <cfRule type="cellIs" dxfId="359" priority="314" operator="between">
      <formula>9</formula>
      <formula>9.9</formula>
    </cfRule>
    <cfRule type="cellIs" dxfId="358" priority="315" stopIfTrue="1" operator="between">
      <formula>10</formula>
      <formula>10</formula>
    </cfRule>
    <cfRule type="containsBlanks" dxfId="357" priority="316" stopIfTrue="1">
      <formula>LEN(TRIM(H166))=0</formula>
    </cfRule>
  </conditionalFormatting>
  <conditionalFormatting sqref="H177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56" priority="261" operator="between">
      <formula>6</formula>
      <formula>6.9</formula>
    </cfRule>
    <cfRule type="cellIs" dxfId="355" priority="262" operator="between">
      <formula>10.1</formula>
      <formula>10.6</formula>
    </cfRule>
    <cfRule type="cellIs" dxfId="354" priority="263" operator="between">
      <formula>7</formula>
      <formula>7.9</formula>
    </cfRule>
    <cfRule type="cellIs" dxfId="353" priority="264" stopIfTrue="1" operator="between">
      <formula>8</formula>
      <formula>8.9</formula>
    </cfRule>
    <cfRule type="cellIs" dxfId="352" priority="265" operator="between">
      <formula>9</formula>
      <formula>9.9</formula>
    </cfRule>
    <cfRule type="cellIs" dxfId="351" priority="266" stopIfTrue="1" operator="between">
      <formula>10</formula>
      <formula>10</formula>
    </cfRule>
    <cfRule type="containsBlanks" dxfId="350" priority="267" stopIfTrue="1">
      <formula>LEN(TRIM(H178))=0</formula>
    </cfRule>
  </conditionalFormatting>
  <conditionalFormatting sqref="H191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349" priority="201" operator="between">
      <formula>6</formula>
      <formula>6.9</formula>
    </cfRule>
    <cfRule type="cellIs" dxfId="348" priority="202" operator="between">
      <formula>10.1</formula>
      <formula>10.6</formula>
    </cfRule>
    <cfRule type="cellIs" dxfId="347" priority="203" operator="between">
      <formula>7</formula>
      <formula>7.9</formula>
    </cfRule>
    <cfRule type="cellIs" dxfId="346" priority="204" stopIfTrue="1" operator="between">
      <formula>8</formula>
      <formula>8.9</formula>
    </cfRule>
    <cfRule type="cellIs" dxfId="345" priority="205" operator="between">
      <formula>9</formula>
      <formula>9.9</formula>
    </cfRule>
    <cfRule type="cellIs" dxfId="344" priority="206" stopIfTrue="1" operator="between">
      <formula>10</formula>
      <formula>10</formula>
    </cfRule>
    <cfRule type="containsBlanks" dxfId="343" priority="207" stopIfTrue="1">
      <formula>LEN(TRIM(H192))=0</formula>
    </cfRule>
  </conditionalFormatting>
  <conditionalFormatting sqref="H202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42" priority="162" operator="between">
      <formula>6</formula>
      <formula>6.9</formula>
    </cfRule>
    <cfRule type="cellIs" dxfId="341" priority="163" operator="between">
      <formula>10.1</formula>
      <formula>11</formula>
    </cfRule>
    <cfRule type="cellIs" dxfId="340" priority="164" operator="between">
      <formula>7</formula>
      <formula>7.9</formula>
    </cfRule>
    <cfRule type="cellIs" dxfId="339" priority="165" stopIfTrue="1" operator="between">
      <formula>8</formula>
      <formula>8.9</formula>
    </cfRule>
    <cfRule type="cellIs" dxfId="338" priority="166" operator="between">
      <formula>9</formula>
      <formula>9.9</formula>
    </cfRule>
    <cfRule type="cellIs" dxfId="337" priority="167" stopIfTrue="1" operator="between">
      <formula>10</formula>
      <formula>10</formula>
    </cfRule>
    <cfRule type="containsBlanks" dxfId="336" priority="168" stopIfTrue="1">
      <formula>LEN(TRIM(H203))=0</formula>
    </cfRule>
  </conditionalFormatting>
  <conditionalFormatting sqref="H215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35" priority="111" operator="between">
      <formula>6</formula>
      <formula>6.9</formula>
    </cfRule>
    <cfRule type="cellIs" dxfId="334" priority="112" operator="between">
      <formula>10.1</formula>
      <formula>10.6</formula>
    </cfRule>
    <cfRule type="cellIs" dxfId="333" priority="113" operator="between">
      <formula>7</formula>
      <formula>7.9</formula>
    </cfRule>
    <cfRule type="cellIs" dxfId="332" priority="114" stopIfTrue="1" operator="between">
      <formula>8</formula>
      <formula>8.9</formula>
    </cfRule>
    <cfRule type="cellIs" dxfId="331" priority="115" operator="between">
      <formula>9</formula>
      <formula>9.9</formula>
    </cfRule>
    <cfRule type="cellIs" dxfId="330" priority="116" stopIfTrue="1" operator="between">
      <formula>10</formula>
      <formula>10</formula>
    </cfRule>
    <cfRule type="containsBlanks" dxfId="329" priority="117" stopIfTrue="1">
      <formula>LEN(TRIM(H216))=0</formula>
    </cfRule>
  </conditionalFormatting>
  <conditionalFormatting sqref="H22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328" priority="71" operator="between">
      <formula>6</formula>
      <formula>6.9</formula>
    </cfRule>
    <cfRule type="cellIs" dxfId="327" priority="72" operator="between">
      <formula>10.1</formula>
      <formula>10.6</formula>
    </cfRule>
    <cfRule type="cellIs" dxfId="326" priority="73" operator="between">
      <formula>7</formula>
      <formula>7.9</formula>
    </cfRule>
    <cfRule type="cellIs" dxfId="325" priority="74" stopIfTrue="1" operator="between">
      <formula>8</formula>
      <formula>8.9</formula>
    </cfRule>
    <cfRule type="cellIs" dxfId="324" priority="75" operator="between">
      <formula>9</formula>
      <formula>9.9</formula>
    </cfRule>
    <cfRule type="cellIs" dxfId="323" priority="76" stopIfTrue="1" operator="between">
      <formula>10</formula>
      <formula>10</formula>
    </cfRule>
    <cfRule type="containsBlanks" dxfId="322" priority="77" stopIfTrue="1">
      <formula>LEN(TRIM(H230))=0</formula>
    </cfRule>
  </conditionalFormatting>
  <conditionalFormatting sqref="H246"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21" priority="21" operator="between">
      <formula>6</formula>
      <formula>6.9</formula>
    </cfRule>
    <cfRule type="cellIs" dxfId="320" priority="22" operator="between">
      <formula>10.1</formula>
      <formula>10.6</formula>
    </cfRule>
    <cfRule type="cellIs" dxfId="319" priority="23" operator="between">
      <formula>7</formula>
      <formula>7.9</formula>
    </cfRule>
    <cfRule type="cellIs" dxfId="318" priority="24" stopIfTrue="1" operator="between">
      <formula>8</formula>
      <formula>8.9</formula>
    </cfRule>
    <cfRule type="cellIs" dxfId="317" priority="25" operator="between">
      <formula>9</formula>
      <formula>9.9</formula>
    </cfRule>
    <cfRule type="cellIs" dxfId="316" priority="26" stopIfTrue="1" operator="between">
      <formula>10</formula>
      <formula>10</formula>
    </cfRule>
    <cfRule type="containsBlanks" dxfId="315" priority="27" stopIfTrue="1">
      <formula>LEN(TRIM(H247))=0</formula>
    </cfRule>
  </conditionalFormatting>
  <conditionalFormatting sqref="K3:K12">
    <cfRule type="cellIs" dxfId="314" priority="830" operator="between">
      <formula>10.1</formula>
      <formula>10.6</formula>
    </cfRule>
    <cfRule type="cellIs" dxfId="313" priority="831" operator="between">
      <formula>7</formula>
      <formula>7.9</formula>
    </cfRule>
    <cfRule type="cellIs" dxfId="312" priority="832" stopIfTrue="1" operator="between">
      <formula>8</formula>
      <formula>8.9</formula>
    </cfRule>
    <cfRule type="cellIs" dxfId="311" priority="833" operator="between">
      <formula>9</formula>
      <formula>9.9</formula>
    </cfRule>
    <cfRule type="cellIs" dxfId="310" priority="834" stopIfTrue="1" operator="between">
      <formula>10</formula>
      <formula>10</formula>
    </cfRule>
    <cfRule type="containsBlanks" dxfId="309" priority="835" stopIfTrue="1">
      <formula>LEN(TRIM(K3))=0</formula>
    </cfRule>
  </conditionalFormatting>
  <conditionalFormatting sqref="K15:K23">
    <cfRule type="cellIs" dxfId="308" priority="238" operator="between">
      <formula>7</formula>
      <formula>7.9</formula>
    </cfRule>
    <cfRule type="cellIs" dxfId="307" priority="239" stopIfTrue="1" operator="between">
      <formula>8</formula>
      <formula>8.9</formula>
    </cfRule>
    <cfRule type="cellIs" dxfId="306" priority="240" operator="between">
      <formula>9</formula>
      <formula>9.9</formula>
    </cfRule>
    <cfRule type="cellIs" dxfId="305" priority="241" stopIfTrue="1" operator="between">
      <formula>10</formula>
      <formula>10</formula>
    </cfRule>
  </conditionalFormatting>
  <conditionalFormatting sqref="K23">
    <cfRule type="cellIs" dxfId="304" priority="237" operator="between">
      <formula>10.1</formula>
      <formula>10.6</formula>
    </cfRule>
    <cfRule type="containsBlanks" dxfId="303" priority="242" stopIfTrue="1">
      <formula>LEN(TRIM(K23))=0</formula>
    </cfRule>
  </conditionalFormatting>
  <conditionalFormatting sqref="K26:K38">
    <cfRule type="cellIs" dxfId="302" priority="865" operator="between">
      <formula>7</formula>
      <formula>7.9</formula>
    </cfRule>
    <cfRule type="cellIs" dxfId="301" priority="866" stopIfTrue="1" operator="between">
      <formula>8</formula>
      <formula>8.9</formula>
    </cfRule>
    <cfRule type="cellIs" dxfId="300" priority="867" operator="between">
      <formula>9</formula>
      <formula>9.9</formula>
    </cfRule>
    <cfRule type="cellIs" dxfId="299" priority="868" stopIfTrue="1" operator="between">
      <formula>10</formula>
      <formula>10</formula>
    </cfRule>
    <cfRule type="containsBlanks" dxfId="298" priority="869" stopIfTrue="1">
      <formula>LEN(TRIM(K26))=0</formula>
    </cfRule>
  </conditionalFormatting>
  <conditionalFormatting sqref="K40">
    <cfRule type="colorScale" priority="1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8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97" priority="770" operator="between">
      <formula>10.1</formula>
      <formula>10.6</formula>
    </cfRule>
    <cfRule type="cellIs" dxfId="296" priority="771" operator="between">
      <formula>7</formula>
      <formula>7.9</formula>
    </cfRule>
    <cfRule type="cellIs" dxfId="295" priority="772" stopIfTrue="1" operator="between">
      <formula>8</formula>
      <formula>8.9</formula>
    </cfRule>
    <cfRule type="cellIs" dxfId="294" priority="773" operator="between">
      <formula>9</formula>
      <formula>9.9</formula>
    </cfRule>
    <cfRule type="cellIs" dxfId="293" priority="774" stopIfTrue="1" operator="between">
      <formula>10</formula>
      <formula>10</formula>
    </cfRule>
    <cfRule type="containsBlanks" dxfId="292" priority="775" stopIfTrue="1">
      <formula>LEN(TRIM(K41))=0</formula>
    </cfRule>
  </conditionalFormatting>
  <conditionalFormatting sqref="K54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91" priority="732" operator="between">
      <formula>10.1</formula>
      <formula>10.6</formula>
    </cfRule>
    <cfRule type="cellIs" dxfId="290" priority="733" operator="between">
      <formula>7</formula>
      <formula>7.9</formula>
    </cfRule>
    <cfRule type="cellIs" dxfId="289" priority="734" stopIfTrue="1" operator="between">
      <formula>8</formula>
      <formula>8.9</formula>
    </cfRule>
    <cfRule type="cellIs" dxfId="288" priority="735" operator="between">
      <formula>9</formula>
      <formula>9.9</formula>
    </cfRule>
    <cfRule type="cellIs" dxfId="287" priority="736" stopIfTrue="1" operator="between">
      <formula>10</formula>
      <formula>10</formula>
    </cfRule>
    <cfRule type="containsBlanks" dxfId="286" priority="737" stopIfTrue="1">
      <formula>LEN(TRIM(K55))=0</formula>
    </cfRule>
  </conditionalFormatting>
  <conditionalFormatting sqref="K66">
    <cfRule type="colorScale" priority="7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2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285" priority="705" operator="between">
      <formula>10.1</formula>
      <formula>10.6</formula>
    </cfRule>
    <cfRule type="cellIs" dxfId="284" priority="706" operator="between">
      <formula>7</formula>
      <formula>7.9</formula>
    </cfRule>
    <cfRule type="cellIs" dxfId="283" priority="707" stopIfTrue="1" operator="between">
      <formula>8</formula>
      <formula>8.9</formula>
    </cfRule>
    <cfRule type="cellIs" dxfId="282" priority="708" operator="between">
      <formula>9</formula>
      <formula>9.9</formula>
    </cfRule>
    <cfRule type="cellIs" dxfId="281" priority="709" stopIfTrue="1" operator="between">
      <formula>10</formula>
      <formula>10</formula>
    </cfRule>
    <cfRule type="containsBlanks" dxfId="280" priority="710" stopIfTrue="1">
      <formula>LEN(TRIM(K67))=0</formula>
    </cfRule>
  </conditionalFormatting>
  <conditionalFormatting sqref="K77">
    <cfRule type="colorScale" priority="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9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279" priority="652" operator="between">
      <formula>10.1</formula>
      <formula>10.6</formula>
    </cfRule>
    <cfRule type="cellIs" dxfId="278" priority="653" operator="between">
      <formula>7</formula>
      <formula>7.9</formula>
    </cfRule>
    <cfRule type="cellIs" dxfId="277" priority="654" stopIfTrue="1" operator="between">
      <formula>8</formula>
      <formula>8.9</formula>
    </cfRule>
    <cfRule type="cellIs" dxfId="276" priority="655" operator="between">
      <formula>9</formula>
      <formula>9.9</formula>
    </cfRule>
    <cfRule type="cellIs" dxfId="275" priority="656" stopIfTrue="1" operator="between">
      <formula>10</formula>
      <formula>10</formula>
    </cfRule>
    <cfRule type="containsBlanks" dxfId="274" priority="657" stopIfTrue="1">
      <formula>LEN(TRIM(K78))=0</formula>
    </cfRule>
  </conditionalFormatting>
  <conditionalFormatting sqref="K90">
    <cfRule type="colorScale" priority="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6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73" priority="607" operator="between">
      <formula>10.1</formula>
      <formula>10.6</formula>
    </cfRule>
    <cfRule type="cellIs" dxfId="272" priority="608" operator="between">
      <formula>7</formula>
      <formula>7.9</formula>
    </cfRule>
    <cfRule type="cellIs" dxfId="271" priority="609" stopIfTrue="1" operator="between">
      <formula>8</formula>
      <formula>8.9</formula>
    </cfRule>
    <cfRule type="cellIs" dxfId="270" priority="610" operator="between">
      <formula>9</formula>
      <formula>9.9</formula>
    </cfRule>
    <cfRule type="cellIs" dxfId="269" priority="611" stopIfTrue="1" operator="between">
      <formula>10</formula>
      <formula>10</formula>
    </cfRule>
    <cfRule type="containsBlanks" dxfId="268" priority="612" stopIfTrue="1">
      <formula>LEN(TRIM(K91))=0</formula>
    </cfRule>
  </conditionalFormatting>
  <conditionalFormatting sqref="K98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67" priority="573" operator="between">
      <formula>6</formula>
      <formula>6.9</formula>
    </cfRule>
    <cfRule type="cellIs" dxfId="266" priority="574" operator="between">
      <formula>10.1</formula>
      <formula>10.6</formula>
    </cfRule>
    <cfRule type="cellIs" dxfId="265" priority="575" operator="between">
      <formula>7</formula>
      <formula>7.9</formula>
    </cfRule>
    <cfRule type="cellIs" dxfId="264" priority="576" stopIfTrue="1" operator="between">
      <formula>8</formula>
      <formula>8.9</formula>
    </cfRule>
    <cfRule type="cellIs" dxfId="263" priority="577" operator="between">
      <formula>9</formula>
      <formula>9.9</formula>
    </cfRule>
    <cfRule type="cellIs" dxfId="262" priority="578" stopIfTrue="1" operator="between">
      <formula>10</formula>
      <formula>10</formula>
    </cfRule>
    <cfRule type="containsBlanks" dxfId="261" priority="579" stopIfTrue="1">
      <formula>LEN(TRIM(K99))=0</formula>
    </cfRule>
  </conditionalFormatting>
  <conditionalFormatting sqref="K111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60" priority="526" operator="between">
      <formula>10.1</formula>
      <formula>10.6</formula>
    </cfRule>
    <cfRule type="cellIs" dxfId="259" priority="527" operator="between">
      <formula>7</formula>
      <formula>7.9</formula>
    </cfRule>
    <cfRule type="cellIs" dxfId="258" priority="528" stopIfTrue="1" operator="between">
      <formula>8</formula>
      <formula>8.9</formula>
    </cfRule>
    <cfRule type="cellIs" dxfId="257" priority="529" operator="between">
      <formula>9</formula>
      <formula>9.9</formula>
    </cfRule>
    <cfRule type="cellIs" dxfId="256" priority="530" stopIfTrue="1" operator="between">
      <formula>10</formula>
      <formula>10</formula>
    </cfRule>
    <cfRule type="containsBlanks" dxfId="255" priority="531" stopIfTrue="1">
      <formula>LEN(TRIM(K112))=0</formula>
    </cfRule>
  </conditionalFormatting>
  <conditionalFormatting sqref="K114">
    <cfRule type="cellIs" dxfId="254" priority="525" operator="between">
      <formula>6</formula>
      <formula>6.9</formula>
    </cfRule>
  </conditionalFormatting>
  <conditionalFormatting sqref="K124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53" priority="483" operator="between">
      <formula>10.1</formula>
      <formula>10.6</formula>
    </cfRule>
    <cfRule type="cellIs" dxfId="252" priority="484" operator="between">
      <formula>7</formula>
      <formula>7.9</formula>
    </cfRule>
    <cfRule type="cellIs" dxfId="251" priority="485" stopIfTrue="1" operator="between">
      <formula>8</formula>
      <formula>8.9</formula>
    </cfRule>
    <cfRule type="cellIs" dxfId="250" priority="486" operator="between">
      <formula>9</formula>
      <formula>9.9</formula>
    </cfRule>
    <cfRule type="cellIs" dxfId="249" priority="487" stopIfTrue="1" operator="between">
      <formula>10</formula>
      <formula>10</formula>
    </cfRule>
    <cfRule type="containsBlanks" dxfId="248" priority="488" stopIfTrue="1">
      <formula>LEN(TRIM(K125))=0</formula>
    </cfRule>
  </conditionalFormatting>
  <conditionalFormatting sqref="K125:K134">
    <cfRule type="cellIs" dxfId="247" priority="476" operator="between">
      <formula>6</formula>
      <formula>6.9</formula>
    </cfRule>
    <cfRule type="cellIs" dxfId="246" priority="477" operator="between">
      <formula>10.1</formula>
      <formula>10.6</formula>
    </cfRule>
    <cfRule type="cellIs" dxfId="245" priority="478" operator="between">
      <formula>7</formula>
      <formula>7.9</formula>
    </cfRule>
    <cfRule type="cellIs" dxfId="244" priority="479" stopIfTrue="1" operator="between">
      <formula>8</formula>
      <formula>8.9</formula>
    </cfRule>
    <cfRule type="cellIs" dxfId="243" priority="480" operator="between">
      <formula>9</formula>
      <formula>9.9</formula>
    </cfRule>
    <cfRule type="cellIs" dxfId="242" priority="481" stopIfTrue="1" operator="between">
      <formula>10</formula>
      <formula>10</formula>
    </cfRule>
    <cfRule type="containsBlanks" dxfId="241" priority="482" stopIfTrue="1">
      <formula>LEN(TRIM(K125))=0</formula>
    </cfRule>
  </conditionalFormatting>
  <conditionalFormatting sqref="K136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40" priority="418" operator="between">
      <formula>6</formula>
      <formula>6.9</formula>
    </cfRule>
    <cfRule type="cellIs" dxfId="239" priority="419" operator="between">
      <formula>10.1</formula>
      <formula>10.6</formula>
    </cfRule>
    <cfRule type="cellIs" dxfId="238" priority="420" operator="between">
      <formula>7</formula>
      <formula>7.9</formula>
    </cfRule>
    <cfRule type="cellIs" dxfId="237" priority="421" stopIfTrue="1" operator="between">
      <formula>8</formula>
      <formula>8.9</formula>
    </cfRule>
    <cfRule type="cellIs" dxfId="236" priority="422" operator="between">
      <formula>9</formula>
      <formula>9.9</formula>
    </cfRule>
    <cfRule type="cellIs" dxfId="235" priority="423" stopIfTrue="1" operator="between">
      <formula>10</formula>
      <formula>10</formula>
    </cfRule>
    <cfRule type="containsBlanks" dxfId="234" priority="424" stopIfTrue="1">
      <formula>LEN(TRIM(K137))=0</formula>
    </cfRule>
  </conditionalFormatting>
  <conditionalFormatting sqref="K149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33" priority="355" operator="between">
      <formula>6</formula>
      <formula>6.9</formula>
    </cfRule>
    <cfRule type="cellIs" dxfId="232" priority="356" operator="between">
      <formula>10.1</formula>
      <formula>10.6</formula>
    </cfRule>
    <cfRule type="cellIs" dxfId="231" priority="357" operator="between">
      <formula>7</formula>
      <formula>7.9</formula>
    </cfRule>
    <cfRule type="cellIs" dxfId="230" priority="358" stopIfTrue="1" operator="between">
      <formula>8</formula>
      <formula>8.9</formula>
    </cfRule>
    <cfRule type="cellIs" dxfId="229" priority="359" operator="between">
      <formula>9</formula>
      <formula>9.9</formula>
    </cfRule>
    <cfRule type="cellIs" dxfId="228" priority="360" stopIfTrue="1" operator="between">
      <formula>10</formula>
      <formula>10</formula>
    </cfRule>
    <cfRule type="containsBlanks" dxfId="227" priority="361" stopIfTrue="1">
      <formula>LEN(TRIM(K150))=0</formula>
    </cfRule>
  </conditionalFormatting>
  <conditionalFormatting sqref="K165"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7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26" priority="299" operator="between">
      <formula>6</formula>
      <formula>6.9</formula>
    </cfRule>
    <cfRule type="cellIs" dxfId="225" priority="300" operator="between">
      <formula>10.1</formula>
      <formula>10.6</formula>
    </cfRule>
    <cfRule type="cellIs" dxfId="224" priority="301" operator="between">
      <formula>7</formula>
      <formula>7.9</formula>
    </cfRule>
    <cfRule type="cellIs" dxfId="223" priority="302" stopIfTrue="1" operator="between">
      <formula>8</formula>
      <formula>8.9</formula>
    </cfRule>
    <cfRule type="cellIs" dxfId="222" priority="303" operator="between">
      <formula>9</formula>
      <formula>9.9</formula>
    </cfRule>
    <cfRule type="cellIs" dxfId="221" priority="304" stopIfTrue="1" operator="between">
      <formula>10</formula>
      <formula>10</formula>
    </cfRule>
    <cfRule type="containsBlanks" dxfId="220" priority="305" stopIfTrue="1">
      <formula>LEN(TRIM(K166))=0</formula>
    </cfRule>
  </conditionalFormatting>
  <conditionalFormatting sqref="K175"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19" priority="272" operator="between">
      <formula>6</formula>
      <formula>6.9</formula>
    </cfRule>
    <cfRule type="cellIs" dxfId="218" priority="273" operator="between">
      <formula>10.1</formula>
      <formula>10.6</formula>
    </cfRule>
    <cfRule type="cellIs" dxfId="217" priority="274" operator="between">
      <formula>7</formula>
      <formula>7.9</formula>
    </cfRule>
    <cfRule type="cellIs" dxfId="216" priority="275" stopIfTrue="1" operator="between">
      <formula>8</formula>
      <formula>8.9</formula>
    </cfRule>
    <cfRule type="cellIs" dxfId="215" priority="276" operator="between">
      <formula>9</formula>
      <formula>9.9</formula>
    </cfRule>
    <cfRule type="cellIs" dxfId="214" priority="277" stopIfTrue="1" operator="between">
      <formula>10</formula>
      <formula>10</formula>
    </cfRule>
    <cfRule type="containsBlanks" dxfId="213" priority="278" stopIfTrue="1">
      <formula>LEN(TRIM(K176))=0</formula>
    </cfRule>
  </conditionalFormatting>
  <conditionalFormatting sqref="K182">
    <cfRule type="colorScale" priority="2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12" priority="252" operator="between">
      <formula>6</formula>
      <formula>6.9</formula>
    </cfRule>
    <cfRule type="cellIs" dxfId="211" priority="253" operator="between">
      <formula>10.1</formula>
      <formula>10.6</formula>
    </cfRule>
    <cfRule type="cellIs" dxfId="210" priority="254" operator="between">
      <formula>7</formula>
      <formula>7.9</formula>
    </cfRule>
    <cfRule type="cellIs" dxfId="209" priority="255" stopIfTrue="1" operator="between">
      <formula>8</formula>
      <formula>8.9</formula>
    </cfRule>
    <cfRule type="cellIs" dxfId="208" priority="256" operator="between">
      <formula>9</formula>
      <formula>9.9</formula>
    </cfRule>
    <cfRule type="cellIs" dxfId="207" priority="257" stopIfTrue="1" operator="between">
      <formula>10</formula>
      <formula>10</formula>
    </cfRule>
    <cfRule type="containsBlanks" dxfId="206" priority="258" stopIfTrue="1">
      <formula>LEN(TRIM(K183))=0</formula>
    </cfRule>
  </conditionalFormatting>
  <conditionalFormatting sqref="K189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05" priority="212" operator="between">
      <formula>6</formula>
      <formula>6.9</formula>
    </cfRule>
    <cfRule type="cellIs" dxfId="204" priority="213" operator="between">
      <formula>10.1</formula>
      <formula>10.6</formula>
    </cfRule>
    <cfRule type="cellIs" dxfId="203" priority="214" operator="between">
      <formula>7</formula>
      <formula>7.9</formula>
    </cfRule>
    <cfRule type="cellIs" dxfId="202" priority="215" stopIfTrue="1" operator="between">
      <formula>8</formula>
      <formula>8.9</formula>
    </cfRule>
    <cfRule type="cellIs" dxfId="201" priority="216" operator="between">
      <formula>9</formula>
      <formula>9.9</formula>
    </cfRule>
    <cfRule type="cellIs" dxfId="200" priority="217" stopIfTrue="1" operator="between">
      <formula>10</formula>
      <formula>10</formula>
    </cfRule>
    <cfRule type="containsBlanks" dxfId="199" priority="218" stopIfTrue="1">
      <formula>LEN(TRIM(K190))=0</formula>
    </cfRule>
  </conditionalFormatting>
  <conditionalFormatting sqref="K199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198" priority="183" operator="between">
      <formula>6</formula>
      <formula>6.9</formula>
    </cfRule>
    <cfRule type="cellIs" dxfId="197" priority="184" operator="between">
      <formula>10.1</formula>
      <formula>10.6</formula>
    </cfRule>
    <cfRule type="cellIs" dxfId="196" priority="185" operator="between">
      <formula>7</formula>
      <formula>7.9</formula>
    </cfRule>
    <cfRule type="cellIs" dxfId="195" priority="186" stopIfTrue="1" operator="between">
      <formula>8</formula>
      <formula>8.9</formula>
    </cfRule>
    <cfRule type="cellIs" dxfId="194" priority="187" operator="between">
      <formula>9</formula>
      <formula>9.9</formula>
    </cfRule>
    <cfRule type="cellIs" dxfId="193" priority="188" stopIfTrue="1" operator="between">
      <formula>10</formula>
      <formula>10</formula>
    </cfRule>
    <cfRule type="containsBlanks" dxfId="192" priority="189" stopIfTrue="1">
      <formula>LEN(TRIM(K200))=0</formula>
    </cfRule>
  </conditionalFormatting>
  <conditionalFormatting sqref="K208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91" priority="153" operator="between">
      <formula>6</formula>
      <formula>6.9</formula>
    </cfRule>
    <cfRule type="cellIs" dxfId="190" priority="154" operator="between">
      <formula>10.1</formula>
      <formula>11</formula>
    </cfRule>
    <cfRule type="cellIs" dxfId="189" priority="155" operator="between">
      <formula>7</formula>
      <formula>7.9</formula>
    </cfRule>
    <cfRule type="cellIs" dxfId="188" priority="156" stopIfTrue="1" operator="between">
      <formula>8</formula>
      <formula>8.9</formula>
    </cfRule>
    <cfRule type="cellIs" dxfId="187" priority="157" operator="between">
      <formula>9</formula>
      <formula>9.9</formula>
    </cfRule>
    <cfRule type="cellIs" dxfId="186" priority="158" stopIfTrue="1" operator="between">
      <formula>10</formula>
      <formula>10</formula>
    </cfRule>
    <cfRule type="containsBlanks" dxfId="185" priority="159" stopIfTrue="1">
      <formula>LEN(TRIM(K209))=0</formula>
    </cfRule>
  </conditionalFormatting>
  <conditionalFormatting sqref="K219"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184" priority="100" operator="between">
      <formula>6</formula>
      <formula>6.9</formula>
    </cfRule>
    <cfRule type="cellIs" dxfId="183" priority="101" operator="between">
      <formula>10.1</formula>
      <formula>10.6</formula>
    </cfRule>
    <cfRule type="cellIs" dxfId="182" priority="102" operator="between">
      <formula>7</formula>
      <formula>7.9</formula>
    </cfRule>
    <cfRule type="cellIs" dxfId="181" priority="103" stopIfTrue="1" operator="between">
      <formula>8</formula>
      <formula>8.9</formula>
    </cfRule>
    <cfRule type="cellIs" dxfId="180" priority="104" operator="between">
      <formula>9</formula>
      <formula>9.9</formula>
    </cfRule>
    <cfRule type="cellIs" dxfId="179" priority="105" stopIfTrue="1" operator="between">
      <formula>10</formula>
      <formula>10</formula>
    </cfRule>
    <cfRule type="containsBlanks" dxfId="178" priority="106" stopIfTrue="1">
      <formula>LEN(TRIM(K220))=0</formula>
    </cfRule>
  </conditionalFormatting>
  <conditionalFormatting sqref="K237">
    <cfRule type="colorScale" priority="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177" priority="37" operator="between">
      <formula>6</formula>
      <formula>6.9</formula>
    </cfRule>
    <cfRule type="cellIs" dxfId="176" priority="38" operator="between">
      <formula>10.1</formula>
      <formula>10.6</formula>
    </cfRule>
    <cfRule type="cellIs" dxfId="175" priority="39" operator="between">
      <formula>7</formula>
      <formula>7.9</formula>
    </cfRule>
    <cfRule type="cellIs" dxfId="174" priority="40" stopIfTrue="1" operator="between">
      <formula>8</formula>
      <formula>8.9</formula>
    </cfRule>
    <cfRule type="cellIs" dxfId="173" priority="41" operator="between">
      <formula>9</formula>
      <formula>9.9</formula>
    </cfRule>
    <cfRule type="cellIs" dxfId="172" priority="42" stopIfTrue="1" operator="between">
      <formula>10</formula>
      <formula>10</formula>
    </cfRule>
    <cfRule type="containsBlanks" dxfId="171" priority="43" stopIfTrue="1">
      <formula>LEN(TRIM(K238))=0</formula>
    </cfRule>
  </conditionalFormatting>
  <conditionalFormatting sqref="M28"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8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9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70" priority="824" operator="between">
      <formula>10.1</formula>
      <formula>10.6</formula>
    </cfRule>
    <cfRule type="cellIs" dxfId="169" priority="825" operator="between">
      <formula>7</formula>
      <formula>7.9</formula>
    </cfRule>
    <cfRule type="cellIs" dxfId="168" priority="826" stopIfTrue="1" operator="between">
      <formula>8</formula>
      <formula>8.9</formula>
    </cfRule>
    <cfRule type="cellIs" dxfId="167" priority="827" operator="between">
      <formula>9</formula>
      <formula>9.9</formula>
    </cfRule>
    <cfRule type="cellIs" dxfId="166" priority="828" stopIfTrue="1" operator="between">
      <formula>10</formula>
      <formula>10</formula>
    </cfRule>
    <cfRule type="containsBlanks" dxfId="165" priority="829" stopIfTrue="1">
      <formula>LEN(TRIM(N3))=0</formula>
    </cfRule>
  </conditionalFormatting>
  <conditionalFormatting sqref="N15:N26">
    <cfRule type="cellIs" dxfId="164" priority="956" operator="between">
      <formula>7</formula>
      <formula>7.9</formula>
    </cfRule>
    <cfRule type="cellIs" dxfId="163" priority="957" stopIfTrue="1" operator="between">
      <formula>8</formula>
      <formula>8.9</formula>
    </cfRule>
    <cfRule type="cellIs" dxfId="162" priority="958" operator="between">
      <formula>9</formula>
      <formula>9.9</formula>
    </cfRule>
    <cfRule type="cellIs" dxfId="161" priority="959" stopIfTrue="1" operator="between">
      <formula>10</formula>
      <formula>10</formula>
    </cfRule>
  </conditionalFormatting>
  <conditionalFormatting sqref="N28">
    <cfRule type="colorScale" priority="7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2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60" priority="960" operator="between">
      <formula>7</formula>
      <formula>7.9</formula>
    </cfRule>
    <cfRule type="cellIs" dxfId="159" priority="961" stopIfTrue="1" operator="between">
      <formula>8</formula>
      <formula>8.9</formula>
    </cfRule>
    <cfRule type="cellIs" dxfId="158" priority="962" operator="between">
      <formula>9</formula>
      <formula>9.9</formula>
    </cfRule>
    <cfRule type="cellIs" dxfId="157" priority="963" stopIfTrue="1" operator="between">
      <formula>10</formula>
      <formula>10</formula>
    </cfRule>
  </conditionalFormatting>
  <conditionalFormatting sqref="N39">
    <cfRule type="colorScale" priority="11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5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56" priority="764" operator="between">
      <formula>10.1</formula>
      <formula>10.6</formula>
    </cfRule>
    <cfRule type="cellIs" dxfId="155" priority="765" operator="between">
      <formula>7</formula>
      <formula>7.9</formula>
    </cfRule>
    <cfRule type="cellIs" dxfId="154" priority="766" stopIfTrue="1" operator="between">
      <formula>8</formula>
      <formula>8.9</formula>
    </cfRule>
    <cfRule type="cellIs" dxfId="153" priority="767" operator="between">
      <formula>9</formula>
      <formula>9.9</formula>
    </cfRule>
    <cfRule type="cellIs" dxfId="152" priority="768" stopIfTrue="1" operator="between">
      <formula>10</formula>
      <formula>10</formula>
    </cfRule>
    <cfRule type="containsBlanks" dxfId="151" priority="769" stopIfTrue="1">
      <formula>LEN(TRIM(N40))=0</formula>
    </cfRule>
  </conditionalFormatting>
  <conditionalFormatting sqref="N54"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3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50" priority="746" operator="between">
      <formula>10.1</formula>
      <formula>10.6</formula>
    </cfRule>
    <cfRule type="cellIs" dxfId="149" priority="747" operator="between">
      <formula>7</formula>
      <formula>7.9</formula>
    </cfRule>
    <cfRule type="cellIs" dxfId="148" priority="748" stopIfTrue="1" operator="between">
      <formula>8</formula>
      <formula>8.9</formula>
    </cfRule>
    <cfRule type="cellIs" dxfId="147" priority="749" operator="between">
      <formula>9</formula>
      <formula>9.9</formula>
    </cfRule>
    <cfRule type="cellIs" dxfId="146" priority="750" stopIfTrue="1" operator="between">
      <formula>10</formula>
      <formula>10</formula>
    </cfRule>
    <cfRule type="containsBlanks" dxfId="145" priority="751" stopIfTrue="1">
      <formula>LEN(TRIM(N55))=0</formula>
    </cfRule>
  </conditionalFormatting>
  <conditionalFormatting sqref="N67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44" priority="697" operator="between">
      <formula>10.1</formula>
      <formula>10.6</formula>
    </cfRule>
    <cfRule type="cellIs" dxfId="143" priority="698" operator="between">
      <formula>7</formula>
      <formula>7.9</formula>
    </cfRule>
    <cfRule type="cellIs" dxfId="142" priority="699" stopIfTrue="1" operator="between">
      <formula>8</formula>
      <formula>8.9</formula>
    </cfRule>
    <cfRule type="cellIs" dxfId="141" priority="700" operator="between">
      <formula>9</formula>
      <formula>9.9</formula>
    </cfRule>
    <cfRule type="cellIs" dxfId="140" priority="701" stopIfTrue="1" operator="between">
      <formula>10</formula>
      <formula>10</formula>
    </cfRule>
    <cfRule type="containsBlanks" dxfId="139" priority="702" stopIfTrue="1">
      <formula>LEN(TRIM(N68))=0</formula>
    </cfRule>
  </conditionalFormatting>
  <conditionalFormatting sqref="N79">
    <cfRule type="colorScale" priority="6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38" priority="628" operator="between">
      <formula>10.1</formula>
      <formula>10.6</formula>
    </cfRule>
    <cfRule type="cellIs" dxfId="137" priority="629" operator="between">
      <formula>7</formula>
      <formula>7.9</formula>
    </cfRule>
    <cfRule type="cellIs" dxfId="136" priority="630" stopIfTrue="1" operator="between">
      <formula>8</formula>
      <formula>8.9</formula>
    </cfRule>
    <cfRule type="cellIs" dxfId="135" priority="631" operator="between">
      <formula>9</formula>
      <formula>9.9</formula>
    </cfRule>
    <cfRule type="cellIs" dxfId="134" priority="632" stopIfTrue="1" operator="between">
      <formula>10</formula>
      <formula>10</formula>
    </cfRule>
    <cfRule type="containsBlanks" dxfId="133" priority="633" stopIfTrue="1">
      <formula>LEN(TRIM(N80))=0</formula>
    </cfRule>
  </conditionalFormatting>
  <conditionalFormatting sqref="N93">
    <cfRule type="colorScale" priority="5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0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32" priority="591" operator="between">
      <formula>10.1</formula>
      <formula>10.6</formula>
    </cfRule>
    <cfRule type="cellIs" dxfId="131" priority="592" operator="between">
      <formula>7</formula>
      <formula>7.9</formula>
    </cfRule>
    <cfRule type="cellIs" dxfId="130" priority="593" stopIfTrue="1" operator="between">
      <formula>8</formula>
      <formula>8.9</formula>
    </cfRule>
    <cfRule type="cellIs" dxfId="129" priority="594" operator="between">
      <formula>9</formula>
      <formula>9.9</formula>
    </cfRule>
    <cfRule type="cellIs" dxfId="128" priority="595" stopIfTrue="1" operator="between">
      <formula>10</formula>
      <formula>10</formula>
    </cfRule>
    <cfRule type="containsBlanks" dxfId="127" priority="596" stopIfTrue="1">
      <formula>LEN(TRIM(N94))=0</formula>
    </cfRule>
  </conditionalFormatting>
  <conditionalFormatting sqref="N112">
    <cfRule type="colorScale" priority="5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4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26" priority="517" operator="between">
      <formula>10.1</formula>
      <formula>10.6</formula>
    </cfRule>
    <cfRule type="cellIs" dxfId="125" priority="518" operator="between">
      <formula>7</formula>
      <formula>7.9</formula>
    </cfRule>
    <cfRule type="cellIs" dxfId="124" priority="519" stopIfTrue="1" operator="between">
      <formula>8</formula>
      <formula>8.9</formula>
    </cfRule>
    <cfRule type="cellIs" dxfId="123" priority="520" operator="between">
      <formula>9</formula>
      <formula>9.9</formula>
    </cfRule>
    <cfRule type="cellIs" dxfId="122" priority="521" stopIfTrue="1" operator="between">
      <formula>10</formula>
      <formula>10</formula>
    </cfRule>
    <cfRule type="containsBlanks" dxfId="121" priority="522" stopIfTrue="1">
      <formula>LEN(TRIM(N113))=0</formula>
    </cfRule>
  </conditionalFormatting>
  <conditionalFormatting sqref="N127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20" priority="443" operator="between">
      <formula>6</formula>
      <formula>6.9</formula>
    </cfRule>
    <cfRule type="cellIs" dxfId="119" priority="444" operator="between">
      <formula>10.1</formula>
      <formula>10.6</formula>
    </cfRule>
    <cfRule type="cellIs" dxfId="118" priority="445" operator="between">
      <formula>7</formula>
      <formula>7.9</formula>
    </cfRule>
    <cfRule type="cellIs" dxfId="117" priority="446" stopIfTrue="1" operator="between">
      <formula>8</formula>
      <formula>8.9</formula>
    </cfRule>
    <cfRule type="cellIs" dxfId="116" priority="447" operator="between">
      <formula>9</formula>
      <formula>9.9</formula>
    </cfRule>
    <cfRule type="cellIs" dxfId="115" priority="448" stopIfTrue="1" operator="between">
      <formula>10</formula>
      <formula>10</formula>
    </cfRule>
    <cfRule type="containsBlanks" dxfId="114" priority="449" stopIfTrue="1">
      <formula>LEN(TRIM(N128))=0</formula>
    </cfRule>
    <cfRule type="cellIs" dxfId="113" priority="450" operator="between">
      <formula>10.1</formula>
      <formula>10.6</formula>
    </cfRule>
    <cfRule type="cellIs" dxfId="112" priority="451" operator="between">
      <formula>7</formula>
      <formula>7.9</formula>
    </cfRule>
    <cfRule type="cellIs" dxfId="111" priority="452" stopIfTrue="1" operator="between">
      <formula>8</formula>
      <formula>8.9</formula>
    </cfRule>
    <cfRule type="cellIs" dxfId="110" priority="453" operator="between">
      <formula>9</formula>
      <formula>9.9</formula>
    </cfRule>
    <cfRule type="cellIs" dxfId="109" priority="454" stopIfTrue="1" operator="between">
      <formula>10</formula>
      <formula>10</formula>
    </cfRule>
    <cfRule type="containsBlanks" dxfId="108" priority="455" stopIfTrue="1">
      <formula>LEN(TRIM(N128))=0</formula>
    </cfRule>
  </conditionalFormatting>
  <conditionalFormatting sqref="N137">
    <cfRule type="colorScale" priority="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5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07" priority="407" operator="between">
      <formula>6</formula>
      <formula>6.9</formula>
    </cfRule>
    <cfRule type="cellIs" dxfId="106" priority="408" operator="between">
      <formula>10.1</formula>
      <formula>10.6</formula>
    </cfRule>
    <cfRule type="cellIs" dxfId="105" priority="409" operator="between">
      <formula>7</formula>
      <formula>7.9</formula>
    </cfRule>
    <cfRule type="cellIs" dxfId="104" priority="410" stopIfTrue="1" operator="between">
      <formula>8</formula>
      <formula>8.9</formula>
    </cfRule>
    <cfRule type="cellIs" dxfId="103" priority="411" operator="between">
      <formula>9</formula>
      <formula>9.9</formula>
    </cfRule>
    <cfRule type="cellIs" dxfId="102" priority="412" stopIfTrue="1" operator="between">
      <formula>10</formula>
      <formula>10</formula>
    </cfRule>
    <cfRule type="containsBlanks" dxfId="101" priority="413" stopIfTrue="1">
      <formula>LEN(TRIM(N138))=0</formula>
    </cfRule>
  </conditionalFormatting>
  <conditionalFormatting sqref="N144"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00" priority="398" operator="between">
      <formula>6</formula>
      <formula>6.9</formula>
    </cfRule>
    <cfRule type="cellIs" dxfId="99" priority="399" operator="between">
      <formula>10.1</formula>
      <formula>10.6</formula>
    </cfRule>
    <cfRule type="cellIs" dxfId="98" priority="400" operator="between">
      <formula>7</formula>
      <formula>7.9</formula>
    </cfRule>
    <cfRule type="cellIs" dxfId="97" priority="401" stopIfTrue="1" operator="between">
      <formula>8</formula>
      <formula>8.9</formula>
    </cfRule>
    <cfRule type="cellIs" dxfId="96" priority="402" operator="between">
      <formula>9</formula>
      <formula>9.9</formula>
    </cfRule>
    <cfRule type="cellIs" dxfId="95" priority="403" stopIfTrue="1" operator="between">
      <formula>10</formula>
      <formula>10</formula>
    </cfRule>
    <cfRule type="containsBlanks" dxfId="94" priority="404" stopIfTrue="1">
      <formula>LEN(TRIM(N145))=0</formula>
    </cfRule>
  </conditionalFormatting>
  <conditionalFormatting sqref="N152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93" priority="344" operator="between">
      <formula>6</formula>
      <formula>6.9</formula>
    </cfRule>
    <cfRule type="cellIs" dxfId="92" priority="345" operator="between">
      <formula>10.1</formula>
      <formula>10.6</formula>
    </cfRule>
    <cfRule type="cellIs" dxfId="91" priority="346" operator="between">
      <formula>7</formula>
      <formula>7.9</formula>
    </cfRule>
    <cfRule type="cellIs" dxfId="90" priority="347" stopIfTrue="1" operator="between">
      <formula>8</formula>
      <formula>8.9</formula>
    </cfRule>
    <cfRule type="cellIs" dxfId="89" priority="348" operator="between">
      <formula>9</formula>
      <formula>9.9</formula>
    </cfRule>
    <cfRule type="cellIs" dxfId="88" priority="349" stopIfTrue="1" operator="between">
      <formula>10</formula>
      <formula>10</formula>
    </cfRule>
    <cfRule type="containsBlanks" dxfId="87" priority="350" stopIfTrue="1">
      <formula>LEN(TRIM(N153))=0</formula>
    </cfRule>
  </conditionalFormatting>
  <conditionalFormatting sqref="N161">
    <cfRule type="colorScale" priority="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7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86" priority="328" operator="between">
      <formula>6</formula>
      <formula>6.9</formula>
    </cfRule>
    <cfRule type="cellIs" dxfId="85" priority="329" operator="between">
      <formula>10.1</formula>
      <formula>10.6</formula>
    </cfRule>
    <cfRule type="cellIs" dxfId="84" priority="330" operator="between">
      <formula>7</formula>
      <formula>7.9</formula>
    </cfRule>
    <cfRule type="cellIs" dxfId="83" priority="331" stopIfTrue="1" operator="between">
      <formula>8</formula>
      <formula>8.9</formula>
    </cfRule>
    <cfRule type="cellIs" dxfId="82" priority="332" operator="between">
      <formula>9</formula>
      <formula>9.9</formula>
    </cfRule>
    <cfRule type="cellIs" dxfId="81" priority="333" stopIfTrue="1" operator="between">
      <formula>10</formula>
      <formula>10</formula>
    </cfRule>
    <cfRule type="containsBlanks" dxfId="80" priority="334" stopIfTrue="1">
      <formula>LEN(TRIM(N162))=0</formula>
    </cfRule>
  </conditionalFormatting>
  <conditionalFormatting sqref="N182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79" priority="219" operator="between">
      <formula>6</formula>
      <formula>6.9</formula>
    </cfRule>
    <cfRule type="cellIs" dxfId="78" priority="220" operator="between">
      <formula>10.1</formula>
      <formula>10.6</formula>
    </cfRule>
    <cfRule type="cellIs" dxfId="77" priority="221" operator="between">
      <formula>7</formula>
      <formula>7.9</formula>
    </cfRule>
    <cfRule type="cellIs" dxfId="76" priority="222" stopIfTrue="1" operator="between">
      <formula>8</formula>
      <formula>8.9</formula>
    </cfRule>
    <cfRule type="cellIs" dxfId="75" priority="223" operator="between">
      <formula>9</formula>
      <formula>9.9</formula>
    </cfRule>
    <cfRule type="cellIs" dxfId="74" priority="224" stopIfTrue="1" operator="between">
      <formula>10</formula>
      <formula>10</formula>
    </cfRule>
    <cfRule type="containsBlanks" dxfId="73" priority="225" stopIfTrue="1">
      <formula>LEN(TRIM(N186))=0</formula>
    </cfRule>
  </conditionalFormatting>
  <conditionalFormatting sqref="N211"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72" priority="136" operator="between">
      <formula>6</formula>
      <formula>6.9</formula>
    </cfRule>
    <cfRule type="cellIs" dxfId="71" priority="137" operator="between">
      <formula>10.1</formula>
      <formula>11</formula>
    </cfRule>
    <cfRule type="cellIs" dxfId="70" priority="138" operator="between">
      <formula>7</formula>
      <formula>7.9</formula>
    </cfRule>
    <cfRule type="cellIs" dxfId="69" priority="139" stopIfTrue="1" operator="between">
      <formula>8</formula>
      <formula>8.9</formula>
    </cfRule>
    <cfRule type="cellIs" dxfId="68" priority="140" operator="between">
      <formula>9</formula>
      <formula>9.9</formula>
    </cfRule>
    <cfRule type="cellIs" dxfId="67" priority="141" stopIfTrue="1" operator="between">
      <formula>10</formula>
      <formula>10</formula>
    </cfRule>
    <cfRule type="containsBlanks" dxfId="66" priority="142" stopIfTrue="1">
      <formula>LEN(TRIM(N212))=0</formula>
    </cfRule>
  </conditionalFormatting>
  <conditionalFormatting sqref="N228"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65" priority="82" operator="between">
      <formula>6</formula>
      <formula>6.9</formula>
    </cfRule>
    <cfRule type="cellIs" dxfId="64" priority="83" operator="between">
      <formula>10.1</formula>
      <formula>11</formula>
    </cfRule>
    <cfRule type="cellIs" dxfId="63" priority="84" operator="between">
      <formula>7</formula>
      <formula>7.9</formula>
    </cfRule>
    <cfRule type="cellIs" dxfId="62" priority="85" stopIfTrue="1" operator="between">
      <formula>8</formula>
      <formula>8.9</formula>
    </cfRule>
    <cfRule type="cellIs" dxfId="61" priority="86" operator="between">
      <formula>9</formula>
      <formula>9.9</formula>
    </cfRule>
    <cfRule type="cellIs" dxfId="60" priority="87" stopIfTrue="1" operator="between">
      <formula>10</formula>
      <formula>10</formula>
    </cfRule>
    <cfRule type="containsBlanks" dxfId="59" priority="88" stopIfTrue="1">
      <formula>LEN(TRIM(N229))=0</formula>
    </cfRule>
  </conditionalFormatting>
  <conditionalFormatting sqref="N240">
    <cfRule type="colorScale" priority="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58" priority="28" operator="between">
      <formula>6</formula>
      <formula>6.9</formula>
    </cfRule>
    <cfRule type="cellIs" dxfId="57" priority="29" operator="between">
      <formula>10.1</formula>
      <formula>10.6</formula>
    </cfRule>
    <cfRule type="cellIs" dxfId="56" priority="30" operator="between">
      <formula>7</formula>
      <formula>7.9</formula>
    </cfRule>
    <cfRule type="cellIs" dxfId="55" priority="31" stopIfTrue="1" operator="between">
      <formula>8</formula>
      <formula>8.9</formula>
    </cfRule>
    <cfRule type="cellIs" dxfId="54" priority="32" operator="between">
      <formula>9</formula>
      <formula>9.9</formula>
    </cfRule>
    <cfRule type="cellIs" dxfId="53" priority="33" stopIfTrue="1" operator="between">
      <formula>10</formula>
      <formula>10</formula>
    </cfRule>
    <cfRule type="containsBlanks" dxfId="52" priority="34" stopIfTrue="1">
      <formula>LEN(TRIM(N241))=0</formula>
    </cfRule>
  </conditionalFormatting>
  <conditionalFormatting sqref="AS3:AS9">
    <cfRule type="cellIs" dxfId="51" priority="892" operator="between">
      <formula>7</formula>
      <formula>7.9</formula>
    </cfRule>
    <cfRule type="cellIs" dxfId="50" priority="893" operator="between">
      <formula>8</formula>
      <formula>8.9</formula>
    </cfRule>
    <cfRule type="cellIs" dxfId="49" priority="894" operator="between">
      <formula>9</formula>
      <formula>9.9</formula>
    </cfRule>
    <cfRule type="cellIs" dxfId="48" priority="895" operator="between">
      <formula>10</formula>
      <formula>10</formula>
    </cfRule>
  </conditionalFormatting>
  <conditionalFormatting sqref="N249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6" priority="1" operator="between">
      <formula>6</formula>
      <formula>6.9</formula>
    </cfRule>
    <cfRule type="cellIs" dxfId="5" priority="2" operator="between">
      <formula>10.1</formula>
      <formula>10.6</formula>
    </cfRule>
    <cfRule type="cellIs" dxfId="4" priority="3" operator="between">
      <formula>7</formula>
      <formula>7.9</formula>
    </cfRule>
    <cfRule type="cellIs" dxfId="3" priority="4" stopIfTrue="1" operator="between">
      <formula>8</formula>
      <formula>8.9</formula>
    </cfRule>
    <cfRule type="cellIs" dxfId="2" priority="5" operator="between">
      <formula>9</formula>
      <formula>9.9</formula>
    </cfRule>
    <cfRule type="cellIs" dxfId="1" priority="6" stopIfTrue="1" operator="between">
      <formula>10</formula>
      <formula>10</formula>
    </cfRule>
    <cfRule type="containsBlanks" dxfId="0" priority="7" stopIfTrue="1">
      <formula>LEN(TRIM(N250))=0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7" priority="17" operator="equal">
      <formula>10</formula>
    </cfRule>
  </conditionalFormatting>
  <conditionalFormatting sqref="C6">
    <cfRule type="containsBlanks" dxfId="46" priority="18">
      <formula>LEN(TRIM(C6))=0</formula>
    </cfRule>
  </conditionalFormatting>
  <conditionalFormatting sqref="C8">
    <cfRule type="containsBlanks" dxfId="45" priority="20">
      <formula>LEN(TRIM(C8))=0</formula>
    </cfRule>
  </conditionalFormatting>
  <conditionalFormatting sqref="C10">
    <cfRule type="containsBlanks" dxfId="44" priority="22">
      <formula>LEN(TRIM(C10))=0</formula>
    </cfRule>
  </conditionalFormatting>
  <conditionalFormatting sqref="C12">
    <cfRule type="containsBlanks" dxfId="43" priority="24">
      <formula>LEN(TRIM(C12))=0</formula>
    </cfRule>
  </conditionalFormatting>
  <conditionalFormatting sqref="C14">
    <cfRule type="containsBlanks" dxfId="42" priority="26">
      <formula>LEN(TRIM(C14))=0</formula>
    </cfRule>
  </conditionalFormatting>
  <conditionalFormatting sqref="C16">
    <cfRule type="containsBlanks" dxfId="41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40" priority="3" operator="equal">
      <formula>10</formula>
    </cfRule>
  </conditionalFormatting>
  <conditionalFormatting sqref="C26">
    <cfRule type="containsBlanks" dxfId="39" priority="4">
      <formula>LEN(TRIM(C26))=0</formula>
    </cfRule>
  </conditionalFormatting>
  <conditionalFormatting sqref="C34:C42">
    <cfRule type="cellIs" dxfId="38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37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6" priority="15" operator="equal">
      <formula>10</formula>
    </cfRule>
  </conditionalFormatting>
  <conditionalFormatting sqref="F12">
    <cfRule type="containsBlanks" dxfId="35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34" priority="5" operator="equal">
      <formula>10</formula>
    </cfRule>
  </conditionalFormatting>
  <conditionalFormatting sqref="F28">
    <cfRule type="containsBlanks" dxfId="33" priority="6">
      <formula>LEN(TRIM(F28))=0</formula>
    </cfRule>
  </conditionalFormatting>
  <conditionalFormatting sqref="F33:F41">
    <cfRule type="cellIs" dxfId="32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31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30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29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28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27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6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5" priority="1" operator="equal">
      <formula>10</formula>
    </cfRule>
  </conditionalFormatting>
  <conditionalFormatting sqref="L23">
    <cfRule type="containsBlanks" dxfId="24" priority="2">
      <formula>LEN(TRIM(L23))=0</formula>
    </cfRule>
  </conditionalFormatting>
  <conditionalFormatting sqref="L33:L44">
    <cfRule type="cellIs" dxfId="23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22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21" priority="9" operator="equal">
      <formula>10</formula>
    </cfRule>
  </conditionalFormatting>
  <conditionalFormatting sqref="O4">
    <cfRule type="containsBlanks" dxfId="20" priority="12">
      <formula>LEN(TRIM(O4))=0</formula>
    </cfRule>
  </conditionalFormatting>
  <conditionalFormatting sqref="O6">
    <cfRule type="containsBlanks" dxfId="19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8" priority="10">
      <formula>LEN(TRIM(O14))=0</formula>
    </cfRule>
  </conditionalFormatting>
  <conditionalFormatting sqref="O17:O27">
    <cfRule type="cellIs" dxfId="17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16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5" priority="8">
      <formula>LEN(TRIM(O42))=0</formula>
    </cfRule>
  </conditionalFormatting>
  <conditionalFormatting sqref="O42:O51">
    <cfRule type="cellIs" dxfId="14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2026-03-13T09:36:14Z</dcterms:modified>
</cp:coreProperties>
</file>